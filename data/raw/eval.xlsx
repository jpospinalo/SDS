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atherinemontana/Downloads/"/>
    </mc:Choice>
  </mc:AlternateContent>
  <xr:revisionPtr revIDLastSave="0" documentId="13_ncr:1_{8400BD25-2528-E34A-A2B6-B86532FEEB4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Hoja1 (2)" sheetId="27" r:id="rId1"/>
    <sheet name="Hoja1" sheetId="32" r:id="rId2"/>
    <sheet name="Hoja2" sheetId="33" r:id="rId3"/>
    <sheet name="Hoja3" sheetId="34" r:id="rId4"/>
    <sheet name="Hoja4" sheetId="35" r:id="rId5"/>
    <sheet name="Datos" sheetId="2" r:id="rId6"/>
    <sheet name="Evalucion (2)" sheetId="23" r:id="rId7"/>
    <sheet name="Evalucion" sheetId="1" r:id="rId8"/>
    <sheet name="Grafico 1 Secciones" sheetId="4" r:id="rId9"/>
    <sheet name="Gráfico 2 Calidad S1 " sheetId="5" r:id="rId10"/>
    <sheet name="Gráfico 3 Calidad S2" sheetId="6" r:id="rId11"/>
    <sheet name="Gráfico 4 Calidad S3" sheetId="7" r:id="rId12"/>
    <sheet name="Gráfico 5 Calidad S4" sheetId="8" r:id="rId13"/>
    <sheet name="Gráfico 6 Calidad S 5" sheetId="9" r:id="rId14"/>
    <sheet name="Gráfico 7 Calidad S6" sheetId="10" r:id="rId15"/>
    <sheet name="Gráfico 8 Calidad S7" sheetId="11" r:id="rId16"/>
    <sheet name="Gráfico 9 Calidad S8" sheetId="12" r:id="rId17"/>
    <sheet name="Gráfico 10 Calidad S9" sheetId="13" r:id="rId18"/>
    <sheet name="Gráfico11 Calidad S10" sheetId="14" r:id="rId19"/>
    <sheet name="Gráfico 12 Calidad S11" sheetId="15" r:id="rId20"/>
    <sheet name="Gráfico 13 Calidad S12" sheetId="16" r:id="rId21"/>
    <sheet name="Gráfico 14 Calidad S13" sheetId="17" r:id="rId22"/>
    <sheet name="Gráfico 15 Calidad S14" sheetId="18" r:id="rId23"/>
    <sheet name="Gráfico 16 Calidad S15" sheetId="19" r:id="rId24"/>
    <sheet name="Gráfico 17 Calidad S16" sheetId="20" r:id="rId25"/>
    <sheet name="Gráfico 18 Conf General" sheetId="25" r:id="rId26"/>
    <sheet name="Gráfico 19 Calidad Items" sheetId="30" r:id="rId27"/>
    <sheet name="Gráfico 20 Calidad FDS FAB" sheetId="31" r:id="rId28"/>
  </sheets>
  <definedNames>
    <definedName name="_xlnm._FilterDatabase" localSheetId="7" hidden="1">Evalucion!$A$1:$EZ$54</definedName>
    <definedName name="_xlnm._FilterDatabase" localSheetId="0" hidden="1">'Hoja1 (2)'!$A$1:$H$51</definedName>
    <definedName name="Evalucion" localSheetId="6">'Evalucion (2)'!$A$3:$EY$9</definedName>
    <definedName name="Evalucion">Evalucion!$A$1:$EZ$7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61" i="1"/>
  <c r="EZ54" i="1"/>
  <c r="EX54" i="1"/>
  <c r="EV54" i="1"/>
  <c r="ET54" i="1"/>
  <c r="ER54" i="1"/>
  <c r="EP54" i="1"/>
  <c r="EN54" i="1"/>
  <c r="EL54" i="1"/>
  <c r="EJ54" i="1"/>
  <c r="S59" i="1" s="1"/>
  <c r="EH54" i="1"/>
  <c r="EF54" i="1"/>
  <c r="ED54" i="1"/>
  <c r="EB54" i="1"/>
  <c r="DZ54" i="1"/>
  <c r="DX54" i="1"/>
  <c r="DV54" i="1"/>
  <c r="DT54" i="1"/>
  <c r="Q59" i="1" s="1"/>
  <c r="DR54" i="1"/>
  <c r="DP54" i="1"/>
  <c r="DN54" i="1"/>
  <c r="DL54" i="1"/>
  <c r="DJ54" i="1"/>
  <c r="DH54" i="1"/>
  <c r="DF54" i="1"/>
  <c r="DD54" i="1"/>
  <c r="DB54" i="1"/>
  <c r="CZ54" i="1"/>
  <c r="CX54" i="1"/>
  <c r="CV54" i="1"/>
  <c r="CT54" i="1"/>
  <c r="CR54" i="1"/>
  <c r="CP54" i="1"/>
  <c r="CN54" i="1"/>
  <c r="CL54" i="1"/>
  <c r="CJ54" i="1"/>
  <c r="CH54" i="1"/>
  <c r="CF54" i="1"/>
  <c r="CD54" i="1"/>
  <c r="CB54" i="1"/>
  <c r="BZ54" i="1"/>
  <c r="BX54" i="1"/>
  <c r="L59" i="1" s="1"/>
  <c r="BV54" i="1"/>
  <c r="BT54" i="1"/>
  <c r="BR54" i="1"/>
  <c r="BP54" i="1"/>
  <c r="BN54" i="1"/>
  <c r="BL54" i="1"/>
  <c r="BJ54" i="1"/>
  <c r="BH54" i="1"/>
  <c r="J59" i="1" s="1"/>
  <c r="BF54" i="1"/>
  <c r="BD54" i="1"/>
  <c r="BB54" i="1"/>
  <c r="AZ54" i="1"/>
  <c r="I59" i="1" s="1"/>
  <c r="AX54" i="1"/>
  <c r="EZ53" i="1"/>
  <c r="EX53" i="1"/>
  <c r="EV53" i="1"/>
  <c r="ET53" i="1"/>
  <c r="ER53" i="1"/>
  <c r="EP53" i="1"/>
  <c r="EN53" i="1"/>
  <c r="EL53" i="1"/>
  <c r="EJ53" i="1"/>
  <c r="EH53" i="1"/>
  <c r="EF53" i="1"/>
  <c r="ED53" i="1"/>
  <c r="EB53" i="1"/>
  <c r="DZ53" i="1"/>
  <c r="DX53" i="1"/>
  <c r="DV53" i="1"/>
  <c r="DT53" i="1"/>
  <c r="DR53" i="1"/>
  <c r="DP53" i="1"/>
  <c r="DN53" i="1"/>
  <c r="DL53" i="1"/>
  <c r="DJ53" i="1"/>
  <c r="DH53" i="1"/>
  <c r="DF53" i="1"/>
  <c r="DD53" i="1"/>
  <c r="DB53" i="1"/>
  <c r="CZ53" i="1"/>
  <c r="CX53" i="1"/>
  <c r="CV53" i="1"/>
  <c r="CT53" i="1"/>
  <c r="CR53" i="1"/>
  <c r="CP53" i="1"/>
  <c r="CN53" i="1"/>
  <c r="CL53" i="1"/>
  <c r="CJ53" i="1"/>
  <c r="CH53" i="1"/>
  <c r="CF53" i="1"/>
  <c r="CD53" i="1"/>
  <c r="CB53" i="1"/>
  <c r="BZ53" i="1"/>
  <c r="BX53" i="1"/>
  <c r="BV53" i="1"/>
  <c r="BT53" i="1"/>
  <c r="BR53" i="1"/>
  <c r="BP53" i="1"/>
  <c r="BN53" i="1"/>
  <c r="BL53" i="1"/>
  <c r="BJ53" i="1"/>
  <c r="BH53" i="1"/>
  <c r="BF53" i="1"/>
  <c r="BD53" i="1"/>
  <c r="BB53" i="1"/>
  <c r="AZ53" i="1"/>
  <c r="AX53" i="1"/>
  <c r="EZ52" i="1"/>
  <c r="EX52" i="1"/>
  <c r="EV52" i="1"/>
  <c r="ET52" i="1"/>
  <c r="ER52" i="1"/>
  <c r="EP52" i="1"/>
  <c r="EN52" i="1"/>
  <c r="EL52" i="1"/>
  <c r="EJ52" i="1"/>
  <c r="S57" i="1" s="1"/>
  <c r="EH52" i="1"/>
  <c r="EF52" i="1"/>
  <c r="ED52" i="1"/>
  <c r="EB52" i="1"/>
  <c r="DZ52" i="1"/>
  <c r="DX52" i="1"/>
  <c r="DV52" i="1"/>
  <c r="DT52" i="1"/>
  <c r="DR52" i="1"/>
  <c r="DP52" i="1"/>
  <c r="DN52" i="1"/>
  <c r="DL52" i="1"/>
  <c r="DJ52" i="1"/>
  <c r="DH52" i="1"/>
  <c r="DF52" i="1"/>
  <c r="DD52" i="1"/>
  <c r="P57" i="1" s="1"/>
  <c r="DB52" i="1"/>
  <c r="CZ52" i="1"/>
  <c r="CX52" i="1"/>
  <c r="CV52" i="1"/>
  <c r="CT52" i="1"/>
  <c r="CR52" i="1"/>
  <c r="CP52" i="1"/>
  <c r="CN52" i="1"/>
  <c r="CL52" i="1"/>
  <c r="CJ52" i="1"/>
  <c r="CH52" i="1"/>
  <c r="CF52" i="1"/>
  <c r="CD52" i="1"/>
  <c r="M57" i="1" s="1"/>
  <c r="CB52" i="1"/>
  <c r="BZ52" i="1"/>
  <c r="BX52" i="1"/>
  <c r="L57" i="1" s="1"/>
  <c r="BV52" i="1"/>
  <c r="BT52" i="1"/>
  <c r="BR52" i="1"/>
  <c r="BP52" i="1"/>
  <c r="BN52" i="1"/>
  <c r="BL52" i="1"/>
  <c r="BJ52" i="1"/>
  <c r="BH52" i="1"/>
  <c r="BF52" i="1"/>
  <c r="BD52" i="1"/>
  <c r="BB52" i="1"/>
  <c r="AZ52" i="1"/>
  <c r="I57" i="1" s="1"/>
  <c r="AX52" i="1"/>
  <c r="AU54" i="1"/>
  <c r="AS54" i="1"/>
  <c r="AQ54" i="1"/>
  <c r="AO54" i="1"/>
  <c r="AM54" i="1"/>
  <c r="AK54" i="1"/>
  <c r="AI54" i="1"/>
  <c r="AG54" i="1"/>
  <c r="AE54" i="1"/>
  <c r="AC54" i="1"/>
  <c r="AA54" i="1"/>
  <c r="Y54" i="1"/>
  <c r="W54" i="1"/>
  <c r="U54" i="1"/>
  <c r="S54" i="1"/>
  <c r="Q54" i="1"/>
  <c r="O54" i="1"/>
  <c r="M54" i="1"/>
  <c r="K54" i="1"/>
  <c r="I54" i="1"/>
  <c r="AU53" i="1"/>
  <c r="AS53" i="1"/>
  <c r="AQ53" i="1"/>
  <c r="AO53" i="1"/>
  <c r="AM53" i="1"/>
  <c r="AK53" i="1"/>
  <c r="AI53" i="1"/>
  <c r="AG53" i="1"/>
  <c r="AE53" i="1"/>
  <c r="AC53" i="1"/>
  <c r="AA53" i="1"/>
  <c r="Y53" i="1"/>
  <c r="W53" i="1"/>
  <c r="U53" i="1"/>
  <c r="S53" i="1"/>
  <c r="G58" i="1" s="1"/>
  <c r="Q53" i="1"/>
  <c r="O53" i="1"/>
  <c r="M53" i="1"/>
  <c r="K53" i="1"/>
  <c r="I53" i="1"/>
  <c r="AU52" i="1"/>
  <c r="AS52" i="1"/>
  <c r="AQ52" i="1"/>
  <c r="AO52" i="1"/>
  <c r="AM52" i="1"/>
  <c r="AK52" i="1"/>
  <c r="AI52" i="1"/>
  <c r="AG52" i="1"/>
  <c r="AE52" i="1"/>
  <c r="AC52" i="1"/>
  <c r="AA52" i="1"/>
  <c r="Y52" i="1"/>
  <c r="W52" i="1"/>
  <c r="U52" i="1"/>
  <c r="S52" i="1"/>
  <c r="Q52" i="1"/>
  <c r="O52" i="1"/>
  <c r="M52" i="1"/>
  <c r="K52" i="1"/>
  <c r="I52" i="1"/>
  <c r="G54" i="1"/>
  <c r="G53" i="1"/>
  <c r="G52" i="1"/>
  <c r="EX55" i="23"/>
  <c r="EV55" i="23"/>
  <c r="EP55" i="23"/>
  <c r="EN55" i="23"/>
  <c r="EH55" i="23"/>
  <c r="EF55" i="23"/>
  <c r="DZ55" i="23"/>
  <c r="DX55" i="23"/>
  <c r="DR55" i="23"/>
  <c r="DP55" i="23"/>
  <c r="DJ55" i="23"/>
  <c r="DH55" i="23"/>
  <c r="DB55" i="23"/>
  <c r="CZ55" i="23"/>
  <c r="CT55" i="23"/>
  <c r="CR55" i="23"/>
  <c r="CL55" i="23"/>
  <c r="CJ55" i="23"/>
  <c r="CD55" i="23"/>
  <c r="CB55" i="23"/>
  <c r="BV55" i="23"/>
  <c r="BT55" i="23"/>
  <c r="BN55" i="23"/>
  <c r="BL55" i="23"/>
  <c r="BF55" i="23"/>
  <c r="BD55" i="23"/>
  <c r="AX55" i="23"/>
  <c r="AV55" i="23"/>
  <c r="AP55" i="23"/>
  <c r="AN55" i="23"/>
  <c r="AH55" i="23"/>
  <c r="AF55" i="23"/>
  <c r="Z55" i="23"/>
  <c r="X55" i="23"/>
  <c r="R55" i="23"/>
  <c r="P55" i="23"/>
  <c r="J55" i="23"/>
  <c r="H55" i="23"/>
  <c r="FB2" i="23"/>
  <c r="A10" i="23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ET55" i="23" s="1"/>
  <c r="AU54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O5" i="23"/>
  <c r="AP5" i="23"/>
  <c r="AQ5" i="23"/>
  <c r="AR5" i="23"/>
  <c r="AS5" i="23"/>
  <c r="AT5" i="23"/>
  <c r="AV5" i="23"/>
  <c r="AW5" i="23"/>
  <c r="AX5" i="23"/>
  <c r="AY5" i="23"/>
  <c r="AZ5" i="23"/>
  <c r="BA5" i="23"/>
  <c r="BB5" i="23"/>
  <c r="BC5" i="23"/>
  <c r="BD5" i="23"/>
  <c r="BE5" i="23"/>
  <c r="BF5" i="23"/>
  <c r="BG5" i="23"/>
  <c r="BH5" i="23"/>
  <c r="BI5" i="23"/>
  <c r="BJ5" i="23"/>
  <c r="BK5" i="23"/>
  <c r="BL5" i="23"/>
  <c r="BM5" i="23"/>
  <c r="BN5" i="23"/>
  <c r="BO5" i="23"/>
  <c r="BP5" i="23"/>
  <c r="BQ5" i="23"/>
  <c r="BR5" i="23"/>
  <c r="BS5" i="23"/>
  <c r="BT5" i="23"/>
  <c r="BU5" i="23"/>
  <c r="BV5" i="23"/>
  <c r="BW5" i="23"/>
  <c r="BX5" i="23"/>
  <c r="BY5" i="23"/>
  <c r="BZ5" i="23"/>
  <c r="CA5" i="23"/>
  <c r="CB5" i="23"/>
  <c r="CC5" i="23"/>
  <c r="CD5" i="23"/>
  <c r="CE5" i="23"/>
  <c r="CF5" i="23"/>
  <c r="CG5" i="23"/>
  <c r="CH5" i="23"/>
  <c r="CI5" i="23"/>
  <c r="CJ5" i="23"/>
  <c r="CK5" i="23"/>
  <c r="CL5" i="23"/>
  <c r="CM5" i="23"/>
  <c r="CN5" i="23"/>
  <c r="CO5" i="23"/>
  <c r="CP5" i="23"/>
  <c r="CQ5" i="23"/>
  <c r="CR5" i="23"/>
  <c r="CS5" i="23"/>
  <c r="CT5" i="23"/>
  <c r="CU5" i="23"/>
  <c r="CV5" i="23"/>
  <c r="CW5" i="23"/>
  <c r="CX5" i="23"/>
  <c r="CY5" i="23"/>
  <c r="CZ5" i="23"/>
  <c r="DA5" i="23"/>
  <c r="DB5" i="23"/>
  <c r="DC5" i="23"/>
  <c r="DD5" i="23"/>
  <c r="DE5" i="23"/>
  <c r="DF5" i="23"/>
  <c r="DG5" i="23"/>
  <c r="DH5" i="23"/>
  <c r="DI5" i="23"/>
  <c r="DJ5" i="23"/>
  <c r="DK5" i="23"/>
  <c r="DL5" i="23"/>
  <c r="DM5" i="23"/>
  <c r="DN5" i="23"/>
  <c r="DO5" i="23"/>
  <c r="DP5" i="23"/>
  <c r="DQ5" i="23"/>
  <c r="DR5" i="23"/>
  <c r="DS5" i="23"/>
  <c r="DT5" i="23"/>
  <c r="DU5" i="23"/>
  <c r="DV5" i="23"/>
  <c r="DW5" i="23"/>
  <c r="DX5" i="23"/>
  <c r="DY5" i="23"/>
  <c r="DZ5" i="23"/>
  <c r="EA5" i="23"/>
  <c r="EB5" i="23"/>
  <c r="EC5" i="23"/>
  <c r="ED5" i="23"/>
  <c r="EE5" i="23"/>
  <c r="EF5" i="23"/>
  <c r="EG5" i="23"/>
  <c r="EH5" i="23"/>
  <c r="EI5" i="23"/>
  <c r="EJ5" i="23"/>
  <c r="EK5" i="23"/>
  <c r="EL5" i="23"/>
  <c r="EM5" i="23"/>
  <c r="EN5" i="23"/>
  <c r="EO5" i="23"/>
  <c r="EP5" i="23"/>
  <c r="EQ5" i="23"/>
  <c r="ER5" i="23"/>
  <c r="ES5" i="23"/>
  <c r="ET5" i="23"/>
  <c r="EU5" i="23"/>
  <c r="EV5" i="23"/>
  <c r="EW5" i="23"/>
  <c r="EX5" i="23"/>
  <c r="EY5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O6" i="23"/>
  <c r="AP6" i="23"/>
  <c r="AQ6" i="23"/>
  <c r="AR6" i="23"/>
  <c r="AS6" i="23"/>
  <c r="AT6" i="23"/>
  <c r="AV6" i="23"/>
  <c r="AW6" i="23"/>
  <c r="AX6" i="23"/>
  <c r="AY6" i="23"/>
  <c r="AZ6" i="23"/>
  <c r="BA6" i="23"/>
  <c r="BB6" i="23"/>
  <c r="BC6" i="23"/>
  <c r="BD6" i="23"/>
  <c r="BE6" i="23"/>
  <c r="BF6" i="23"/>
  <c r="BG6" i="23"/>
  <c r="BH6" i="23"/>
  <c r="BI6" i="23"/>
  <c r="BJ6" i="23"/>
  <c r="BK6" i="23"/>
  <c r="BL6" i="23"/>
  <c r="BM6" i="23"/>
  <c r="BN6" i="23"/>
  <c r="BO6" i="23"/>
  <c r="BP6" i="23"/>
  <c r="BQ6" i="23"/>
  <c r="BR6" i="23"/>
  <c r="BS6" i="23"/>
  <c r="BT6" i="23"/>
  <c r="BU6" i="23"/>
  <c r="BV6" i="23"/>
  <c r="BW6" i="23"/>
  <c r="BX6" i="23"/>
  <c r="BY6" i="23"/>
  <c r="BZ6" i="23"/>
  <c r="CA6" i="23"/>
  <c r="CB6" i="23"/>
  <c r="CC6" i="23"/>
  <c r="CD6" i="23"/>
  <c r="CE6" i="23"/>
  <c r="CF6" i="23"/>
  <c r="CG6" i="23"/>
  <c r="CH6" i="23"/>
  <c r="CI6" i="23"/>
  <c r="CJ6" i="23"/>
  <c r="CK6" i="23"/>
  <c r="CL6" i="23"/>
  <c r="CM6" i="23"/>
  <c r="CN6" i="23"/>
  <c r="CO6" i="23"/>
  <c r="CP6" i="23"/>
  <c r="CQ6" i="23"/>
  <c r="CR6" i="23"/>
  <c r="CS6" i="23"/>
  <c r="CT6" i="23"/>
  <c r="CU6" i="23"/>
  <c r="CV6" i="23"/>
  <c r="CW6" i="23"/>
  <c r="CX6" i="23"/>
  <c r="CY6" i="23"/>
  <c r="CZ6" i="23"/>
  <c r="DA6" i="23"/>
  <c r="DB6" i="23"/>
  <c r="DC6" i="23"/>
  <c r="DD6" i="23"/>
  <c r="DE6" i="23"/>
  <c r="DF6" i="23"/>
  <c r="DG6" i="23"/>
  <c r="DH6" i="23"/>
  <c r="DI6" i="23"/>
  <c r="DJ6" i="23"/>
  <c r="DK6" i="23"/>
  <c r="DL6" i="23"/>
  <c r="DM6" i="23"/>
  <c r="DN6" i="23"/>
  <c r="DO6" i="23"/>
  <c r="DP6" i="23"/>
  <c r="DQ6" i="23"/>
  <c r="DR6" i="23"/>
  <c r="DS6" i="23"/>
  <c r="DT6" i="23"/>
  <c r="DU6" i="23"/>
  <c r="DV6" i="23"/>
  <c r="DW6" i="23"/>
  <c r="DX6" i="23"/>
  <c r="DY6" i="23"/>
  <c r="DZ6" i="23"/>
  <c r="EA6" i="23"/>
  <c r="EB6" i="23"/>
  <c r="EC6" i="23"/>
  <c r="ED6" i="23"/>
  <c r="EE6" i="23"/>
  <c r="EF6" i="23"/>
  <c r="EG6" i="23"/>
  <c r="EH6" i="23"/>
  <c r="EI6" i="23"/>
  <c r="EJ6" i="23"/>
  <c r="EK6" i="23"/>
  <c r="EL6" i="23"/>
  <c r="EM6" i="23"/>
  <c r="EN6" i="23"/>
  <c r="EO6" i="23"/>
  <c r="EP6" i="23"/>
  <c r="EQ6" i="23"/>
  <c r="ER6" i="23"/>
  <c r="ES6" i="23"/>
  <c r="ET6" i="23"/>
  <c r="EU6" i="23"/>
  <c r="EV6" i="23"/>
  <c r="EW6" i="23"/>
  <c r="EX6" i="23"/>
  <c r="EY6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O7" i="23"/>
  <c r="AP7" i="23"/>
  <c r="AQ7" i="23"/>
  <c r="AR7" i="23"/>
  <c r="AS7" i="23"/>
  <c r="AT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T7" i="23"/>
  <c r="BU7" i="23"/>
  <c r="BV7" i="23"/>
  <c r="BW7" i="23"/>
  <c r="BX7" i="23"/>
  <c r="BY7" i="23"/>
  <c r="BZ7" i="23"/>
  <c r="CA7" i="23"/>
  <c r="CB7" i="23"/>
  <c r="CC7" i="23"/>
  <c r="CD7" i="23"/>
  <c r="CE7" i="23"/>
  <c r="CF7" i="23"/>
  <c r="CG7" i="23"/>
  <c r="CH7" i="23"/>
  <c r="CI7" i="23"/>
  <c r="CJ7" i="23"/>
  <c r="CK7" i="23"/>
  <c r="CL7" i="23"/>
  <c r="CM7" i="23"/>
  <c r="CN7" i="23"/>
  <c r="CO7" i="23"/>
  <c r="CP7" i="23"/>
  <c r="CQ7" i="23"/>
  <c r="CR7" i="23"/>
  <c r="CS7" i="23"/>
  <c r="CT7" i="23"/>
  <c r="CU7" i="23"/>
  <c r="CV7" i="23"/>
  <c r="CW7" i="23"/>
  <c r="CX7" i="23"/>
  <c r="CY7" i="23"/>
  <c r="CZ7" i="23"/>
  <c r="DA7" i="23"/>
  <c r="DB7" i="23"/>
  <c r="DC7" i="23"/>
  <c r="DD7" i="23"/>
  <c r="DE7" i="23"/>
  <c r="DF7" i="23"/>
  <c r="DG7" i="23"/>
  <c r="DH7" i="23"/>
  <c r="DI7" i="23"/>
  <c r="DJ7" i="23"/>
  <c r="DK7" i="23"/>
  <c r="DL7" i="23"/>
  <c r="DM7" i="23"/>
  <c r="DN7" i="23"/>
  <c r="DO7" i="23"/>
  <c r="DP7" i="23"/>
  <c r="DQ7" i="23"/>
  <c r="DR7" i="23"/>
  <c r="DS7" i="23"/>
  <c r="DT7" i="23"/>
  <c r="DU7" i="23"/>
  <c r="DV7" i="23"/>
  <c r="DW7" i="23"/>
  <c r="DX7" i="23"/>
  <c r="DY7" i="23"/>
  <c r="DZ7" i="23"/>
  <c r="EA7" i="23"/>
  <c r="EB7" i="23"/>
  <c r="EC7" i="23"/>
  <c r="ED7" i="23"/>
  <c r="EE7" i="23"/>
  <c r="EF7" i="23"/>
  <c r="EG7" i="23"/>
  <c r="EH7" i="23"/>
  <c r="EI7" i="23"/>
  <c r="EJ7" i="23"/>
  <c r="EK7" i="23"/>
  <c r="EL7" i="23"/>
  <c r="EM7" i="23"/>
  <c r="EN7" i="23"/>
  <c r="EO7" i="23"/>
  <c r="EP7" i="23"/>
  <c r="EQ7" i="23"/>
  <c r="ER7" i="23"/>
  <c r="ES7" i="23"/>
  <c r="ET7" i="23"/>
  <c r="EU7" i="23"/>
  <c r="EV7" i="23"/>
  <c r="EW7" i="23"/>
  <c r="EX7" i="23"/>
  <c r="EY7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O8" i="23"/>
  <c r="AP8" i="23"/>
  <c r="AQ8" i="23"/>
  <c r="AR8" i="23"/>
  <c r="AS8" i="23"/>
  <c r="AT8" i="23"/>
  <c r="AV8" i="23"/>
  <c r="AW8" i="23"/>
  <c r="AX8" i="23"/>
  <c r="AY8" i="23"/>
  <c r="AZ8" i="23"/>
  <c r="BA8" i="23"/>
  <c r="BB8" i="23"/>
  <c r="BC8" i="23"/>
  <c r="BD8" i="23"/>
  <c r="BE8" i="23"/>
  <c r="BF8" i="23"/>
  <c r="BG8" i="23"/>
  <c r="BH8" i="23"/>
  <c r="BI8" i="23"/>
  <c r="BJ8" i="23"/>
  <c r="BK8" i="23"/>
  <c r="BL8" i="23"/>
  <c r="BM8" i="23"/>
  <c r="BN8" i="23"/>
  <c r="BO8" i="23"/>
  <c r="BP8" i="23"/>
  <c r="BQ8" i="23"/>
  <c r="BR8" i="23"/>
  <c r="BS8" i="23"/>
  <c r="BT8" i="23"/>
  <c r="BU8" i="23"/>
  <c r="BV8" i="23"/>
  <c r="BW8" i="23"/>
  <c r="BX8" i="23"/>
  <c r="BY8" i="23"/>
  <c r="BZ8" i="23"/>
  <c r="CA8" i="23"/>
  <c r="CB8" i="23"/>
  <c r="CC8" i="23"/>
  <c r="CD8" i="23"/>
  <c r="CE8" i="23"/>
  <c r="CF8" i="23"/>
  <c r="CG8" i="23"/>
  <c r="CH8" i="23"/>
  <c r="CI8" i="23"/>
  <c r="CJ8" i="23"/>
  <c r="CK8" i="23"/>
  <c r="CL8" i="23"/>
  <c r="CM8" i="23"/>
  <c r="CN8" i="23"/>
  <c r="CO8" i="23"/>
  <c r="CP8" i="23"/>
  <c r="CQ8" i="23"/>
  <c r="CR8" i="23"/>
  <c r="CS8" i="23"/>
  <c r="CT8" i="23"/>
  <c r="CU8" i="23"/>
  <c r="CV8" i="23"/>
  <c r="CW8" i="23"/>
  <c r="CX8" i="23"/>
  <c r="CY8" i="23"/>
  <c r="CZ8" i="23"/>
  <c r="DA8" i="23"/>
  <c r="DB8" i="23"/>
  <c r="DC8" i="23"/>
  <c r="DD8" i="23"/>
  <c r="DE8" i="23"/>
  <c r="DF8" i="23"/>
  <c r="DG8" i="23"/>
  <c r="DH8" i="23"/>
  <c r="DI8" i="23"/>
  <c r="DJ8" i="23"/>
  <c r="DK8" i="23"/>
  <c r="DL8" i="23"/>
  <c r="DM8" i="23"/>
  <c r="DN8" i="23"/>
  <c r="DO8" i="23"/>
  <c r="DP8" i="23"/>
  <c r="DQ8" i="23"/>
  <c r="DR8" i="23"/>
  <c r="DS8" i="23"/>
  <c r="DT8" i="23"/>
  <c r="DU8" i="23"/>
  <c r="DV8" i="23"/>
  <c r="DW8" i="23"/>
  <c r="DX8" i="23"/>
  <c r="DY8" i="23"/>
  <c r="DZ8" i="23"/>
  <c r="EA8" i="23"/>
  <c r="EB8" i="23"/>
  <c r="EC8" i="23"/>
  <c r="ED8" i="23"/>
  <c r="EE8" i="23"/>
  <c r="EF8" i="23"/>
  <c r="EG8" i="23"/>
  <c r="EH8" i="23"/>
  <c r="EI8" i="23"/>
  <c r="EJ8" i="23"/>
  <c r="EK8" i="23"/>
  <c r="EL8" i="23"/>
  <c r="EM8" i="23"/>
  <c r="EN8" i="23"/>
  <c r="EO8" i="23"/>
  <c r="EP8" i="23"/>
  <c r="EQ8" i="23"/>
  <c r="ER8" i="23"/>
  <c r="ES8" i="23"/>
  <c r="ET8" i="23"/>
  <c r="EU8" i="23"/>
  <c r="EV8" i="23"/>
  <c r="EW8" i="23"/>
  <c r="EX8" i="23"/>
  <c r="EY8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O9" i="23"/>
  <c r="AP9" i="23"/>
  <c r="AQ9" i="23"/>
  <c r="AR9" i="23"/>
  <c r="AS9" i="23"/>
  <c r="AT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BW9" i="23"/>
  <c r="BX9" i="23"/>
  <c r="BY9" i="23"/>
  <c r="BZ9" i="23"/>
  <c r="CA9" i="23"/>
  <c r="CB9" i="23"/>
  <c r="CC9" i="23"/>
  <c r="CD9" i="23"/>
  <c r="CE9" i="23"/>
  <c r="CF9" i="23"/>
  <c r="CG9" i="23"/>
  <c r="CH9" i="23"/>
  <c r="CI9" i="23"/>
  <c r="CJ9" i="23"/>
  <c r="CK9" i="23"/>
  <c r="CL9" i="23"/>
  <c r="CM9" i="23"/>
  <c r="CN9" i="23"/>
  <c r="CO9" i="23"/>
  <c r="CP9" i="23"/>
  <c r="CQ9" i="23"/>
  <c r="CR9" i="23"/>
  <c r="CS9" i="23"/>
  <c r="CT9" i="23"/>
  <c r="CU9" i="23"/>
  <c r="CV9" i="23"/>
  <c r="CW9" i="23"/>
  <c r="CX9" i="23"/>
  <c r="CY9" i="23"/>
  <c r="CZ9" i="23"/>
  <c r="DA9" i="23"/>
  <c r="DB9" i="23"/>
  <c r="DC9" i="23"/>
  <c r="DD9" i="23"/>
  <c r="DE9" i="23"/>
  <c r="DF9" i="23"/>
  <c r="DG9" i="23"/>
  <c r="DH9" i="23"/>
  <c r="DI9" i="23"/>
  <c r="DJ9" i="23"/>
  <c r="DK9" i="23"/>
  <c r="DL9" i="23"/>
  <c r="DM9" i="23"/>
  <c r="DN9" i="23"/>
  <c r="DO9" i="23"/>
  <c r="DP9" i="23"/>
  <c r="DQ9" i="23"/>
  <c r="DR9" i="23"/>
  <c r="DS9" i="23"/>
  <c r="DT9" i="23"/>
  <c r="DU9" i="23"/>
  <c r="DV9" i="23"/>
  <c r="DW9" i="23"/>
  <c r="DX9" i="23"/>
  <c r="DY9" i="23"/>
  <c r="DZ9" i="23"/>
  <c r="EA9" i="23"/>
  <c r="EB9" i="23"/>
  <c r="EC9" i="23"/>
  <c r="ED9" i="23"/>
  <c r="EE9" i="23"/>
  <c r="EF9" i="23"/>
  <c r="EG9" i="23"/>
  <c r="EH9" i="23"/>
  <c r="EI9" i="23"/>
  <c r="EJ9" i="23"/>
  <c r="EK9" i="23"/>
  <c r="EL9" i="23"/>
  <c r="EM9" i="23"/>
  <c r="EN9" i="23"/>
  <c r="EO9" i="23"/>
  <c r="EP9" i="23"/>
  <c r="EQ9" i="23"/>
  <c r="ER9" i="23"/>
  <c r="ES9" i="23"/>
  <c r="ET9" i="23"/>
  <c r="EU9" i="23"/>
  <c r="EV9" i="23"/>
  <c r="EW9" i="23"/>
  <c r="EX9" i="23"/>
  <c r="EY9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O10" i="23"/>
  <c r="AP10" i="23"/>
  <c r="AQ10" i="23"/>
  <c r="AR10" i="23"/>
  <c r="AS10" i="23"/>
  <c r="AT10" i="23"/>
  <c r="AV10" i="23"/>
  <c r="AW10" i="23"/>
  <c r="AX10" i="23"/>
  <c r="AY10" i="23"/>
  <c r="AZ10" i="23"/>
  <c r="BA10" i="23"/>
  <c r="BB10" i="23"/>
  <c r="BC10" i="23"/>
  <c r="BD10" i="23"/>
  <c r="BE10" i="23"/>
  <c r="BF10" i="23"/>
  <c r="BG10" i="23"/>
  <c r="BH10" i="23"/>
  <c r="BI10" i="23"/>
  <c r="BJ10" i="23"/>
  <c r="BK10" i="23"/>
  <c r="BL10" i="23"/>
  <c r="BM10" i="23"/>
  <c r="BN10" i="23"/>
  <c r="BO10" i="23"/>
  <c r="BP10" i="23"/>
  <c r="BQ10" i="23"/>
  <c r="BR10" i="23"/>
  <c r="BS10" i="23"/>
  <c r="BT10" i="23"/>
  <c r="BU10" i="23"/>
  <c r="BV10" i="23"/>
  <c r="BW10" i="23"/>
  <c r="BX10" i="23"/>
  <c r="BY10" i="23"/>
  <c r="BZ10" i="23"/>
  <c r="CA10" i="23"/>
  <c r="CB10" i="23"/>
  <c r="CC10" i="23"/>
  <c r="CD10" i="23"/>
  <c r="CE10" i="23"/>
  <c r="CF10" i="23"/>
  <c r="CG10" i="23"/>
  <c r="CH10" i="23"/>
  <c r="CI10" i="23"/>
  <c r="CJ10" i="23"/>
  <c r="CK10" i="23"/>
  <c r="CL10" i="23"/>
  <c r="CM10" i="23"/>
  <c r="CN10" i="23"/>
  <c r="CO10" i="23"/>
  <c r="CP10" i="23"/>
  <c r="CQ10" i="23"/>
  <c r="CR10" i="23"/>
  <c r="CS10" i="23"/>
  <c r="CT10" i="23"/>
  <c r="CU10" i="23"/>
  <c r="CV10" i="23"/>
  <c r="CW10" i="23"/>
  <c r="CX10" i="23"/>
  <c r="CY10" i="23"/>
  <c r="CZ10" i="23"/>
  <c r="DA10" i="23"/>
  <c r="DB10" i="23"/>
  <c r="DC10" i="23"/>
  <c r="DD10" i="23"/>
  <c r="DE10" i="23"/>
  <c r="DF10" i="23"/>
  <c r="DG10" i="23"/>
  <c r="DH10" i="23"/>
  <c r="DI10" i="23"/>
  <c r="DJ10" i="23"/>
  <c r="DK10" i="23"/>
  <c r="DL10" i="23"/>
  <c r="DM10" i="23"/>
  <c r="DN10" i="23"/>
  <c r="DO10" i="23"/>
  <c r="DP10" i="23"/>
  <c r="DQ10" i="23"/>
  <c r="DR10" i="23"/>
  <c r="DS10" i="23"/>
  <c r="DT10" i="23"/>
  <c r="DU10" i="23"/>
  <c r="DV10" i="23"/>
  <c r="DW10" i="23"/>
  <c r="DX10" i="23"/>
  <c r="DY10" i="23"/>
  <c r="DZ10" i="23"/>
  <c r="EA10" i="23"/>
  <c r="EB10" i="23"/>
  <c r="EC10" i="23"/>
  <c r="ED10" i="23"/>
  <c r="EE10" i="23"/>
  <c r="EF10" i="23"/>
  <c r="EG10" i="23"/>
  <c r="EH10" i="23"/>
  <c r="EI10" i="23"/>
  <c r="EJ10" i="23"/>
  <c r="EK10" i="23"/>
  <c r="EL10" i="23"/>
  <c r="EM10" i="23"/>
  <c r="EN10" i="23"/>
  <c r="EO10" i="23"/>
  <c r="EP10" i="23"/>
  <c r="EQ10" i="23"/>
  <c r="ER10" i="23"/>
  <c r="ES10" i="23"/>
  <c r="ET10" i="23"/>
  <c r="EU10" i="23"/>
  <c r="EV10" i="23"/>
  <c r="EW10" i="23"/>
  <c r="EX10" i="23"/>
  <c r="EY10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O11" i="23"/>
  <c r="AP11" i="23"/>
  <c r="AQ11" i="23"/>
  <c r="AR11" i="23"/>
  <c r="AS11" i="23"/>
  <c r="AT11" i="23"/>
  <c r="AV11" i="23"/>
  <c r="AW11" i="23"/>
  <c r="AX11" i="23"/>
  <c r="AY11" i="23"/>
  <c r="AZ11" i="23"/>
  <c r="BA11" i="23"/>
  <c r="BB11" i="23"/>
  <c r="BC11" i="23"/>
  <c r="BD11" i="23"/>
  <c r="BE11" i="23"/>
  <c r="BF11" i="23"/>
  <c r="BG11" i="23"/>
  <c r="BH11" i="23"/>
  <c r="BI11" i="23"/>
  <c r="BJ11" i="23"/>
  <c r="BK11" i="23"/>
  <c r="BL11" i="23"/>
  <c r="BM11" i="23"/>
  <c r="BN11" i="23"/>
  <c r="BO11" i="23"/>
  <c r="BP11" i="23"/>
  <c r="BQ11" i="23"/>
  <c r="BR11" i="23"/>
  <c r="BS11" i="23"/>
  <c r="BT11" i="23"/>
  <c r="BU11" i="23"/>
  <c r="BV11" i="23"/>
  <c r="BW11" i="23"/>
  <c r="BX11" i="23"/>
  <c r="BY11" i="23"/>
  <c r="BZ11" i="23"/>
  <c r="CA11" i="23"/>
  <c r="CB11" i="23"/>
  <c r="CC11" i="23"/>
  <c r="CD11" i="23"/>
  <c r="CE11" i="23"/>
  <c r="CF11" i="23"/>
  <c r="CG11" i="23"/>
  <c r="CH11" i="23"/>
  <c r="CI11" i="23"/>
  <c r="CJ11" i="23"/>
  <c r="CK11" i="23"/>
  <c r="CL11" i="23"/>
  <c r="CM11" i="23"/>
  <c r="CN11" i="23"/>
  <c r="CO11" i="23"/>
  <c r="CP11" i="23"/>
  <c r="CQ11" i="23"/>
  <c r="CR11" i="23"/>
  <c r="CS11" i="23"/>
  <c r="CT11" i="23"/>
  <c r="CU11" i="23"/>
  <c r="CV11" i="23"/>
  <c r="CW11" i="23"/>
  <c r="CX11" i="23"/>
  <c r="CY11" i="23"/>
  <c r="CZ11" i="23"/>
  <c r="DA11" i="23"/>
  <c r="DB11" i="23"/>
  <c r="DC11" i="23"/>
  <c r="DD11" i="23"/>
  <c r="DE11" i="23"/>
  <c r="DF11" i="23"/>
  <c r="DG11" i="23"/>
  <c r="DH11" i="23"/>
  <c r="DI11" i="23"/>
  <c r="DJ11" i="23"/>
  <c r="DK11" i="23"/>
  <c r="DL11" i="23"/>
  <c r="DM11" i="23"/>
  <c r="DN11" i="23"/>
  <c r="DO11" i="23"/>
  <c r="DP11" i="23"/>
  <c r="DQ11" i="23"/>
  <c r="DR11" i="23"/>
  <c r="DS11" i="23"/>
  <c r="DT11" i="23"/>
  <c r="DU11" i="23"/>
  <c r="DV11" i="23"/>
  <c r="DW11" i="23"/>
  <c r="DX11" i="23"/>
  <c r="DY11" i="23"/>
  <c r="DZ11" i="23"/>
  <c r="EA11" i="23"/>
  <c r="EB11" i="23"/>
  <c r="EC11" i="23"/>
  <c r="ED11" i="23"/>
  <c r="EE11" i="23"/>
  <c r="EF11" i="23"/>
  <c r="EG11" i="23"/>
  <c r="EH11" i="23"/>
  <c r="EI11" i="23"/>
  <c r="EJ11" i="23"/>
  <c r="EK11" i="23"/>
  <c r="EL11" i="23"/>
  <c r="EM11" i="23"/>
  <c r="EN11" i="23"/>
  <c r="EO11" i="23"/>
  <c r="EP11" i="23"/>
  <c r="EQ11" i="23"/>
  <c r="ER11" i="23"/>
  <c r="ES11" i="23"/>
  <c r="ET11" i="23"/>
  <c r="EU11" i="23"/>
  <c r="EV11" i="23"/>
  <c r="EW11" i="23"/>
  <c r="EX11" i="23"/>
  <c r="EY11" i="23"/>
  <c r="E12" i="23"/>
  <c r="F12" i="23"/>
  <c r="G12" i="23"/>
  <c r="H12" i="23"/>
  <c r="I12" i="23"/>
  <c r="J12" i="23"/>
  <c r="K12" i="23"/>
  <c r="L12" i="23"/>
  <c r="M12" i="23"/>
  <c r="N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O12" i="23"/>
  <c r="AP12" i="23"/>
  <c r="AQ12" i="23"/>
  <c r="AR12" i="23"/>
  <c r="AS12" i="23"/>
  <c r="AT12" i="23"/>
  <c r="AV12" i="23"/>
  <c r="AW12" i="23"/>
  <c r="AX12" i="23"/>
  <c r="AY12" i="23"/>
  <c r="AZ12" i="23"/>
  <c r="BA12" i="23"/>
  <c r="BB12" i="23"/>
  <c r="BC12" i="23"/>
  <c r="BD12" i="23"/>
  <c r="BE12" i="23"/>
  <c r="BF12" i="23"/>
  <c r="BG12" i="23"/>
  <c r="BH12" i="23"/>
  <c r="BI12" i="23"/>
  <c r="BJ12" i="23"/>
  <c r="BK12" i="23"/>
  <c r="BL12" i="23"/>
  <c r="BM12" i="23"/>
  <c r="BN12" i="23"/>
  <c r="BO12" i="23"/>
  <c r="BP12" i="23"/>
  <c r="BQ12" i="23"/>
  <c r="BR12" i="23"/>
  <c r="BS12" i="23"/>
  <c r="BT12" i="23"/>
  <c r="BU12" i="23"/>
  <c r="BV12" i="23"/>
  <c r="BW12" i="23"/>
  <c r="BX12" i="23"/>
  <c r="BY12" i="23"/>
  <c r="BZ12" i="23"/>
  <c r="CA12" i="23"/>
  <c r="CB12" i="23"/>
  <c r="CC12" i="23"/>
  <c r="CD12" i="23"/>
  <c r="CE12" i="23"/>
  <c r="CF12" i="23"/>
  <c r="CG12" i="23"/>
  <c r="CH12" i="23"/>
  <c r="CI12" i="23"/>
  <c r="CJ12" i="23"/>
  <c r="CK12" i="23"/>
  <c r="CL12" i="23"/>
  <c r="CM12" i="23"/>
  <c r="CN12" i="23"/>
  <c r="CO12" i="23"/>
  <c r="CP12" i="23"/>
  <c r="CQ12" i="23"/>
  <c r="CR12" i="23"/>
  <c r="CS12" i="23"/>
  <c r="CT12" i="23"/>
  <c r="CU12" i="23"/>
  <c r="CV12" i="23"/>
  <c r="CW12" i="23"/>
  <c r="CX12" i="23"/>
  <c r="CY12" i="23"/>
  <c r="CZ12" i="23"/>
  <c r="DA12" i="23"/>
  <c r="DB12" i="23"/>
  <c r="DC12" i="23"/>
  <c r="DD12" i="23"/>
  <c r="DE12" i="23"/>
  <c r="DF12" i="23"/>
  <c r="DG12" i="23"/>
  <c r="DH12" i="23"/>
  <c r="DI12" i="23"/>
  <c r="DJ12" i="23"/>
  <c r="DK12" i="23"/>
  <c r="DL12" i="23"/>
  <c r="DM12" i="23"/>
  <c r="DN12" i="23"/>
  <c r="DO12" i="23"/>
  <c r="DP12" i="23"/>
  <c r="DQ12" i="23"/>
  <c r="DR12" i="23"/>
  <c r="DS12" i="23"/>
  <c r="DT12" i="23"/>
  <c r="DU12" i="23"/>
  <c r="DV12" i="23"/>
  <c r="DW12" i="23"/>
  <c r="DX12" i="23"/>
  <c r="DY12" i="23"/>
  <c r="DZ12" i="23"/>
  <c r="EA12" i="23"/>
  <c r="EB12" i="23"/>
  <c r="EC12" i="23"/>
  <c r="ED12" i="23"/>
  <c r="EE12" i="23"/>
  <c r="EF12" i="23"/>
  <c r="EG12" i="23"/>
  <c r="EH12" i="23"/>
  <c r="EI12" i="23"/>
  <c r="EJ12" i="23"/>
  <c r="EK12" i="23"/>
  <c r="EL12" i="23"/>
  <c r="EM12" i="23"/>
  <c r="EN12" i="23"/>
  <c r="EO12" i="23"/>
  <c r="EP12" i="23"/>
  <c r="EQ12" i="23"/>
  <c r="ER12" i="23"/>
  <c r="ES12" i="23"/>
  <c r="ET12" i="23"/>
  <c r="EU12" i="23"/>
  <c r="EV12" i="23"/>
  <c r="EW12" i="23"/>
  <c r="EX12" i="23"/>
  <c r="EY12" i="23"/>
  <c r="E13" i="23"/>
  <c r="F13" i="23"/>
  <c r="G13" i="23"/>
  <c r="H13" i="23"/>
  <c r="I13" i="23"/>
  <c r="J13" i="23"/>
  <c r="K13" i="23"/>
  <c r="L13" i="23"/>
  <c r="M13" i="23"/>
  <c r="N13" i="23"/>
  <c r="O13" i="23"/>
  <c r="P13" i="23"/>
  <c r="Q13" i="23"/>
  <c r="R13" i="23"/>
  <c r="S13" i="23"/>
  <c r="T13" i="23"/>
  <c r="U13" i="23"/>
  <c r="V13" i="23"/>
  <c r="W13" i="23"/>
  <c r="X13" i="23"/>
  <c r="Y13" i="23"/>
  <c r="Z13" i="23"/>
  <c r="AA13" i="23"/>
  <c r="AB13" i="23"/>
  <c r="AC13" i="23"/>
  <c r="AD13" i="23"/>
  <c r="AE13" i="23"/>
  <c r="AF13" i="23"/>
  <c r="AO13" i="23"/>
  <c r="AP13" i="23"/>
  <c r="AQ13" i="23"/>
  <c r="AR13" i="23"/>
  <c r="AS13" i="23"/>
  <c r="AT13" i="23"/>
  <c r="AV13" i="23"/>
  <c r="AW13" i="23"/>
  <c r="AX13" i="23"/>
  <c r="AY13" i="23"/>
  <c r="AZ13" i="23"/>
  <c r="BA13" i="23"/>
  <c r="BB13" i="23"/>
  <c r="BC13" i="23"/>
  <c r="BD13" i="23"/>
  <c r="BE13" i="23"/>
  <c r="BF13" i="23"/>
  <c r="BG13" i="23"/>
  <c r="BH13" i="23"/>
  <c r="BI13" i="23"/>
  <c r="BJ13" i="23"/>
  <c r="BK13" i="23"/>
  <c r="BL13" i="23"/>
  <c r="BM13" i="23"/>
  <c r="BN13" i="23"/>
  <c r="BO13" i="23"/>
  <c r="BP13" i="23"/>
  <c r="BQ13" i="23"/>
  <c r="BR13" i="23"/>
  <c r="BS13" i="23"/>
  <c r="BT13" i="23"/>
  <c r="BU13" i="23"/>
  <c r="BV13" i="23"/>
  <c r="BW13" i="23"/>
  <c r="BX13" i="23"/>
  <c r="BY13" i="23"/>
  <c r="BZ13" i="23"/>
  <c r="CA13" i="23"/>
  <c r="CB13" i="23"/>
  <c r="CC13" i="23"/>
  <c r="CD13" i="23"/>
  <c r="CE13" i="23"/>
  <c r="CF13" i="23"/>
  <c r="CG13" i="23"/>
  <c r="CH13" i="23"/>
  <c r="CI13" i="23"/>
  <c r="CJ13" i="23"/>
  <c r="CK13" i="23"/>
  <c r="CL13" i="23"/>
  <c r="CM13" i="23"/>
  <c r="CN13" i="23"/>
  <c r="CO13" i="23"/>
  <c r="CP13" i="23"/>
  <c r="CQ13" i="23"/>
  <c r="CR13" i="23"/>
  <c r="CS13" i="23"/>
  <c r="CT13" i="23"/>
  <c r="CU13" i="23"/>
  <c r="CV13" i="23"/>
  <c r="CW13" i="23"/>
  <c r="CX13" i="23"/>
  <c r="CY13" i="23"/>
  <c r="CZ13" i="23"/>
  <c r="DA13" i="23"/>
  <c r="DB13" i="23"/>
  <c r="DC13" i="23"/>
  <c r="DD13" i="23"/>
  <c r="DE13" i="23"/>
  <c r="DF13" i="23"/>
  <c r="DG13" i="23"/>
  <c r="DH13" i="23"/>
  <c r="DI13" i="23"/>
  <c r="DJ13" i="23"/>
  <c r="DK13" i="23"/>
  <c r="DL13" i="23"/>
  <c r="DM13" i="23"/>
  <c r="DN13" i="23"/>
  <c r="DO13" i="23"/>
  <c r="DP13" i="23"/>
  <c r="DQ13" i="23"/>
  <c r="DR13" i="23"/>
  <c r="DS13" i="23"/>
  <c r="DT13" i="23"/>
  <c r="DU13" i="23"/>
  <c r="DV13" i="23"/>
  <c r="DW13" i="23"/>
  <c r="DX13" i="23"/>
  <c r="DY13" i="23"/>
  <c r="DZ13" i="23"/>
  <c r="EA13" i="23"/>
  <c r="EB13" i="23"/>
  <c r="EC13" i="23"/>
  <c r="ED13" i="23"/>
  <c r="EE13" i="23"/>
  <c r="EF13" i="23"/>
  <c r="EG13" i="23"/>
  <c r="EH13" i="23"/>
  <c r="EI13" i="23"/>
  <c r="EJ13" i="23"/>
  <c r="EK13" i="23"/>
  <c r="EL13" i="23"/>
  <c r="EM13" i="23"/>
  <c r="EN13" i="23"/>
  <c r="EO13" i="23"/>
  <c r="EP13" i="23"/>
  <c r="EQ13" i="23"/>
  <c r="ER13" i="23"/>
  <c r="ES13" i="23"/>
  <c r="ET13" i="23"/>
  <c r="EU13" i="23"/>
  <c r="EV13" i="23"/>
  <c r="EW13" i="23"/>
  <c r="EX13" i="23"/>
  <c r="EY13" i="23"/>
  <c r="E14" i="23"/>
  <c r="F14" i="23"/>
  <c r="G14" i="23"/>
  <c r="H14" i="23"/>
  <c r="I14" i="23"/>
  <c r="J14" i="23"/>
  <c r="K14" i="23"/>
  <c r="L14" i="23"/>
  <c r="M14" i="23"/>
  <c r="N14" i="23"/>
  <c r="O14" i="23"/>
  <c r="P14" i="23"/>
  <c r="Q14" i="23"/>
  <c r="R14" i="23"/>
  <c r="S14" i="23"/>
  <c r="T14" i="23"/>
  <c r="U14" i="23"/>
  <c r="V14" i="23"/>
  <c r="W14" i="23"/>
  <c r="X14" i="23"/>
  <c r="Y14" i="23"/>
  <c r="Z14" i="23"/>
  <c r="AA14" i="23"/>
  <c r="AB14" i="23"/>
  <c r="AC14" i="23"/>
  <c r="AD14" i="23"/>
  <c r="AE14" i="23"/>
  <c r="AF14" i="23"/>
  <c r="AO14" i="23"/>
  <c r="AP14" i="23"/>
  <c r="AQ14" i="23"/>
  <c r="AR14" i="23"/>
  <c r="AS14" i="23"/>
  <c r="AT14" i="23"/>
  <c r="AV14" i="23"/>
  <c r="AW14" i="23"/>
  <c r="AX14" i="23"/>
  <c r="AY14" i="23"/>
  <c r="AZ14" i="23"/>
  <c r="BA14" i="23"/>
  <c r="BB14" i="23"/>
  <c r="BC14" i="23"/>
  <c r="BD14" i="23"/>
  <c r="BE14" i="23"/>
  <c r="BF14" i="23"/>
  <c r="BG14" i="23"/>
  <c r="BH14" i="23"/>
  <c r="BI14" i="23"/>
  <c r="BJ14" i="23"/>
  <c r="BK14" i="23"/>
  <c r="BL14" i="23"/>
  <c r="BM14" i="23"/>
  <c r="BN14" i="23"/>
  <c r="BO14" i="23"/>
  <c r="BP14" i="23"/>
  <c r="BQ14" i="23"/>
  <c r="BR14" i="23"/>
  <c r="BS14" i="23"/>
  <c r="BT14" i="23"/>
  <c r="BU14" i="23"/>
  <c r="BV14" i="23"/>
  <c r="BW14" i="23"/>
  <c r="BX14" i="23"/>
  <c r="BY14" i="23"/>
  <c r="BZ14" i="23"/>
  <c r="CA14" i="23"/>
  <c r="CB14" i="23"/>
  <c r="CC14" i="23"/>
  <c r="CD14" i="23"/>
  <c r="CE14" i="23"/>
  <c r="CF14" i="23"/>
  <c r="CG14" i="23"/>
  <c r="CH14" i="23"/>
  <c r="CI14" i="23"/>
  <c r="CJ14" i="23"/>
  <c r="CK14" i="23"/>
  <c r="CL14" i="23"/>
  <c r="CM14" i="23"/>
  <c r="CN14" i="23"/>
  <c r="CO14" i="23"/>
  <c r="CP14" i="23"/>
  <c r="CQ14" i="23"/>
  <c r="CR14" i="23"/>
  <c r="CS14" i="23"/>
  <c r="CT14" i="23"/>
  <c r="CU14" i="23"/>
  <c r="CV14" i="23"/>
  <c r="CW14" i="23"/>
  <c r="CX14" i="23"/>
  <c r="CY14" i="23"/>
  <c r="CZ14" i="23"/>
  <c r="DA14" i="23"/>
  <c r="DB14" i="23"/>
  <c r="DC14" i="23"/>
  <c r="DD14" i="23"/>
  <c r="DE14" i="23"/>
  <c r="DF14" i="23"/>
  <c r="DG14" i="23"/>
  <c r="DH14" i="23"/>
  <c r="DI14" i="23"/>
  <c r="DJ14" i="23"/>
  <c r="DK14" i="23"/>
  <c r="DL14" i="23"/>
  <c r="DM14" i="23"/>
  <c r="DN14" i="23"/>
  <c r="DO14" i="23"/>
  <c r="DP14" i="23"/>
  <c r="DQ14" i="23"/>
  <c r="DR14" i="23"/>
  <c r="DS14" i="23"/>
  <c r="DT14" i="23"/>
  <c r="DU14" i="23"/>
  <c r="DV14" i="23"/>
  <c r="DW14" i="23"/>
  <c r="DX14" i="23"/>
  <c r="DY14" i="23"/>
  <c r="DZ14" i="23"/>
  <c r="EA14" i="23"/>
  <c r="EB14" i="23"/>
  <c r="EC14" i="23"/>
  <c r="ED14" i="23"/>
  <c r="EE14" i="23"/>
  <c r="EF14" i="23"/>
  <c r="EG14" i="23"/>
  <c r="EH14" i="23"/>
  <c r="EI14" i="23"/>
  <c r="EJ14" i="23"/>
  <c r="EK14" i="23"/>
  <c r="EL14" i="23"/>
  <c r="EM14" i="23"/>
  <c r="EN14" i="23"/>
  <c r="EO14" i="23"/>
  <c r="EP14" i="23"/>
  <c r="EQ14" i="23"/>
  <c r="ER14" i="23"/>
  <c r="ES14" i="23"/>
  <c r="ET14" i="23"/>
  <c r="EU14" i="23"/>
  <c r="EV14" i="23"/>
  <c r="EW14" i="23"/>
  <c r="EX14" i="23"/>
  <c r="EY14" i="23"/>
  <c r="E15" i="23"/>
  <c r="F15" i="23"/>
  <c r="G15" i="23"/>
  <c r="H15" i="23"/>
  <c r="I15" i="23"/>
  <c r="J15" i="23"/>
  <c r="K15" i="23"/>
  <c r="L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O15" i="23"/>
  <c r="AP15" i="23"/>
  <c r="AQ15" i="23"/>
  <c r="AR15" i="23"/>
  <c r="AS15" i="23"/>
  <c r="AT15" i="23"/>
  <c r="AV15" i="23"/>
  <c r="AW15" i="23"/>
  <c r="AX15" i="23"/>
  <c r="AY15" i="23"/>
  <c r="AZ15" i="23"/>
  <c r="BA15" i="23"/>
  <c r="BB15" i="23"/>
  <c r="BC15" i="23"/>
  <c r="BD15" i="23"/>
  <c r="BE15" i="23"/>
  <c r="BF15" i="23"/>
  <c r="BG15" i="23"/>
  <c r="BH15" i="23"/>
  <c r="BI15" i="23"/>
  <c r="BJ15" i="23"/>
  <c r="BK15" i="23"/>
  <c r="BL15" i="23"/>
  <c r="BM15" i="23"/>
  <c r="BN15" i="23"/>
  <c r="BO15" i="23"/>
  <c r="BP15" i="23"/>
  <c r="BQ15" i="23"/>
  <c r="BR15" i="23"/>
  <c r="BS15" i="23"/>
  <c r="BT15" i="23"/>
  <c r="BU15" i="23"/>
  <c r="BV15" i="23"/>
  <c r="BW15" i="23"/>
  <c r="BX15" i="23"/>
  <c r="BY15" i="23"/>
  <c r="BZ15" i="23"/>
  <c r="CA15" i="23"/>
  <c r="CB15" i="23"/>
  <c r="CC15" i="23"/>
  <c r="CD15" i="23"/>
  <c r="CE15" i="23"/>
  <c r="CF15" i="23"/>
  <c r="CG15" i="23"/>
  <c r="CH15" i="23"/>
  <c r="CI15" i="23"/>
  <c r="CJ15" i="23"/>
  <c r="CK15" i="23"/>
  <c r="CL15" i="23"/>
  <c r="CM15" i="23"/>
  <c r="CN15" i="23"/>
  <c r="CO15" i="23"/>
  <c r="CP15" i="23"/>
  <c r="CQ15" i="23"/>
  <c r="CR15" i="23"/>
  <c r="CS15" i="23"/>
  <c r="CT15" i="23"/>
  <c r="CU15" i="23"/>
  <c r="CV15" i="23"/>
  <c r="CW15" i="23"/>
  <c r="CX15" i="23"/>
  <c r="CY15" i="23"/>
  <c r="CZ15" i="23"/>
  <c r="DA15" i="23"/>
  <c r="DB15" i="23"/>
  <c r="DC15" i="23"/>
  <c r="DD15" i="23"/>
  <c r="DE15" i="23"/>
  <c r="DF15" i="23"/>
  <c r="DG15" i="23"/>
  <c r="DH15" i="23"/>
  <c r="DI15" i="23"/>
  <c r="DJ15" i="23"/>
  <c r="DK15" i="23"/>
  <c r="DL15" i="23"/>
  <c r="DM15" i="23"/>
  <c r="DN15" i="23"/>
  <c r="DO15" i="23"/>
  <c r="DP15" i="23"/>
  <c r="DQ15" i="23"/>
  <c r="DR15" i="23"/>
  <c r="DS15" i="23"/>
  <c r="DT15" i="23"/>
  <c r="DU15" i="23"/>
  <c r="DV15" i="23"/>
  <c r="DW15" i="23"/>
  <c r="DX15" i="23"/>
  <c r="DY15" i="23"/>
  <c r="DZ15" i="23"/>
  <c r="EA15" i="23"/>
  <c r="EB15" i="23"/>
  <c r="EC15" i="23"/>
  <c r="ED15" i="23"/>
  <c r="EE15" i="23"/>
  <c r="EF15" i="23"/>
  <c r="EG15" i="23"/>
  <c r="EH15" i="23"/>
  <c r="EI15" i="23"/>
  <c r="EJ15" i="23"/>
  <c r="EK15" i="23"/>
  <c r="EL15" i="23"/>
  <c r="EM15" i="23"/>
  <c r="EN15" i="23"/>
  <c r="EO15" i="23"/>
  <c r="EP15" i="23"/>
  <c r="EQ15" i="23"/>
  <c r="ER15" i="23"/>
  <c r="ES15" i="23"/>
  <c r="ET15" i="23"/>
  <c r="EU15" i="23"/>
  <c r="EV15" i="23"/>
  <c r="EW15" i="23"/>
  <c r="EX15" i="23"/>
  <c r="EY15" i="23"/>
  <c r="E16" i="23"/>
  <c r="F16" i="23"/>
  <c r="G16" i="23"/>
  <c r="H16" i="23"/>
  <c r="I16" i="23"/>
  <c r="J16" i="23"/>
  <c r="K16" i="23"/>
  <c r="L16" i="23"/>
  <c r="M16" i="23"/>
  <c r="N16" i="23"/>
  <c r="O16" i="23"/>
  <c r="P16" i="23"/>
  <c r="Q16" i="23"/>
  <c r="R16" i="23"/>
  <c r="S16" i="23"/>
  <c r="T16" i="23"/>
  <c r="U16" i="23"/>
  <c r="V16" i="23"/>
  <c r="W16" i="23"/>
  <c r="X16" i="23"/>
  <c r="Y16" i="23"/>
  <c r="Z16" i="23"/>
  <c r="AA16" i="23"/>
  <c r="AB16" i="23"/>
  <c r="AC16" i="23"/>
  <c r="AD16" i="23"/>
  <c r="AE16" i="23"/>
  <c r="AF16" i="23"/>
  <c r="AO16" i="23"/>
  <c r="AP16" i="23"/>
  <c r="AQ16" i="23"/>
  <c r="AR16" i="23"/>
  <c r="AS16" i="23"/>
  <c r="AT16" i="23"/>
  <c r="AV16" i="23"/>
  <c r="AW16" i="23"/>
  <c r="AX16" i="23"/>
  <c r="AY16" i="23"/>
  <c r="AZ16" i="23"/>
  <c r="BA16" i="23"/>
  <c r="BB16" i="23"/>
  <c r="BC16" i="23"/>
  <c r="BD16" i="23"/>
  <c r="BE16" i="23"/>
  <c r="BF16" i="23"/>
  <c r="BG16" i="23"/>
  <c r="BH16" i="23"/>
  <c r="BI16" i="23"/>
  <c r="BJ16" i="23"/>
  <c r="BK16" i="23"/>
  <c r="BL16" i="23"/>
  <c r="BM16" i="23"/>
  <c r="BN16" i="23"/>
  <c r="BO16" i="23"/>
  <c r="BP16" i="23"/>
  <c r="BQ16" i="23"/>
  <c r="BR16" i="23"/>
  <c r="BS16" i="23"/>
  <c r="BT16" i="23"/>
  <c r="BU16" i="23"/>
  <c r="BV16" i="23"/>
  <c r="BW16" i="23"/>
  <c r="BX16" i="23"/>
  <c r="BY16" i="23"/>
  <c r="BZ16" i="23"/>
  <c r="CA16" i="23"/>
  <c r="CB16" i="23"/>
  <c r="CC16" i="23"/>
  <c r="CD16" i="23"/>
  <c r="CE16" i="23"/>
  <c r="CF16" i="23"/>
  <c r="CG16" i="23"/>
  <c r="CH16" i="23"/>
  <c r="CI16" i="23"/>
  <c r="CJ16" i="23"/>
  <c r="CK16" i="23"/>
  <c r="CL16" i="23"/>
  <c r="CM16" i="23"/>
  <c r="CN16" i="23"/>
  <c r="CO16" i="23"/>
  <c r="CP16" i="23"/>
  <c r="CQ16" i="23"/>
  <c r="CR16" i="23"/>
  <c r="CS16" i="23"/>
  <c r="CT16" i="23"/>
  <c r="CU16" i="23"/>
  <c r="CV16" i="23"/>
  <c r="CW16" i="23"/>
  <c r="CX16" i="23"/>
  <c r="CY16" i="23"/>
  <c r="CZ16" i="23"/>
  <c r="DA16" i="23"/>
  <c r="DB16" i="23"/>
  <c r="DC16" i="23"/>
  <c r="DD16" i="23"/>
  <c r="DE16" i="23"/>
  <c r="DF16" i="23"/>
  <c r="DG16" i="23"/>
  <c r="DH16" i="23"/>
  <c r="DI16" i="23"/>
  <c r="DJ16" i="23"/>
  <c r="DK16" i="23"/>
  <c r="DL16" i="23"/>
  <c r="DM16" i="23"/>
  <c r="DN16" i="23"/>
  <c r="DO16" i="23"/>
  <c r="DP16" i="23"/>
  <c r="DQ16" i="23"/>
  <c r="DR16" i="23"/>
  <c r="DS16" i="23"/>
  <c r="DT16" i="23"/>
  <c r="DU16" i="23"/>
  <c r="DV16" i="23"/>
  <c r="DW16" i="23"/>
  <c r="DX16" i="23"/>
  <c r="DY16" i="23"/>
  <c r="DZ16" i="23"/>
  <c r="EA16" i="23"/>
  <c r="EB16" i="23"/>
  <c r="EC16" i="23"/>
  <c r="ED16" i="23"/>
  <c r="EE16" i="23"/>
  <c r="EF16" i="23"/>
  <c r="EG16" i="23"/>
  <c r="EH16" i="23"/>
  <c r="EI16" i="23"/>
  <c r="EJ16" i="23"/>
  <c r="EK16" i="23"/>
  <c r="EL16" i="23"/>
  <c r="EM16" i="23"/>
  <c r="EN16" i="23"/>
  <c r="EO16" i="23"/>
  <c r="EP16" i="23"/>
  <c r="EQ16" i="23"/>
  <c r="ER16" i="23"/>
  <c r="ES16" i="23"/>
  <c r="ET16" i="23"/>
  <c r="EU16" i="23"/>
  <c r="EV16" i="23"/>
  <c r="EW16" i="23"/>
  <c r="EX16" i="23"/>
  <c r="EY16" i="23"/>
  <c r="E17" i="23"/>
  <c r="F17" i="23"/>
  <c r="G17" i="23"/>
  <c r="H17" i="23"/>
  <c r="I17" i="23"/>
  <c r="J17" i="23"/>
  <c r="K17" i="23"/>
  <c r="L17" i="23"/>
  <c r="M17" i="23"/>
  <c r="N17" i="23"/>
  <c r="O17" i="23"/>
  <c r="P17" i="23"/>
  <c r="Q17" i="23"/>
  <c r="R17" i="23"/>
  <c r="S17" i="23"/>
  <c r="T17" i="23"/>
  <c r="U17" i="23"/>
  <c r="V17" i="23"/>
  <c r="W17" i="23"/>
  <c r="X17" i="23"/>
  <c r="Y17" i="23"/>
  <c r="Z17" i="23"/>
  <c r="AA17" i="23"/>
  <c r="AB17" i="23"/>
  <c r="AC17" i="23"/>
  <c r="AD17" i="23"/>
  <c r="AE17" i="23"/>
  <c r="AF17" i="23"/>
  <c r="AO17" i="23"/>
  <c r="AP17" i="23"/>
  <c r="AQ17" i="23"/>
  <c r="AR17" i="23"/>
  <c r="AS17" i="23"/>
  <c r="AT17" i="23"/>
  <c r="AV17" i="23"/>
  <c r="AW17" i="23"/>
  <c r="AX17" i="23"/>
  <c r="AY17" i="23"/>
  <c r="AZ17" i="23"/>
  <c r="BA17" i="23"/>
  <c r="BB17" i="23"/>
  <c r="BC17" i="23"/>
  <c r="BD17" i="23"/>
  <c r="BE17" i="23"/>
  <c r="BF17" i="23"/>
  <c r="BG17" i="23"/>
  <c r="BH17" i="23"/>
  <c r="BI17" i="23"/>
  <c r="BJ17" i="23"/>
  <c r="BK17" i="23"/>
  <c r="BL17" i="23"/>
  <c r="BM17" i="23"/>
  <c r="BN17" i="23"/>
  <c r="BO17" i="23"/>
  <c r="BP17" i="23"/>
  <c r="BQ17" i="23"/>
  <c r="BR17" i="23"/>
  <c r="BS17" i="23"/>
  <c r="BT17" i="23"/>
  <c r="BU17" i="23"/>
  <c r="BV17" i="23"/>
  <c r="BW17" i="23"/>
  <c r="BX17" i="23"/>
  <c r="BY17" i="23"/>
  <c r="BZ17" i="23"/>
  <c r="CA17" i="23"/>
  <c r="CB17" i="23"/>
  <c r="CC17" i="23"/>
  <c r="CD17" i="23"/>
  <c r="CE17" i="23"/>
  <c r="CF17" i="23"/>
  <c r="CG17" i="23"/>
  <c r="CH17" i="23"/>
  <c r="CI17" i="23"/>
  <c r="CJ17" i="23"/>
  <c r="CK17" i="23"/>
  <c r="CL17" i="23"/>
  <c r="CM17" i="23"/>
  <c r="CN17" i="23"/>
  <c r="CO17" i="23"/>
  <c r="CP17" i="23"/>
  <c r="CQ17" i="23"/>
  <c r="CR17" i="23"/>
  <c r="CS17" i="23"/>
  <c r="CT17" i="23"/>
  <c r="CU17" i="23"/>
  <c r="CV17" i="23"/>
  <c r="CW17" i="23"/>
  <c r="CX17" i="23"/>
  <c r="CY17" i="23"/>
  <c r="CZ17" i="23"/>
  <c r="DA17" i="23"/>
  <c r="DB17" i="23"/>
  <c r="DC17" i="23"/>
  <c r="DD17" i="23"/>
  <c r="DE17" i="23"/>
  <c r="DF17" i="23"/>
  <c r="DG17" i="23"/>
  <c r="DH17" i="23"/>
  <c r="DI17" i="23"/>
  <c r="DJ17" i="23"/>
  <c r="DK17" i="23"/>
  <c r="DL17" i="23"/>
  <c r="DM17" i="23"/>
  <c r="DN17" i="23"/>
  <c r="DO17" i="23"/>
  <c r="DP17" i="23"/>
  <c r="DQ17" i="23"/>
  <c r="DR17" i="23"/>
  <c r="DS17" i="23"/>
  <c r="DT17" i="23"/>
  <c r="DU17" i="23"/>
  <c r="DV17" i="23"/>
  <c r="DW17" i="23"/>
  <c r="DX17" i="23"/>
  <c r="DY17" i="23"/>
  <c r="DZ17" i="23"/>
  <c r="EA17" i="23"/>
  <c r="EB17" i="23"/>
  <c r="EC17" i="23"/>
  <c r="ED17" i="23"/>
  <c r="EE17" i="23"/>
  <c r="EF17" i="23"/>
  <c r="EG17" i="23"/>
  <c r="EH17" i="23"/>
  <c r="EI17" i="23"/>
  <c r="EJ17" i="23"/>
  <c r="EK17" i="23"/>
  <c r="EL17" i="23"/>
  <c r="EM17" i="23"/>
  <c r="EN17" i="23"/>
  <c r="EO17" i="23"/>
  <c r="EP17" i="23"/>
  <c r="EQ17" i="23"/>
  <c r="ER17" i="23"/>
  <c r="ES17" i="23"/>
  <c r="ET17" i="23"/>
  <c r="EU17" i="23"/>
  <c r="EV17" i="23"/>
  <c r="EW17" i="23"/>
  <c r="EX17" i="23"/>
  <c r="EY17" i="23"/>
  <c r="E18" i="23"/>
  <c r="F18" i="23"/>
  <c r="G18" i="23"/>
  <c r="H18" i="23"/>
  <c r="I18" i="23"/>
  <c r="J18" i="23"/>
  <c r="K18" i="23"/>
  <c r="L18" i="23"/>
  <c r="M18" i="23"/>
  <c r="N18" i="23"/>
  <c r="O18" i="23"/>
  <c r="P18" i="23"/>
  <c r="Q18" i="23"/>
  <c r="R18" i="23"/>
  <c r="S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O18" i="23"/>
  <c r="AP18" i="23"/>
  <c r="AQ18" i="23"/>
  <c r="AR18" i="23"/>
  <c r="AS18" i="23"/>
  <c r="AT18" i="23"/>
  <c r="AV18" i="23"/>
  <c r="AW18" i="23"/>
  <c r="AX18" i="23"/>
  <c r="AY18" i="23"/>
  <c r="AZ18" i="23"/>
  <c r="BA18" i="23"/>
  <c r="BB18" i="23"/>
  <c r="BC18" i="23"/>
  <c r="BD18" i="23"/>
  <c r="BE18" i="23"/>
  <c r="BF18" i="23"/>
  <c r="BG18" i="23"/>
  <c r="BH18" i="23"/>
  <c r="BI18" i="23"/>
  <c r="BJ18" i="23"/>
  <c r="BK18" i="23"/>
  <c r="BL18" i="23"/>
  <c r="BM18" i="23"/>
  <c r="BN18" i="23"/>
  <c r="BO18" i="23"/>
  <c r="BP18" i="23"/>
  <c r="BQ18" i="23"/>
  <c r="BR18" i="23"/>
  <c r="BS18" i="23"/>
  <c r="BT18" i="23"/>
  <c r="BU18" i="23"/>
  <c r="BV18" i="23"/>
  <c r="BW18" i="23"/>
  <c r="BX18" i="23"/>
  <c r="BY18" i="23"/>
  <c r="BZ18" i="23"/>
  <c r="CA18" i="23"/>
  <c r="CB18" i="23"/>
  <c r="CC18" i="23"/>
  <c r="CD18" i="23"/>
  <c r="CE18" i="23"/>
  <c r="CF18" i="23"/>
  <c r="CG18" i="23"/>
  <c r="CH18" i="23"/>
  <c r="CI18" i="23"/>
  <c r="CJ18" i="23"/>
  <c r="CK18" i="23"/>
  <c r="CL18" i="23"/>
  <c r="CM18" i="23"/>
  <c r="CN18" i="23"/>
  <c r="CO18" i="23"/>
  <c r="CP18" i="23"/>
  <c r="CQ18" i="23"/>
  <c r="CR18" i="23"/>
  <c r="CS18" i="23"/>
  <c r="CT18" i="23"/>
  <c r="CU18" i="23"/>
  <c r="CV18" i="23"/>
  <c r="CW18" i="23"/>
  <c r="CX18" i="23"/>
  <c r="CY18" i="23"/>
  <c r="CZ18" i="23"/>
  <c r="DA18" i="23"/>
  <c r="DB18" i="23"/>
  <c r="DC18" i="23"/>
  <c r="DD18" i="23"/>
  <c r="DE18" i="23"/>
  <c r="DF18" i="23"/>
  <c r="DG18" i="23"/>
  <c r="DH18" i="23"/>
  <c r="DI18" i="23"/>
  <c r="DJ18" i="23"/>
  <c r="DK18" i="23"/>
  <c r="DL18" i="23"/>
  <c r="DM18" i="23"/>
  <c r="DN18" i="23"/>
  <c r="DO18" i="23"/>
  <c r="DP18" i="23"/>
  <c r="DQ18" i="23"/>
  <c r="DR18" i="23"/>
  <c r="DS18" i="23"/>
  <c r="DT18" i="23"/>
  <c r="DU18" i="23"/>
  <c r="DV18" i="23"/>
  <c r="DW18" i="23"/>
  <c r="DX18" i="23"/>
  <c r="DY18" i="23"/>
  <c r="DZ18" i="23"/>
  <c r="EA18" i="23"/>
  <c r="EB18" i="23"/>
  <c r="EC18" i="23"/>
  <c r="ED18" i="23"/>
  <c r="EE18" i="23"/>
  <c r="EF18" i="23"/>
  <c r="EG18" i="23"/>
  <c r="EH18" i="23"/>
  <c r="EI18" i="23"/>
  <c r="EJ18" i="23"/>
  <c r="EK18" i="23"/>
  <c r="EL18" i="23"/>
  <c r="EM18" i="23"/>
  <c r="EN18" i="23"/>
  <c r="EO18" i="23"/>
  <c r="EP18" i="23"/>
  <c r="EQ18" i="23"/>
  <c r="ER18" i="23"/>
  <c r="ES18" i="23"/>
  <c r="ET18" i="23"/>
  <c r="EU18" i="23"/>
  <c r="EV18" i="23"/>
  <c r="EW18" i="23"/>
  <c r="EX18" i="23"/>
  <c r="EY18" i="23"/>
  <c r="E19" i="23"/>
  <c r="F19" i="23"/>
  <c r="G19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Y19" i="23"/>
  <c r="Z19" i="23"/>
  <c r="AA19" i="23"/>
  <c r="AB19" i="23"/>
  <c r="AC19" i="23"/>
  <c r="AD19" i="23"/>
  <c r="AE19" i="23"/>
  <c r="AF19" i="23"/>
  <c r="AO19" i="23"/>
  <c r="AP19" i="23"/>
  <c r="AQ19" i="23"/>
  <c r="AR19" i="23"/>
  <c r="AS19" i="23"/>
  <c r="AT19" i="23"/>
  <c r="AV19" i="23"/>
  <c r="AW19" i="23"/>
  <c r="AX19" i="23"/>
  <c r="AY19" i="23"/>
  <c r="AZ19" i="23"/>
  <c r="BA19" i="23"/>
  <c r="BB19" i="23"/>
  <c r="BC19" i="23"/>
  <c r="BD19" i="23"/>
  <c r="BE19" i="23"/>
  <c r="BF19" i="23"/>
  <c r="BG19" i="23"/>
  <c r="BH19" i="23"/>
  <c r="BI19" i="23"/>
  <c r="BJ19" i="23"/>
  <c r="BK19" i="23"/>
  <c r="BL19" i="23"/>
  <c r="BM19" i="23"/>
  <c r="BN19" i="23"/>
  <c r="BO19" i="23"/>
  <c r="BP19" i="23"/>
  <c r="BQ19" i="23"/>
  <c r="BR19" i="23"/>
  <c r="BS19" i="23"/>
  <c r="BT19" i="23"/>
  <c r="BU19" i="23"/>
  <c r="BV19" i="23"/>
  <c r="BW19" i="23"/>
  <c r="BX19" i="23"/>
  <c r="BY19" i="23"/>
  <c r="BZ19" i="23"/>
  <c r="CA19" i="23"/>
  <c r="CB19" i="23"/>
  <c r="CC19" i="23"/>
  <c r="CD19" i="23"/>
  <c r="CE19" i="23"/>
  <c r="CF19" i="23"/>
  <c r="CG19" i="23"/>
  <c r="CH19" i="23"/>
  <c r="CI19" i="23"/>
  <c r="CJ19" i="23"/>
  <c r="CK19" i="23"/>
  <c r="CL19" i="23"/>
  <c r="CM19" i="23"/>
  <c r="CN19" i="23"/>
  <c r="CO19" i="23"/>
  <c r="CP19" i="23"/>
  <c r="CQ19" i="23"/>
  <c r="CR19" i="23"/>
  <c r="CS19" i="23"/>
  <c r="CT19" i="23"/>
  <c r="CU19" i="23"/>
  <c r="CV19" i="23"/>
  <c r="CW19" i="23"/>
  <c r="CX19" i="23"/>
  <c r="CY19" i="23"/>
  <c r="CZ19" i="23"/>
  <c r="DA19" i="23"/>
  <c r="DB19" i="23"/>
  <c r="DC19" i="23"/>
  <c r="DD19" i="23"/>
  <c r="DE19" i="23"/>
  <c r="DF19" i="23"/>
  <c r="DG19" i="23"/>
  <c r="DH19" i="23"/>
  <c r="DI19" i="23"/>
  <c r="DJ19" i="23"/>
  <c r="DK19" i="23"/>
  <c r="DL19" i="23"/>
  <c r="DM19" i="23"/>
  <c r="DN19" i="23"/>
  <c r="DO19" i="23"/>
  <c r="DP19" i="23"/>
  <c r="DQ19" i="23"/>
  <c r="DR19" i="23"/>
  <c r="DS19" i="23"/>
  <c r="DT19" i="23"/>
  <c r="DU19" i="23"/>
  <c r="DV19" i="23"/>
  <c r="DW19" i="23"/>
  <c r="DX19" i="23"/>
  <c r="DY19" i="23"/>
  <c r="DZ19" i="23"/>
  <c r="EA19" i="23"/>
  <c r="EB19" i="23"/>
  <c r="EC19" i="23"/>
  <c r="ED19" i="23"/>
  <c r="EE19" i="23"/>
  <c r="EF19" i="23"/>
  <c r="EG19" i="23"/>
  <c r="EH19" i="23"/>
  <c r="EI19" i="23"/>
  <c r="EJ19" i="23"/>
  <c r="EK19" i="23"/>
  <c r="EL19" i="23"/>
  <c r="EM19" i="23"/>
  <c r="EN19" i="23"/>
  <c r="EO19" i="23"/>
  <c r="EP19" i="23"/>
  <c r="EQ19" i="23"/>
  <c r="ER19" i="23"/>
  <c r="ES19" i="23"/>
  <c r="ET19" i="23"/>
  <c r="EU19" i="23"/>
  <c r="EV19" i="23"/>
  <c r="EW19" i="23"/>
  <c r="EX19" i="23"/>
  <c r="EY19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R20" i="23"/>
  <c r="S20" i="23"/>
  <c r="T20" i="23"/>
  <c r="U20" i="23"/>
  <c r="V20" i="23"/>
  <c r="W20" i="23"/>
  <c r="X20" i="23"/>
  <c r="Y20" i="23"/>
  <c r="Z20" i="23"/>
  <c r="AA20" i="23"/>
  <c r="AB20" i="23"/>
  <c r="AC20" i="23"/>
  <c r="AD20" i="23"/>
  <c r="AE20" i="23"/>
  <c r="AF20" i="23"/>
  <c r="AO20" i="23"/>
  <c r="AP20" i="23"/>
  <c r="AQ20" i="23"/>
  <c r="AR20" i="23"/>
  <c r="AS20" i="23"/>
  <c r="AT20" i="23"/>
  <c r="AV20" i="23"/>
  <c r="AW20" i="23"/>
  <c r="AX20" i="23"/>
  <c r="AY20" i="23"/>
  <c r="AZ20" i="23"/>
  <c r="BA20" i="23"/>
  <c r="BB20" i="23"/>
  <c r="BC20" i="23"/>
  <c r="BD20" i="23"/>
  <c r="BE20" i="23"/>
  <c r="BF20" i="23"/>
  <c r="BG20" i="23"/>
  <c r="BH20" i="23"/>
  <c r="BI20" i="23"/>
  <c r="BJ20" i="23"/>
  <c r="BK20" i="23"/>
  <c r="BL20" i="23"/>
  <c r="BM20" i="23"/>
  <c r="BN20" i="23"/>
  <c r="BO20" i="23"/>
  <c r="BP20" i="23"/>
  <c r="BQ20" i="23"/>
  <c r="BR20" i="23"/>
  <c r="BS20" i="23"/>
  <c r="BT20" i="23"/>
  <c r="BU20" i="23"/>
  <c r="BV20" i="23"/>
  <c r="BW20" i="23"/>
  <c r="BX20" i="23"/>
  <c r="BY20" i="23"/>
  <c r="BZ20" i="23"/>
  <c r="CA20" i="23"/>
  <c r="CB20" i="23"/>
  <c r="CC20" i="23"/>
  <c r="CD20" i="23"/>
  <c r="CE20" i="23"/>
  <c r="CF20" i="23"/>
  <c r="CG20" i="23"/>
  <c r="CH20" i="23"/>
  <c r="CI20" i="23"/>
  <c r="CJ20" i="23"/>
  <c r="CK20" i="23"/>
  <c r="CL20" i="23"/>
  <c r="CM20" i="23"/>
  <c r="CN20" i="23"/>
  <c r="CO20" i="23"/>
  <c r="CP20" i="23"/>
  <c r="CQ20" i="23"/>
  <c r="CR20" i="23"/>
  <c r="CS20" i="23"/>
  <c r="CT20" i="23"/>
  <c r="CU20" i="23"/>
  <c r="CV20" i="23"/>
  <c r="CW20" i="23"/>
  <c r="CX20" i="23"/>
  <c r="CY20" i="23"/>
  <c r="CZ20" i="23"/>
  <c r="DA20" i="23"/>
  <c r="DB20" i="23"/>
  <c r="DC20" i="23"/>
  <c r="DD20" i="23"/>
  <c r="DE20" i="23"/>
  <c r="DF20" i="23"/>
  <c r="DG20" i="23"/>
  <c r="DH20" i="23"/>
  <c r="DI20" i="23"/>
  <c r="DJ20" i="23"/>
  <c r="DK20" i="23"/>
  <c r="DL20" i="23"/>
  <c r="DM20" i="23"/>
  <c r="DN20" i="23"/>
  <c r="DO20" i="23"/>
  <c r="DP20" i="23"/>
  <c r="DQ20" i="23"/>
  <c r="DR20" i="23"/>
  <c r="DS20" i="23"/>
  <c r="DT20" i="23"/>
  <c r="DU20" i="23"/>
  <c r="DV20" i="23"/>
  <c r="DW20" i="23"/>
  <c r="DX20" i="23"/>
  <c r="DY20" i="23"/>
  <c r="DZ20" i="23"/>
  <c r="EA20" i="23"/>
  <c r="EB20" i="23"/>
  <c r="EC20" i="23"/>
  <c r="ED20" i="23"/>
  <c r="EE20" i="23"/>
  <c r="EF20" i="23"/>
  <c r="EG20" i="23"/>
  <c r="EH20" i="23"/>
  <c r="EI20" i="23"/>
  <c r="EJ20" i="23"/>
  <c r="EK20" i="23"/>
  <c r="EL20" i="23"/>
  <c r="EM20" i="23"/>
  <c r="EN20" i="23"/>
  <c r="EO20" i="23"/>
  <c r="EP20" i="23"/>
  <c r="EQ20" i="23"/>
  <c r="ER20" i="23"/>
  <c r="ES20" i="23"/>
  <c r="ET20" i="23"/>
  <c r="EU20" i="23"/>
  <c r="EV20" i="23"/>
  <c r="EW20" i="23"/>
  <c r="EX20" i="23"/>
  <c r="EY20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O21" i="23"/>
  <c r="AP21" i="23"/>
  <c r="AQ21" i="23"/>
  <c r="AR21" i="23"/>
  <c r="AS21" i="23"/>
  <c r="AT21" i="23"/>
  <c r="AV21" i="23"/>
  <c r="AW21" i="23"/>
  <c r="AX21" i="23"/>
  <c r="AY21" i="23"/>
  <c r="AZ21" i="23"/>
  <c r="BA21" i="23"/>
  <c r="BB21" i="23"/>
  <c r="BC21" i="23"/>
  <c r="BD21" i="23"/>
  <c r="BE21" i="23"/>
  <c r="BF21" i="23"/>
  <c r="BG21" i="23"/>
  <c r="BH21" i="23"/>
  <c r="BI21" i="23"/>
  <c r="BJ21" i="23"/>
  <c r="BK21" i="23"/>
  <c r="BL21" i="23"/>
  <c r="BM21" i="23"/>
  <c r="BN21" i="23"/>
  <c r="BO21" i="23"/>
  <c r="BP21" i="23"/>
  <c r="BQ21" i="23"/>
  <c r="BR21" i="23"/>
  <c r="BS21" i="23"/>
  <c r="BT21" i="23"/>
  <c r="BU21" i="23"/>
  <c r="BV21" i="23"/>
  <c r="BW21" i="23"/>
  <c r="BX21" i="23"/>
  <c r="BY21" i="23"/>
  <c r="BZ21" i="23"/>
  <c r="CA21" i="23"/>
  <c r="CB21" i="23"/>
  <c r="CC21" i="23"/>
  <c r="CD21" i="23"/>
  <c r="CE21" i="23"/>
  <c r="CF21" i="23"/>
  <c r="CG21" i="23"/>
  <c r="CH21" i="23"/>
  <c r="CI21" i="23"/>
  <c r="CJ21" i="23"/>
  <c r="CK21" i="23"/>
  <c r="CL21" i="23"/>
  <c r="CM21" i="23"/>
  <c r="CN21" i="23"/>
  <c r="CO21" i="23"/>
  <c r="CP21" i="23"/>
  <c r="CQ21" i="23"/>
  <c r="CR21" i="23"/>
  <c r="CS21" i="23"/>
  <c r="CT21" i="23"/>
  <c r="CU21" i="23"/>
  <c r="CV21" i="23"/>
  <c r="CW21" i="23"/>
  <c r="CX21" i="23"/>
  <c r="CY21" i="23"/>
  <c r="CZ21" i="23"/>
  <c r="DA21" i="23"/>
  <c r="DB21" i="23"/>
  <c r="DC21" i="23"/>
  <c r="DD21" i="23"/>
  <c r="DE21" i="23"/>
  <c r="DF21" i="23"/>
  <c r="DG21" i="23"/>
  <c r="DH21" i="23"/>
  <c r="DI21" i="23"/>
  <c r="DJ21" i="23"/>
  <c r="DK21" i="23"/>
  <c r="DL21" i="23"/>
  <c r="DM21" i="23"/>
  <c r="DN21" i="23"/>
  <c r="DO21" i="23"/>
  <c r="DP21" i="23"/>
  <c r="DQ21" i="23"/>
  <c r="DR21" i="23"/>
  <c r="DS21" i="23"/>
  <c r="DT21" i="23"/>
  <c r="DU21" i="23"/>
  <c r="DV21" i="23"/>
  <c r="DW21" i="23"/>
  <c r="DX21" i="23"/>
  <c r="DY21" i="23"/>
  <c r="DZ21" i="23"/>
  <c r="EA21" i="23"/>
  <c r="EB21" i="23"/>
  <c r="EC21" i="23"/>
  <c r="ED21" i="23"/>
  <c r="EE21" i="23"/>
  <c r="EF21" i="23"/>
  <c r="EG21" i="23"/>
  <c r="EH21" i="23"/>
  <c r="EI21" i="23"/>
  <c r="EJ21" i="23"/>
  <c r="EK21" i="23"/>
  <c r="EL21" i="23"/>
  <c r="EM21" i="23"/>
  <c r="EN21" i="23"/>
  <c r="EO21" i="23"/>
  <c r="EP21" i="23"/>
  <c r="EQ21" i="23"/>
  <c r="ER21" i="23"/>
  <c r="ES21" i="23"/>
  <c r="ET21" i="23"/>
  <c r="EU21" i="23"/>
  <c r="EV21" i="23"/>
  <c r="EW21" i="23"/>
  <c r="EX21" i="23"/>
  <c r="EY21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O22" i="23"/>
  <c r="AP22" i="23"/>
  <c r="AQ22" i="23"/>
  <c r="AR22" i="23"/>
  <c r="AS22" i="23"/>
  <c r="AT22" i="23"/>
  <c r="AV22" i="23"/>
  <c r="AW22" i="23"/>
  <c r="AX22" i="23"/>
  <c r="AY22" i="23"/>
  <c r="AZ22" i="23"/>
  <c r="BA22" i="23"/>
  <c r="BB22" i="23"/>
  <c r="BC22" i="23"/>
  <c r="BD22" i="23"/>
  <c r="BE22" i="23"/>
  <c r="BF22" i="23"/>
  <c r="BG22" i="23"/>
  <c r="BH22" i="23"/>
  <c r="BI22" i="23"/>
  <c r="BJ22" i="23"/>
  <c r="BK22" i="23"/>
  <c r="BL22" i="23"/>
  <c r="BM22" i="23"/>
  <c r="BN22" i="23"/>
  <c r="BO22" i="23"/>
  <c r="BP22" i="23"/>
  <c r="BQ22" i="23"/>
  <c r="BR22" i="23"/>
  <c r="BS22" i="23"/>
  <c r="BT22" i="23"/>
  <c r="BU22" i="23"/>
  <c r="BV22" i="23"/>
  <c r="BW22" i="23"/>
  <c r="BX22" i="23"/>
  <c r="BY22" i="23"/>
  <c r="BZ22" i="23"/>
  <c r="CA22" i="23"/>
  <c r="CB22" i="23"/>
  <c r="CC22" i="23"/>
  <c r="CD22" i="23"/>
  <c r="CE22" i="23"/>
  <c r="CF22" i="23"/>
  <c r="CG22" i="23"/>
  <c r="CH22" i="23"/>
  <c r="CI22" i="23"/>
  <c r="CJ22" i="23"/>
  <c r="CK22" i="23"/>
  <c r="CL22" i="23"/>
  <c r="CM22" i="23"/>
  <c r="CN22" i="23"/>
  <c r="CO22" i="23"/>
  <c r="CP22" i="23"/>
  <c r="CQ22" i="23"/>
  <c r="CR22" i="23"/>
  <c r="CS22" i="23"/>
  <c r="CT22" i="23"/>
  <c r="CU22" i="23"/>
  <c r="CV22" i="23"/>
  <c r="CW22" i="23"/>
  <c r="CX22" i="23"/>
  <c r="CY22" i="23"/>
  <c r="CZ22" i="23"/>
  <c r="DA22" i="23"/>
  <c r="DB22" i="23"/>
  <c r="DC22" i="23"/>
  <c r="DD22" i="23"/>
  <c r="DE22" i="23"/>
  <c r="DF22" i="23"/>
  <c r="DG22" i="23"/>
  <c r="DH22" i="23"/>
  <c r="DI22" i="23"/>
  <c r="DJ22" i="23"/>
  <c r="DK22" i="23"/>
  <c r="DL22" i="23"/>
  <c r="DM22" i="23"/>
  <c r="DN22" i="23"/>
  <c r="DO22" i="23"/>
  <c r="DP22" i="23"/>
  <c r="DQ22" i="23"/>
  <c r="DR22" i="23"/>
  <c r="DS22" i="23"/>
  <c r="DT22" i="23"/>
  <c r="DU22" i="23"/>
  <c r="DV22" i="23"/>
  <c r="DW22" i="23"/>
  <c r="DX22" i="23"/>
  <c r="DY22" i="23"/>
  <c r="DZ22" i="23"/>
  <c r="EA22" i="23"/>
  <c r="EB22" i="23"/>
  <c r="EC22" i="23"/>
  <c r="ED22" i="23"/>
  <c r="EE22" i="23"/>
  <c r="EF22" i="23"/>
  <c r="EG22" i="23"/>
  <c r="EH22" i="23"/>
  <c r="EI22" i="23"/>
  <c r="EJ22" i="23"/>
  <c r="EK22" i="23"/>
  <c r="EL22" i="23"/>
  <c r="EM22" i="23"/>
  <c r="EN22" i="23"/>
  <c r="EO22" i="23"/>
  <c r="EP22" i="23"/>
  <c r="EQ22" i="23"/>
  <c r="ER22" i="23"/>
  <c r="ES22" i="23"/>
  <c r="ET22" i="23"/>
  <c r="EU22" i="23"/>
  <c r="EV22" i="23"/>
  <c r="EW22" i="23"/>
  <c r="EX22" i="23"/>
  <c r="EY22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O23" i="23"/>
  <c r="AP23" i="23"/>
  <c r="AQ23" i="23"/>
  <c r="AR23" i="23"/>
  <c r="AS23" i="23"/>
  <c r="AT23" i="23"/>
  <c r="AV23" i="23"/>
  <c r="AW23" i="23"/>
  <c r="AX23" i="23"/>
  <c r="AY23" i="23"/>
  <c r="AZ23" i="23"/>
  <c r="BA23" i="23"/>
  <c r="BB23" i="23"/>
  <c r="BC23" i="23"/>
  <c r="BD23" i="23"/>
  <c r="BE23" i="23"/>
  <c r="BF23" i="23"/>
  <c r="BG23" i="23"/>
  <c r="BH23" i="23"/>
  <c r="BI23" i="23"/>
  <c r="BJ23" i="23"/>
  <c r="BK23" i="23"/>
  <c r="BL23" i="23"/>
  <c r="BM23" i="23"/>
  <c r="BN23" i="23"/>
  <c r="BO23" i="23"/>
  <c r="BP23" i="23"/>
  <c r="BQ23" i="23"/>
  <c r="BR23" i="23"/>
  <c r="BS23" i="23"/>
  <c r="BT23" i="23"/>
  <c r="BU23" i="23"/>
  <c r="BV23" i="23"/>
  <c r="BW23" i="23"/>
  <c r="BX23" i="23"/>
  <c r="BY23" i="23"/>
  <c r="BZ23" i="23"/>
  <c r="CA23" i="23"/>
  <c r="CB23" i="23"/>
  <c r="CC23" i="23"/>
  <c r="CD23" i="23"/>
  <c r="CE23" i="23"/>
  <c r="CF23" i="23"/>
  <c r="CG23" i="23"/>
  <c r="CH23" i="23"/>
  <c r="CI23" i="23"/>
  <c r="CJ23" i="23"/>
  <c r="CK23" i="23"/>
  <c r="CL23" i="23"/>
  <c r="CM23" i="23"/>
  <c r="CN23" i="23"/>
  <c r="CO23" i="23"/>
  <c r="CP23" i="23"/>
  <c r="CQ23" i="23"/>
  <c r="CR23" i="23"/>
  <c r="CS23" i="23"/>
  <c r="CT23" i="23"/>
  <c r="CU23" i="23"/>
  <c r="CV23" i="23"/>
  <c r="CW23" i="23"/>
  <c r="CX23" i="23"/>
  <c r="CY23" i="23"/>
  <c r="CZ23" i="23"/>
  <c r="DA23" i="23"/>
  <c r="DB23" i="23"/>
  <c r="DC23" i="23"/>
  <c r="DD23" i="23"/>
  <c r="DE23" i="23"/>
  <c r="DF23" i="23"/>
  <c r="DG23" i="23"/>
  <c r="DH23" i="23"/>
  <c r="DI23" i="23"/>
  <c r="DJ23" i="23"/>
  <c r="DK23" i="23"/>
  <c r="DL23" i="23"/>
  <c r="DM23" i="23"/>
  <c r="DN23" i="23"/>
  <c r="DO23" i="23"/>
  <c r="DP23" i="23"/>
  <c r="DQ23" i="23"/>
  <c r="DR23" i="23"/>
  <c r="DS23" i="23"/>
  <c r="DT23" i="23"/>
  <c r="DU23" i="23"/>
  <c r="DV23" i="23"/>
  <c r="DW23" i="23"/>
  <c r="DX23" i="23"/>
  <c r="DY23" i="23"/>
  <c r="DZ23" i="23"/>
  <c r="EA23" i="23"/>
  <c r="EB23" i="23"/>
  <c r="EC23" i="23"/>
  <c r="ED23" i="23"/>
  <c r="EE23" i="23"/>
  <c r="EF23" i="23"/>
  <c r="EG23" i="23"/>
  <c r="EH23" i="23"/>
  <c r="EI23" i="23"/>
  <c r="EJ23" i="23"/>
  <c r="EK23" i="23"/>
  <c r="EL23" i="23"/>
  <c r="EM23" i="23"/>
  <c r="EN23" i="23"/>
  <c r="EO23" i="23"/>
  <c r="EP23" i="23"/>
  <c r="EQ23" i="23"/>
  <c r="ER23" i="23"/>
  <c r="ES23" i="23"/>
  <c r="ET23" i="23"/>
  <c r="EU23" i="23"/>
  <c r="EV23" i="23"/>
  <c r="EW23" i="23"/>
  <c r="EX23" i="23"/>
  <c r="EY23" i="23"/>
  <c r="E24" i="23"/>
  <c r="F24" i="23"/>
  <c r="G24" i="23"/>
  <c r="H24" i="23"/>
  <c r="I24" i="23"/>
  <c r="J24" i="23"/>
  <c r="K24" i="23"/>
  <c r="L24" i="23"/>
  <c r="M24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C24" i="23"/>
  <c r="AD24" i="23"/>
  <c r="AE24" i="23"/>
  <c r="AF24" i="23"/>
  <c r="AO24" i="23"/>
  <c r="AP24" i="23"/>
  <c r="AQ24" i="23"/>
  <c r="AR24" i="23"/>
  <c r="AS24" i="23"/>
  <c r="AT24" i="23"/>
  <c r="AV24" i="23"/>
  <c r="AW24" i="23"/>
  <c r="AX24" i="23"/>
  <c r="AY24" i="23"/>
  <c r="AZ24" i="23"/>
  <c r="BA24" i="23"/>
  <c r="BB24" i="23"/>
  <c r="BC24" i="23"/>
  <c r="BD24" i="23"/>
  <c r="BE24" i="23"/>
  <c r="BF24" i="23"/>
  <c r="BG24" i="23"/>
  <c r="BH24" i="23"/>
  <c r="BI24" i="23"/>
  <c r="BJ24" i="23"/>
  <c r="BK24" i="23"/>
  <c r="BL24" i="23"/>
  <c r="BM24" i="23"/>
  <c r="BN24" i="23"/>
  <c r="BO24" i="23"/>
  <c r="BP24" i="23"/>
  <c r="BQ24" i="23"/>
  <c r="BR24" i="23"/>
  <c r="BS24" i="23"/>
  <c r="BT24" i="23"/>
  <c r="BU24" i="23"/>
  <c r="BV24" i="23"/>
  <c r="BW24" i="23"/>
  <c r="BX24" i="23"/>
  <c r="BY24" i="23"/>
  <c r="BZ24" i="23"/>
  <c r="CA24" i="23"/>
  <c r="CB24" i="23"/>
  <c r="CC24" i="23"/>
  <c r="CD24" i="23"/>
  <c r="CE24" i="23"/>
  <c r="CF24" i="23"/>
  <c r="CG24" i="23"/>
  <c r="CH24" i="23"/>
  <c r="CI24" i="23"/>
  <c r="CJ24" i="23"/>
  <c r="CK24" i="23"/>
  <c r="CL24" i="23"/>
  <c r="CM24" i="23"/>
  <c r="CN24" i="23"/>
  <c r="CO24" i="23"/>
  <c r="CP24" i="23"/>
  <c r="CQ24" i="23"/>
  <c r="CR24" i="23"/>
  <c r="CS24" i="23"/>
  <c r="CT24" i="23"/>
  <c r="CU24" i="23"/>
  <c r="CV24" i="23"/>
  <c r="CW24" i="23"/>
  <c r="CX24" i="23"/>
  <c r="CY24" i="23"/>
  <c r="CZ24" i="23"/>
  <c r="DA24" i="23"/>
  <c r="DB24" i="23"/>
  <c r="DC24" i="23"/>
  <c r="DD24" i="23"/>
  <c r="DE24" i="23"/>
  <c r="DF24" i="23"/>
  <c r="DG24" i="23"/>
  <c r="DH24" i="23"/>
  <c r="DI24" i="23"/>
  <c r="DJ24" i="23"/>
  <c r="DK24" i="23"/>
  <c r="DL24" i="23"/>
  <c r="DM24" i="23"/>
  <c r="DN24" i="23"/>
  <c r="DO24" i="23"/>
  <c r="DP24" i="23"/>
  <c r="DQ24" i="23"/>
  <c r="DR24" i="23"/>
  <c r="DS24" i="23"/>
  <c r="DT24" i="23"/>
  <c r="DU24" i="23"/>
  <c r="DV24" i="23"/>
  <c r="DW24" i="23"/>
  <c r="DX24" i="23"/>
  <c r="DY24" i="23"/>
  <c r="DZ24" i="23"/>
  <c r="EA24" i="23"/>
  <c r="EB24" i="23"/>
  <c r="EC24" i="23"/>
  <c r="ED24" i="23"/>
  <c r="EE24" i="23"/>
  <c r="EF24" i="23"/>
  <c r="EG24" i="23"/>
  <c r="EH24" i="23"/>
  <c r="EI24" i="23"/>
  <c r="EJ24" i="23"/>
  <c r="EK24" i="23"/>
  <c r="EL24" i="23"/>
  <c r="EM24" i="23"/>
  <c r="EN24" i="23"/>
  <c r="EO24" i="23"/>
  <c r="EP24" i="23"/>
  <c r="EQ24" i="23"/>
  <c r="ER24" i="23"/>
  <c r="ES24" i="23"/>
  <c r="ET24" i="23"/>
  <c r="EU24" i="23"/>
  <c r="EV24" i="23"/>
  <c r="EW24" i="23"/>
  <c r="EX24" i="23"/>
  <c r="EY24" i="23"/>
  <c r="E25" i="23"/>
  <c r="F25" i="23"/>
  <c r="G25" i="23"/>
  <c r="H25" i="23"/>
  <c r="I25" i="23"/>
  <c r="J25" i="23"/>
  <c r="K25" i="23"/>
  <c r="L25" i="23"/>
  <c r="M25" i="23"/>
  <c r="N25" i="23"/>
  <c r="O25" i="23"/>
  <c r="P25" i="23"/>
  <c r="Q25" i="23"/>
  <c r="R25" i="23"/>
  <c r="S25" i="23"/>
  <c r="T25" i="23"/>
  <c r="U25" i="23"/>
  <c r="V25" i="23"/>
  <c r="W25" i="23"/>
  <c r="X25" i="23"/>
  <c r="Y25" i="23"/>
  <c r="Z25" i="23"/>
  <c r="AA25" i="23"/>
  <c r="AB25" i="23"/>
  <c r="AC25" i="23"/>
  <c r="AD25" i="23"/>
  <c r="AE25" i="23"/>
  <c r="AF25" i="23"/>
  <c r="AO25" i="23"/>
  <c r="AP25" i="23"/>
  <c r="AQ25" i="23"/>
  <c r="AR25" i="23"/>
  <c r="AS25" i="23"/>
  <c r="AT25" i="23"/>
  <c r="AV25" i="23"/>
  <c r="AW25" i="23"/>
  <c r="AX25" i="23"/>
  <c r="AY25" i="23"/>
  <c r="AZ25" i="23"/>
  <c r="BA25" i="23"/>
  <c r="BB25" i="23"/>
  <c r="BC25" i="23"/>
  <c r="BD25" i="23"/>
  <c r="BE25" i="23"/>
  <c r="BF25" i="23"/>
  <c r="BG25" i="23"/>
  <c r="BH25" i="23"/>
  <c r="BI25" i="23"/>
  <c r="BJ25" i="23"/>
  <c r="BK25" i="23"/>
  <c r="BL25" i="23"/>
  <c r="BM25" i="23"/>
  <c r="BN25" i="23"/>
  <c r="BO25" i="23"/>
  <c r="BP25" i="23"/>
  <c r="BQ25" i="23"/>
  <c r="BR25" i="23"/>
  <c r="BS25" i="23"/>
  <c r="BT25" i="23"/>
  <c r="BU25" i="23"/>
  <c r="BV25" i="23"/>
  <c r="BW25" i="23"/>
  <c r="BX25" i="23"/>
  <c r="BY25" i="23"/>
  <c r="BZ25" i="23"/>
  <c r="CA25" i="23"/>
  <c r="CB25" i="23"/>
  <c r="CC25" i="23"/>
  <c r="CD25" i="23"/>
  <c r="CE25" i="23"/>
  <c r="CF25" i="23"/>
  <c r="CG25" i="23"/>
  <c r="CH25" i="23"/>
  <c r="CI25" i="23"/>
  <c r="CJ25" i="23"/>
  <c r="CK25" i="23"/>
  <c r="CL25" i="23"/>
  <c r="CM25" i="23"/>
  <c r="CN25" i="23"/>
  <c r="CO25" i="23"/>
  <c r="CP25" i="23"/>
  <c r="CQ25" i="23"/>
  <c r="CR25" i="23"/>
  <c r="CS25" i="23"/>
  <c r="CT25" i="23"/>
  <c r="CU25" i="23"/>
  <c r="CV25" i="23"/>
  <c r="CW25" i="23"/>
  <c r="CX25" i="23"/>
  <c r="CY25" i="23"/>
  <c r="CZ25" i="23"/>
  <c r="DA25" i="23"/>
  <c r="DB25" i="23"/>
  <c r="DC25" i="23"/>
  <c r="DD25" i="23"/>
  <c r="DE25" i="23"/>
  <c r="DF25" i="23"/>
  <c r="DG25" i="23"/>
  <c r="DH25" i="23"/>
  <c r="DI25" i="23"/>
  <c r="DJ25" i="23"/>
  <c r="DK25" i="23"/>
  <c r="DL25" i="23"/>
  <c r="DM25" i="23"/>
  <c r="DN25" i="23"/>
  <c r="DO25" i="23"/>
  <c r="DP25" i="23"/>
  <c r="DQ25" i="23"/>
  <c r="DR25" i="23"/>
  <c r="DS25" i="23"/>
  <c r="DT25" i="23"/>
  <c r="DU25" i="23"/>
  <c r="DV25" i="23"/>
  <c r="DW25" i="23"/>
  <c r="DX25" i="23"/>
  <c r="DY25" i="23"/>
  <c r="DZ25" i="23"/>
  <c r="EA25" i="23"/>
  <c r="EB25" i="23"/>
  <c r="EC25" i="23"/>
  <c r="ED25" i="23"/>
  <c r="EE25" i="23"/>
  <c r="EF25" i="23"/>
  <c r="EG25" i="23"/>
  <c r="EH25" i="23"/>
  <c r="EI25" i="23"/>
  <c r="EJ25" i="23"/>
  <c r="EK25" i="23"/>
  <c r="EL25" i="23"/>
  <c r="EM25" i="23"/>
  <c r="EN25" i="23"/>
  <c r="EO25" i="23"/>
  <c r="EP25" i="23"/>
  <c r="EQ25" i="23"/>
  <c r="ER25" i="23"/>
  <c r="ES25" i="23"/>
  <c r="ET25" i="23"/>
  <c r="EU25" i="23"/>
  <c r="EV25" i="23"/>
  <c r="EW25" i="23"/>
  <c r="EX25" i="23"/>
  <c r="EY25" i="23"/>
  <c r="E26" i="23"/>
  <c r="F26" i="23"/>
  <c r="G26" i="23"/>
  <c r="H26" i="23"/>
  <c r="I26" i="23"/>
  <c r="J26" i="23"/>
  <c r="K26" i="23"/>
  <c r="L26" i="23"/>
  <c r="M26" i="23"/>
  <c r="N26" i="23"/>
  <c r="O26" i="23"/>
  <c r="P26" i="23"/>
  <c r="Q26" i="23"/>
  <c r="R26" i="23"/>
  <c r="S26" i="23"/>
  <c r="T26" i="23"/>
  <c r="U26" i="23"/>
  <c r="V26" i="23"/>
  <c r="W26" i="23"/>
  <c r="X26" i="23"/>
  <c r="Y26" i="23"/>
  <c r="Z26" i="23"/>
  <c r="AA26" i="23"/>
  <c r="AB26" i="23"/>
  <c r="AC26" i="23"/>
  <c r="AD26" i="23"/>
  <c r="AE26" i="23"/>
  <c r="AF26" i="23"/>
  <c r="AO26" i="23"/>
  <c r="AP26" i="23"/>
  <c r="AQ26" i="23"/>
  <c r="AR26" i="23"/>
  <c r="AS26" i="23"/>
  <c r="AT26" i="23"/>
  <c r="AV26" i="23"/>
  <c r="AW26" i="23"/>
  <c r="AX26" i="23"/>
  <c r="AY26" i="23"/>
  <c r="AZ26" i="23"/>
  <c r="BA26" i="23"/>
  <c r="BB26" i="23"/>
  <c r="BC26" i="23"/>
  <c r="BD26" i="23"/>
  <c r="BE26" i="23"/>
  <c r="BF26" i="23"/>
  <c r="BG26" i="23"/>
  <c r="BH26" i="23"/>
  <c r="BI26" i="23"/>
  <c r="BJ26" i="23"/>
  <c r="BK26" i="23"/>
  <c r="BL26" i="23"/>
  <c r="BM26" i="23"/>
  <c r="BN26" i="23"/>
  <c r="BO26" i="23"/>
  <c r="BP26" i="23"/>
  <c r="BQ26" i="23"/>
  <c r="BR26" i="23"/>
  <c r="BS26" i="23"/>
  <c r="BT26" i="23"/>
  <c r="BU26" i="23"/>
  <c r="BV26" i="23"/>
  <c r="BW26" i="23"/>
  <c r="BX26" i="23"/>
  <c r="BY26" i="23"/>
  <c r="BZ26" i="23"/>
  <c r="CA26" i="23"/>
  <c r="CB26" i="23"/>
  <c r="CC26" i="23"/>
  <c r="CD26" i="23"/>
  <c r="CE26" i="23"/>
  <c r="CF26" i="23"/>
  <c r="CG26" i="23"/>
  <c r="CH26" i="23"/>
  <c r="CI26" i="23"/>
  <c r="CJ26" i="23"/>
  <c r="CK26" i="23"/>
  <c r="CL26" i="23"/>
  <c r="CM26" i="23"/>
  <c r="CN26" i="23"/>
  <c r="CO26" i="23"/>
  <c r="CP26" i="23"/>
  <c r="CQ26" i="23"/>
  <c r="CR26" i="23"/>
  <c r="CS26" i="23"/>
  <c r="CT26" i="23"/>
  <c r="CU26" i="23"/>
  <c r="CV26" i="23"/>
  <c r="CW26" i="23"/>
  <c r="CX26" i="23"/>
  <c r="CY26" i="23"/>
  <c r="CZ26" i="23"/>
  <c r="DA26" i="23"/>
  <c r="DB26" i="23"/>
  <c r="DC26" i="23"/>
  <c r="DD26" i="23"/>
  <c r="DE26" i="23"/>
  <c r="DF26" i="23"/>
  <c r="DG26" i="23"/>
  <c r="DH26" i="23"/>
  <c r="DI26" i="23"/>
  <c r="DJ26" i="23"/>
  <c r="DK26" i="23"/>
  <c r="DL26" i="23"/>
  <c r="DM26" i="23"/>
  <c r="DN26" i="23"/>
  <c r="DO26" i="23"/>
  <c r="DP26" i="23"/>
  <c r="DQ26" i="23"/>
  <c r="DR26" i="23"/>
  <c r="DS26" i="23"/>
  <c r="DT26" i="23"/>
  <c r="DU26" i="23"/>
  <c r="DV26" i="23"/>
  <c r="DW26" i="23"/>
  <c r="DX26" i="23"/>
  <c r="DY26" i="23"/>
  <c r="DZ26" i="23"/>
  <c r="EA26" i="23"/>
  <c r="EB26" i="23"/>
  <c r="EC26" i="23"/>
  <c r="ED26" i="23"/>
  <c r="EE26" i="23"/>
  <c r="EF26" i="23"/>
  <c r="EG26" i="23"/>
  <c r="EH26" i="23"/>
  <c r="EI26" i="23"/>
  <c r="EJ26" i="23"/>
  <c r="EK26" i="23"/>
  <c r="EL26" i="23"/>
  <c r="EM26" i="23"/>
  <c r="EN26" i="23"/>
  <c r="EO26" i="23"/>
  <c r="EP26" i="23"/>
  <c r="EQ26" i="23"/>
  <c r="ER26" i="23"/>
  <c r="ES26" i="23"/>
  <c r="ET26" i="23"/>
  <c r="EU26" i="23"/>
  <c r="EV26" i="23"/>
  <c r="EW26" i="23"/>
  <c r="EX26" i="23"/>
  <c r="EY26" i="23"/>
  <c r="E27" i="23"/>
  <c r="F27" i="23"/>
  <c r="G27" i="23"/>
  <c r="H27" i="23"/>
  <c r="I27" i="23"/>
  <c r="J27" i="23"/>
  <c r="K27" i="23"/>
  <c r="L27" i="23"/>
  <c r="M27" i="23"/>
  <c r="N27" i="23"/>
  <c r="O27" i="23"/>
  <c r="P27" i="23"/>
  <c r="Q27" i="23"/>
  <c r="R27" i="23"/>
  <c r="S27" i="23"/>
  <c r="T27" i="23"/>
  <c r="U27" i="23"/>
  <c r="V27" i="23"/>
  <c r="W27" i="23"/>
  <c r="X27" i="23"/>
  <c r="Y27" i="23"/>
  <c r="Z27" i="23"/>
  <c r="AA27" i="23"/>
  <c r="AB27" i="23"/>
  <c r="AC27" i="23"/>
  <c r="AD27" i="23"/>
  <c r="AE27" i="23"/>
  <c r="AF27" i="23"/>
  <c r="AO27" i="23"/>
  <c r="AP27" i="23"/>
  <c r="AQ27" i="23"/>
  <c r="AR27" i="23"/>
  <c r="AS27" i="23"/>
  <c r="AT27" i="23"/>
  <c r="AV27" i="23"/>
  <c r="AW27" i="23"/>
  <c r="AX27" i="23"/>
  <c r="AY27" i="23"/>
  <c r="AZ27" i="23"/>
  <c r="BA27" i="23"/>
  <c r="BB27" i="23"/>
  <c r="BC27" i="23"/>
  <c r="BD27" i="23"/>
  <c r="BE27" i="23"/>
  <c r="BF27" i="23"/>
  <c r="BG27" i="23"/>
  <c r="BH27" i="23"/>
  <c r="BI27" i="23"/>
  <c r="BJ27" i="23"/>
  <c r="BK27" i="23"/>
  <c r="BL27" i="23"/>
  <c r="BM27" i="23"/>
  <c r="BN27" i="23"/>
  <c r="BO27" i="23"/>
  <c r="BP27" i="23"/>
  <c r="BQ27" i="23"/>
  <c r="BR27" i="23"/>
  <c r="BS27" i="23"/>
  <c r="BT27" i="23"/>
  <c r="BU27" i="23"/>
  <c r="BV27" i="23"/>
  <c r="BW27" i="23"/>
  <c r="BX27" i="23"/>
  <c r="BY27" i="23"/>
  <c r="BZ27" i="23"/>
  <c r="CA27" i="23"/>
  <c r="CB27" i="23"/>
  <c r="CC27" i="23"/>
  <c r="CD27" i="23"/>
  <c r="CE27" i="23"/>
  <c r="CF27" i="23"/>
  <c r="CG27" i="23"/>
  <c r="CH27" i="23"/>
  <c r="CI27" i="23"/>
  <c r="CJ27" i="23"/>
  <c r="CK27" i="23"/>
  <c r="CL27" i="23"/>
  <c r="CM27" i="23"/>
  <c r="CN27" i="23"/>
  <c r="CO27" i="23"/>
  <c r="CP27" i="23"/>
  <c r="CQ27" i="23"/>
  <c r="CR27" i="23"/>
  <c r="CS27" i="23"/>
  <c r="CT27" i="23"/>
  <c r="CU27" i="23"/>
  <c r="CV27" i="23"/>
  <c r="CW27" i="23"/>
  <c r="CX27" i="23"/>
  <c r="CY27" i="23"/>
  <c r="CZ27" i="23"/>
  <c r="DA27" i="23"/>
  <c r="DB27" i="23"/>
  <c r="DC27" i="23"/>
  <c r="DD27" i="23"/>
  <c r="DE27" i="23"/>
  <c r="DF27" i="23"/>
  <c r="DG27" i="23"/>
  <c r="DH27" i="23"/>
  <c r="DI27" i="23"/>
  <c r="DJ27" i="23"/>
  <c r="DK27" i="23"/>
  <c r="DL27" i="23"/>
  <c r="DM27" i="23"/>
  <c r="DN27" i="23"/>
  <c r="DO27" i="23"/>
  <c r="DP27" i="23"/>
  <c r="DQ27" i="23"/>
  <c r="DR27" i="23"/>
  <c r="DS27" i="23"/>
  <c r="DT27" i="23"/>
  <c r="DU27" i="23"/>
  <c r="DV27" i="23"/>
  <c r="DW27" i="23"/>
  <c r="DX27" i="23"/>
  <c r="DY27" i="23"/>
  <c r="DZ27" i="23"/>
  <c r="EA27" i="23"/>
  <c r="EB27" i="23"/>
  <c r="EC27" i="23"/>
  <c r="ED27" i="23"/>
  <c r="EE27" i="23"/>
  <c r="EF27" i="23"/>
  <c r="EG27" i="23"/>
  <c r="EH27" i="23"/>
  <c r="EI27" i="23"/>
  <c r="EJ27" i="23"/>
  <c r="EK27" i="23"/>
  <c r="EL27" i="23"/>
  <c r="EM27" i="23"/>
  <c r="EN27" i="23"/>
  <c r="EO27" i="23"/>
  <c r="EP27" i="23"/>
  <c r="EQ27" i="23"/>
  <c r="ER27" i="23"/>
  <c r="ES27" i="23"/>
  <c r="ET27" i="23"/>
  <c r="EU27" i="23"/>
  <c r="EV27" i="23"/>
  <c r="EW27" i="23"/>
  <c r="EX27" i="23"/>
  <c r="EY27" i="23"/>
  <c r="E28" i="23"/>
  <c r="F28" i="23"/>
  <c r="G28" i="23"/>
  <c r="H28" i="23"/>
  <c r="I28" i="23"/>
  <c r="J28" i="23"/>
  <c r="K28" i="23"/>
  <c r="L28" i="23"/>
  <c r="M28" i="23"/>
  <c r="N28" i="23"/>
  <c r="O28" i="23"/>
  <c r="P28" i="23"/>
  <c r="Q28" i="23"/>
  <c r="R28" i="23"/>
  <c r="S28" i="23"/>
  <c r="T28" i="23"/>
  <c r="U28" i="23"/>
  <c r="V28" i="23"/>
  <c r="W28" i="23"/>
  <c r="X28" i="23"/>
  <c r="Y28" i="23"/>
  <c r="Z28" i="23"/>
  <c r="AA28" i="23"/>
  <c r="AB28" i="23"/>
  <c r="AC28" i="23"/>
  <c r="AD28" i="23"/>
  <c r="AE28" i="23"/>
  <c r="AF28" i="23"/>
  <c r="AO28" i="23"/>
  <c r="AP28" i="23"/>
  <c r="AQ28" i="23"/>
  <c r="AR28" i="23"/>
  <c r="AS28" i="23"/>
  <c r="AT28" i="23"/>
  <c r="AV28" i="23"/>
  <c r="AW28" i="23"/>
  <c r="AX28" i="23"/>
  <c r="AY28" i="23"/>
  <c r="AZ28" i="23"/>
  <c r="BA28" i="23"/>
  <c r="BB28" i="23"/>
  <c r="BC28" i="23"/>
  <c r="BD28" i="23"/>
  <c r="BE28" i="23"/>
  <c r="BF28" i="23"/>
  <c r="BG28" i="23"/>
  <c r="BH28" i="23"/>
  <c r="BI28" i="23"/>
  <c r="BJ28" i="23"/>
  <c r="BK28" i="23"/>
  <c r="BL28" i="23"/>
  <c r="BM28" i="23"/>
  <c r="BN28" i="23"/>
  <c r="BO28" i="23"/>
  <c r="BP28" i="23"/>
  <c r="BQ28" i="23"/>
  <c r="BR28" i="23"/>
  <c r="BS28" i="23"/>
  <c r="BT28" i="23"/>
  <c r="BU28" i="23"/>
  <c r="BV28" i="23"/>
  <c r="BW28" i="23"/>
  <c r="BX28" i="23"/>
  <c r="BY28" i="23"/>
  <c r="BZ28" i="23"/>
  <c r="CA28" i="23"/>
  <c r="CB28" i="23"/>
  <c r="CC28" i="23"/>
  <c r="CD28" i="23"/>
  <c r="CE28" i="23"/>
  <c r="CF28" i="23"/>
  <c r="CG28" i="23"/>
  <c r="CH28" i="23"/>
  <c r="CI28" i="23"/>
  <c r="CJ28" i="23"/>
  <c r="CK28" i="23"/>
  <c r="CL28" i="23"/>
  <c r="CM28" i="23"/>
  <c r="CN28" i="23"/>
  <c r="CO28" i="23"/>
  <c r="CP28" i="23"/>
  <c r="CQ28" i="23"/>
  <c r="CR28" i="23"/>
  <c r="CS28" i="23"/>
  <c r="CT28" i="23"/>
  <c r="CU28" i="23"/>
  <c r="CV28" i="23"/>
  <c r="CW28" i="23"/>
  <c r="CX28" i="23"/>
  <c r="CY28" i="23"/>
  <c r="CZ28" i="23"/>
  <c r="DA28" i="23"/>
  <c r="DB28" i="23"/>
  <c r="DC28" i="23"/>
  <c r="DD28" i="23"/>
  <c r="DE28" i="23"/>
  <c r="DF28" i="23"/>
  <c r="DG28" i="23"/>
  <c r="DH28" i="23"/>
  <c r="DI28" i="23"/>
  <c r="DJ28" i="23"/>
  <c r="DK28" i="23"/>
  <c r="DL28" i="23"/>
  <c r="DM28" i="23"/>
  <c r="DN28" i="23"/>
  <c r="DO28" i="23"/>
  <c r="DP28" i="23"/>
  <c r="DQ28" i="23"/>
  <c r="DR28" i="23"/>
  <c r="DS28" i="23"/>
  <c r="DT28" i="23"/>
  <c r="DU28" i="23"/>
  <c r="DV28" i="23"/>
  <c r="DW28" i="23"/>
  <c r="DX28" i="23"/>
  <c r="DY28" i="23"/>
  <c r="DZ28" i="23"/>
  <c r="EA28" i="23"/>
  <c r="EB28" i="23"/>
  <c r="EC28" i="23"/>
  <c r="ED28" i="23"/>
  <c r="EE28" i="23"/>
  <c r="EF28" i="23"/>
  <c r="EG28" i="23"/>
  <c r="EH28" i="23"/>
  <c r="EI28" i="23"/>
  <c r="EJ28" i="23"/>
  <c r="EK28" i="23"/>
  <c r="EL28" i="23"/>
  <c r="EM28" i="23"/>
  <c r="EN28" i="23"/>
  <c r="EO28" i="23"/>
  <c r="EP28" i="23"/>
  <c r="EQ28" i="23"/>
  <c r="ER28" i="23"/>
  <c r="ES28" i="23"/>
  <c r="ET28" i="23"/>
  <c r="EU28" i="23"/>
  <c r="EV28" i="23"/>
  <c r="EW28" i="23"/>
  <c r="EX28" i="23"/>
  <c r="EY28" i="23"/>
  <c r="E29" i="23"/>
  <c r="F29" i="23"/>
  <c r="G29" i="23"/>
  <c r="H29" i="23"/>
  <c r="I29" i="23"/>
  <c r="J29" i="23"/>
  <c r="K29" i="23"/>
  <c r="L29" i="23"/>
  <c r="M29" i="23"/>
  <c r="N29" i="23"/>
  <c r="O29" i="23"/>
  <c r="P29" i="23"/>
  <c r="Q29" i="23"/>
  <c r="R29" i="23"/>
  <c r="S29" i="23"/>
  <c r="T29" i="23"/>
  <c r="U29" i="23"/>
  <c r="V29" i="23"/>
  <c r="W29" i="23"/>
  <c r="X29" i="23"/>
  <c r="Y29" i="23"/>
  <c r="Z29" i="23"/>
  <c r="AA29" i="23"/>
  <c r="AB29" i="23"/>
  <c r="AC29" i="23"/>
  <c r="AD29" i="23"/>
  <c r="AE29" i="23"/>
  <c r="AF29" i="23"/>
  <c r="AO29" i="23"/>
  <c r="AP29" i="23"/>
  <c r="AQ29" i="23"/>
  <c r="AR29" i="23"/>
  <c r="AS29" i="23"/>
  <c r="AT29" i="23"/>
  <c r="AV29" i="23"/>
  <c r="AW29" i="23"/>
  <c r="AX29" i="23"/>
  <c r="AY29" i="23"/>
  <c r="AZ29" i="23"/>
  <c r="BA29" i="23"/>
  <c r="BB29" i="23"/>
  <c r="BC29" i="23"/>
  <c r="BD29" i="23"/>
  <c r="BE29" i="23"/>
  <c r="BF29" i="23"/>
  <c r="BG29" i="23"/>
  <c r="BH29" i="23"/>
  <c r="BI29" i="23"/>
  <c r="BJ29" i="23"/>
  <c r="BK29" i="23"/>
  <c r="BL29" i="23"/>
  <c r="BM29" i="23"/>
  <c r="BN29" i="23"/>
  <c r="BO29" i="23"/>
  <c r="BP29" i="23"/>
  <c r="BQ29" i="23"/>
  <c r="BR29" i="23"/>
  <c r="BS29" i="23"/>
  <c r="BT29" i="23"/>
  <c r="BU29" i="23"/>
  <c r="BV29" i="23"/>
  <c r="BW29" i="23"/>
  <c r="BX29" i="23"/>
  <c r="BY29" i="23"/>
  <c r="BZ29" i="23"/>
  <c r="CA29" i="23"/>
  <c r="CB29" i="23"/>
  <c r="CC29" i="23"/>
  <c r="CD29" i="23"/>
  <c r="CE29" i="23"/>
  <c r="CF29" i="23"/>
  <c r="CG29" i="23"/>
  <c r="CH29" i="23"/>
  <c r="CI29" i="23"/>
  <c r="CJ29" i="23"/>
  <c r="CK29" i="23"/>
  <c r="CL29" i="23"/>
  <c r="CM29" i="23"/>
  <c r="CN29" i="23"/>
  <c r="CO29" i="23"/>
  <c r="CP29" i="23"/>
  <c r="CQ29" i="23"/>
  <c r="CR29" i="23"/>
  <c r="CS29" i="23"/>
  <c r="CT29" i="23"/>
  <c r="CU29" i="23"/>
  <c r="CV29" i="23"/>
  <c r="CW29" i="23"/>
  <c r="CX29" i="23"/>
  <c r="CY29" i="23"/>
  <c r="CZ29" i="23"/>
  <c r="DA29" i="23"/>
  <c r="DB29" i="23"/>
  <c r="DC29" i="23"/>
  <c r="DD29" i="23"/>
  <c r="DE29" i="23"/>
  <c r="DF29" i="23"/>
  <c r="DG29" i="23"/>
  <c r="DH29" i="23"/>
  <c r="DI29" i="23"/>
  <c r="DJ29" i="23"/>
  <c r="DK29" i="23"/>
  <c r="DL29" i="23"/>
  <c r="DM29" i="23"/>
  <c r="DN29" i="23"/>
  <c r="DO29" i="23"/>
  <c r="DP29" i="23"/>
  <c r="DQ29" i="23"/>
  <c r="DR29" i="23"/>
  <c r="DS29" i="23"/>
  <c r="DT29" i="23"/>
  <c r="DU29" i="23"/>
  <c r="DV29" i="23"/>
  <c r="DW29" i="23"/>
  <c r="DX29" i="23"/>
  <c r="DY29" i="23"/>
  <c r="DZ29" i="23"/>
  <c r="EA29" i="23"/>
  <c r="EB29" i="23"/>
  <c r="EC29" i="23"/>
  <c r="ED29" i="23"/>
  <c r="EE29" i="23"/>
  <c r="EF29" i="23"/>
  <c r="EG29" i="23"/>
  <c r="EH29" i="23"/>
  <c r="EI29" i="23"/>
  <c r="EJ29" i="23"/>
  <c r="EK29" i="23"/>
  <c r="EL29" i="23"/>
  <c r="EM29" i="23"/>
  <c r="EN29" i="23"/>
  <c r="EO29" i="23"/>
  <c r="EP29" i="23"/>
  <c r="EQ29" i="23"/>
  <c r="ER29" i="23"/>
  <c r="ES29" i="23"/>
  <c r="ET29" i="23"/>
  <c r="EU29" i="23"/>
  <c r="EV29" i="23"/>
  <c r="EW29" i="23"/>
  <c r="EX29" i="23"/>
  <c r="EY29" i="23"/>
  <c r="E30" i="23"/>
  <c r="F30" i="23"/>
  <c r="G30" i="23"/>
  <c r="H30" i="23"/>
  <c r="I30" i="23"/>
  <c r="J30" i="23"/>
  <c r="K30" i="23"/>
  <c r="L30" i="23"/>
  <c r="M30" i="23"/>
  <c r="N30" i="23"/>
  <c r="O30" i="23"/>
  <c r="P30" i="23"/>
  <c r="Q30" i="23"/>
  <c r="R30" i="23"/>
  <c r="S30" i="23"/>
  <c r="T30" i="23"/>
  <c r="U30" i="23"/>
  <c r="V30" i="23"/>
  <c r="W30" i="23"/>
  <c r="X30" i="23"/>
  <c r="Y30" i="23"/>
  <c r="Z30" i="23"/>
  <c r="AA30" i="23"/>
  <c r="AB30" i="23"/>
  <c r="AC30" i="23"/>
  <c r="AD30" i="23"/>
  <c r="AE30" i="23"/>
  <c r="AF30" i="23"/>
  <c r="AO30" i="23"/>
  <c r="AP30" i="23"/>
  <c r="AQ30" i="23"/>
  <c r="AR30" i="23"/>
  <c r="AS30" i="23"/>
  <c r="AT30" i="23"/>
  <c r="AV30" i="23"/>
  <c r="AW30" i="23"/>
  <c r="AX30" i="23"/>
  <c r="AY30" i="23"/>
  <c r="AZ30" i="23"/>
  <c r="BA30" i="23"/>
  <c r="BB30" i="23"/>
  <c r="BC30" i="23"/>
  <c r="BD30" i="23"/>
  <c r="BE30" i="23"/>
  <c r="BF30" i="23"/>
  <c r="BG30" i="23"/>
  <c r="BH30" i="23"/>
  <c r="BI30" i="23"/>
  <c r="BJ30" i="23"/>
  <c r="BK30" i="23"/>
  <c r="BL30" i="23"/>
  <c r="BM30" i="23"/>
  <c r="BN30" i="23"/>
  <c r="BO30" i="23"/>
  <c r="BP30" i="23"/>
  <c r="BQ30" i="23"/>
  <c r="BR30" i="23"/>
  <c r="BS30" i="23"/>
  <c r="BT30" i="23"/>
  <c r="BU30" i="23"/>
  <c r="BV30" i="23"/>
  <c r="BW30" i="23"/>
  <c r="BX30" i="23"/>
  <c r="BY30" i="23"/>
  <c r="BZ30" i="23"/>
  <c r="CA30" i="23"/>
  <c r="CB30" i="23"/>
  <c r="CC30" i="23"/>
  <c r="CD30" i="23"/>
  <c r="CE30" i="23"/>
  <c r="CF30" i="23"/>
  <c r="CG30" i="23"/>
  <c r="CH30" i="23"/>
  <c r="CI30" i="23"/>
  <c r="CJ30" i="23"/>
  <c r="CK30" i="23"/>
  <c r="CL30" i="23"/>
  <c r="CM30" i="23"/>
  <c r="CN30" i="23"/>
  <c r="CO30" i="23"/>
  <c r="CP30" i="23"/>
  <c r="CQ30" i="23"/>
  <c r="CR30" i="23"/>
  <c r="CS30" i="23"/>
  <c r="CT30" i="23"/>
  <c r="CU30" i="23"/>
  <c r="CV30" i="23"/>
  <c r="CW30" i="23"/>
  <c r="CX30" i="23"/>
  <c r="CY30" i="23"/>
  <c r="CZ30" i="23"/>
  <c r="DA30" i="23"/>
  <c r="DB30" i="23"/>
  <c r="DC30" i="23"/>
  <c r="DD30" i="23"/>
  <c r="DE30" i="23"/>
  <c r="DF30" i="23"/>
  <c r="DG30" i="23"/>
  <c r="DH30" i="23"/>
  <c r="DI30" i="23"/>
  <c r="DJ30" i="23"/>
  <c r="DK30" i="23"/>
  <c r="DL30" i="23"/>
  <c r="DM30" i="23"/>
  <c r="DN30" i="23"/>
  <c r="DO30" i="23"/>
  <c r="DP30" i="23"/>
  <c r="DQ30" i="23"/>
  <c r="DR30" i="23"/>
  <c r="DS30" i="23"/>
  <c r="DT30" i="23"/>
  <c r="DU30" i="23"/>
  <c r="DV30" i="23"/>
  <c r="DW30" i="23"/>
  <c r="DX30" i="23"/>
  <c r="DY30" i="23"/>
  <c r="DZ30" i="23"/>
  <c r="EA30" i="23"/>
  <c r="EB30" i="23"/>
  <c r="EC30" i="23"/>
  <c r="ED30" i="23"/>
  <c r="EE30" i="23"/>
  <c r="EF30" i="23"/>
  <c r="EG30" i="23"/>
  <c r="EH30" i="23"/>
  <c r="EI30" i="23"/>
  <c r="EJ30" i="23"/>
  <c r="EK30" i="23"/>
  <c r="EL30" i="23"/>
  <c r="EM30" i="23"/>
  <c r="EN30" i="23"/>
  <c r="EO30" i="23"/>
  <c r="EP30" i="23"/>
  <c r="EQ30" i="23"/>
  <c r="ER30" i="23"/>
  <c r="ES30" i="23"/>
  <c r="ET30" i="23"/>
  <c r="EU30" i="23"/>
  <c r="EV30" i="23"/>
  <c r="EW30" i="23"/>
  <c r="EX30" i="23"/>
  <c r="EY30" i="23"/>
  <c r="E31" i="23"/>
  <c r="F31" i="23"/>
  <c r="G31" i="23"/>
  <c r="H31" i="23"/>
  <c r="I31" i="23"/>
  <c r="J31" i="23"/>
  <c r="K31" i="23"/>
  <c r="L31" i="23"/>
  <c r="M31" i="23"/>
  <c r="N31" i="23"/>
  <c r="O31" i="23"/>
  <c r="P31" i="23"/>
  <c r="Q31" i="23"/>
  <c r="R31" i="23"/>
  <c r="S31" i="23"/>
  <c r="T31" i="23"/>
  <c r="U31" i="23"/>
  <c r="V31" i="23"/>
  <c r="W31" i="23"/>
  <c r="X31" i="23"/>
  <c r="Y31" i="23"/>
  <c r="Z31" i="23"/>
  <c r="AA31" i="23"/>
  <c r="AB31" i="23"/>
  <c r="AC31" i="23"/>
  <c r="AD31" i="23"/>
  <c r="AE31" i="23"/>
  <c r="AF31" i="23"/>
  <c r="AO31" i="23"/>
  <c r="AP31" i="23"/>
  <c r="AQ31" i="23"/>
  <c r="AR31" i="23"/>
  <c r="AS31" i="23"/>
  <c r="AT31" i="23"/>
  <c r="AV31" i="23"/>
  <c r="AW31" i="23"/>
  <c r="AX31" i="23"/>
  <c r="AY31" i="23"/>
  <c r="AZ31" i="23"/>
  <c r="BA31" i="23"/>
  <c r="BB31" i="23"/>
  <c r="BC31" i="23"/>
  <c r="BD31" i="23"/>
  <c r="BE31" i="23"/>
  <c r="BF31" i="23"/>
  <c r="BG31" i="23"/>
  <c r="BH31" i="23"/>
  <c r="BI31" i="23"/>
  <c r="BJ31" i="23"/>
  <c r="BK31" i="23"/>
  <c r="BL31" i="23"/>
  <c r="BM31" i="23"/>
  <c r="BN31" i="23"/>
  <c r="BO31" i="23"/>
  <c r="BP31" i="23"/>
  <c r="BQ31" i="23"/>
  <c r="BR31" i="23"/>
  <c r="BS31" i="23"/>
  <c r="BT31" i="23"/>
  <c r="BU31" i="23"/>
  <c r="BV31" i="23"/>
  <c r="BW31" i="23"/>
  <c r="BX31" i="23"/>
  <c r="BY31" i="23"/>
  <c r="BZ31" i="23"/>
  <c r="CA31" i="23"/>
  <c r="CB31" i="23"/>
  <c r="CC31" i="23"/>
  <c r="CD31" i="23"/>
  <c r="CE31" i="23"/>
  <c r="CF31" i="23"/>
  <c r="CG31" i="23"/>
  <c r="CH31" i="23"/>
  <c r="CI31" i="23"/>
  <c r="CJ31" i="23"/>
  <c r="CK31" i="23"/>
  <c r="CL31" i="23"/>
  <c r="CM31" i="23"/>
  <c r="CN31" i="23"/>
  <c r="CO31" i="23"/>
  <c r="CP31" i="23"/>
  <c r="CQ31" i="23"/>
  <c r="CR31" i="23"/>
  <c r="CS31" i="23"/>
  <c r="CT31" i="23"/>
  <c r="CU31" i="23"/>
  <c r="CV31" i="23"/>
  <c r="CW31" i="23"/>
  <c r="CX31" i="23"/>
  <c r="CY31" i="23"/>
  <c r="CZ31" i="23"/>
  <c r="DA31" i="23"/>
  <c r="DB31" i="23"/>
  <c r="DC31" i="23"/>
  <c r="DD31" i="23"/>
  <c r="DE31" i="23"/>
  <c r="DF31" i="23"/>
  <c r="DG31" i="23"/>
  <c r="DH31" i="23"/>
  <c r="DI31" i="23"/>
  <c r="DJ31" i="23"/>
  <c r="DK31" i="23"/>
  <c r="DL31" i="23"/>
  <c r="DM31" i="23"/>
  <c r="DN31" i="23"/>
  <c r="DO31" i="23"/>
  <c r="DP31" i="23"/>
  <c r="DQ31" i="23"/>
  <c r="DR31" i="23"/>
  <c r="DS31" i="23"/>
  <c r="DT31" i="23"/>
  <c r="DU31" i="23"/>
  <c r="DV31" i="23"/>
  <c r="DW31" i="23"/>
  <c r="DX31" i="23"/>
  <c r="DY31" i="23"/>
  <c r="DZ31" i="23"/>
  <c r="EA31" i="23"/>
  <c r="EB31" i="23"/>
  <c r="EC31" i="23"/>
  <c r="ED31" i="23"/>
  <c r="EE31" i="23"/>
  <c r="EF31" i="23"/>
  <c r="EG31" i="23"/>
  <c r="EH31" i="23"/>
  <c r="EI31" i="23"/>
  <c r="EJ31" i="23"/>
  <c r="EK31" i="23"/>
  <c r="EL31" i="23"/>
  <c r="EM31" i="23"/>
  <c r="EN31" i="23"/>
  <c r="EO31" i="23"/>
  <c r="EP31" i="23"/>
  <c r="EQ31" i="23"/>
  <c r="ER31" i="23"/>
  <c r="ES31" i="23"/>
  <c r="ET31" i="23"/>
  <c r="EU31" i="23"/>
  <c r="EV31" i="23"/>
  <c r="EW31" i="23"/>
  <c r="EX31" i="23"/>
  <c r="EY31" i="23"/>
  <c r="E32" i="23"/>
  <c r="F32" i="23"/>
  <c r="G32" i="23"/>
  <c r="H32" i="23"/>
  <c r="I32" i="23"/>
  <c r="J32" i="23"/>
  <c r="K32" i="23"/>
  <c r="L32" i="23"/>
  <c r="M32" i="23"/>
  <c r="N32" i="23"/>
  <c r="O32" i="23"/>
  <c r="P32" i="23"/>
  <c r="Q32" i="23"/>
  <c r="R32" i="23"/>
  <c r="S32" i="23"/>
  <c r="T32" i="23"/>
  <c r="U32" i="23"/>
  <c r="V32" i="23"/>
  <c r="W32" i="23"/>
  <c r="X32" i="23"/>
  <c r="Y32" i="23"/>
  <c r="Z32" i="23"/>
  <c r="AA32" i="23"/>
  <c r="AB32" i="23"/>
  <c r="AC32" i="23"/>
  <c r="AD32" i="23"/>
  <c r="AE32" i="23"/>
  <c r="AF32" i="23"/>
  <c r="AO32" i="23"/>
  <c r="AP32" i="23"/>
  <c r="AQ32" i="23"/>
  <c r="AR32" i="23"/>
  <c r="AS32" i="23"/>
  <c r="AT32" i="23"/>
  <c r="AV32" i="23"/>
  <c r="AW32" i="23"/>
  <c r="AX32" i="23"/>
  <c r="AY32" i="23"/>
  <c r="AZ32" i="23"/>
  <c r="BA32" i="23"/>
  <c r="BB32" i="23"/>
  <c r="BC32" i="23"/>
  <c r="BD32" i="23"/>
  <c r="BE32" i="23"/>
  <c r="BF32" i="23"/>
  <c r="BG32" i="23"/>
  <c r="BH32" i="23"/>
  <c r="BI32" i="23"/>
  <c r="BJ32" i="23"/>
  <c r="BK32" i="23"/>
  <c r="BL32" i="23"/>
  <c r="BM32" i="23"/>
  <c r="BN32" i="23"/>
  <c r="BO32" i="23"/>
  <c r="BP32" i="23"/>
  <c r="BQ32" i="23"/>
  <c r="BR32" i="23"/>
  <c r="BS32" i="23"/>
  <c r="BT32" i="23"/>
  <c r="BU32" i="23"/>
  <c r="BV32" i="23"/>
  <c r="BW32" i="23"/>
  <c r="BX32" i="23"/>
  <c r="BY32" i="23"/>
  <c r="BZ32" i="23"/>
  <c r="CA32" i="23"/>
  <c r="CB32" i="23"/>
  <c r="CC32" i="23"/>
  <c r="CD32" i="23"/>
  <c r="CE32" i="23"/>
  <c r="CF32" i="23"/>
  <c r="CG32" i="23"/>
  <c r="CH32" i="23"/>
  <c r="CI32" i="23"/>
  <c r="CJ32" i="23"/>
  <c r="CK32" i="23"/>
  <c r="CL32" i="23"/>
  <c r="CM32" i="23"/>
  <c r="CN32" i="23"/>
  <c r="CO32" i="23"/>
  <c r="CP32" i="23"/>
  <c r="CQ32" i="23"/>
  <c r="CR32" i="23"/>
  <c r="CS32" i="23"/>
  <c r="CT32" i="23"/>
  <c r="CU32" i="23"/>
  <c r="CV32" i="23"/>
  <c r="CW32" i="23"/>
  <c r="CX32" i="23"/>
  <c r="CY32" i="23"/>
  <c r="CZ32" i="23"/>
  <c r="DA32" i="23"/>
  <c r="DB32" i="23"/>
  <c r="DC32" i="23"/>
  <c r="DD32" i="23"/>
  <c r="DE32" i="23"/>
  <c r="DF32" i="23"/>
  <c r="DG32" i="23"/>
  <c r="DH32" i="23"/>
  <c r="DI32" i="23"/>
  <c r="DJ32" i="23"/>
  <c r="DK32" i="23"/>
  <c r="DL32" i="23"/>
  <c r="DM32" i="23"/>
  <c r="DN32" i="23"/>
  <c r="DO32" i="23"/>
  <c r="DP32" i="23"/>
  <c r="DQ32" i="23"/>
  <c r="DR32" i="23"/>
  <c r="DS32" i="23"/>
  <c r="DT32" i="23"/>
  <c r="DU32" i="23"/>
  <c r="DV32" i="23"/>
  <c r="DW32" i="23"/>
  <c r="DX32" i="23"/>
  <c r="DY32" i="23"/>
  <c r="DZ32" i="23"/>
  <c r="EA32" i="23"/>
  <c r="EB32" i="23"/>
  <c r="EC32" i="23"/>
  <c r="ED32" i="23"/>
  <c r="EE32" i="23"/>
  <c r="EF32" i="23"/>
  <c r="EG32" i="23"/>
  <c r="EH32" i="23"/>
  <c r="EI32" i="23"/>
  <c r="EJ32" i="23"/>
  <c r="EK32" i="23"/>
  <c r="EL32" i="23"/>
  <c r="EM32" i="23"/>
  <c r="EN32" i="23"/>
  <c r="EO32" i="23"/>
  <c r="EP32" i="23"/>
  <c r="EQ32" i="23"/>
  <c r="ER32" i="23"/>
  <c r="ES32" i="23"/>
  <c r="ET32" i="23"/>
  <c r="EU32" i="23"/>
  <c r="EV32" i="23"/>
  <c r="EW32" i="23"/>
  <c r="EX32" i="23"/>
  <c r="EY32" i="23"/>
  <c r="E33" i="23"/>
  <c r="F33" i="23"/>
  <c r="G33" i="23"/>
  <c r="H33" i="23"/>
  <c r="I33" i="23"/>
  <c r="J33" i="23"/>
  <c r="K33" i="23"/>
  <c r="L33" i="23"/>
  <c r="M33" i="23"/>
  <c r="N33" i="23"/>
  <c r="O33" i="23"/>
  <c r="P33" i="23"/>
  <c r="Q33" i="23"/>
  <c r="R33" i="23"/>
  <c r="S33" i="23"/>
  <c r="T33" i="23"/>
  <c r="U33" i="23"/>
  <c r="V33" i="23"/>
  <c r="W33" i="23"/>
  <c r="X33" i="23"/>
  <c r="Y33" i="23"/>
  <c r="Z33" i="23"/>
  <c r="AA33" i="23"/>
  <c r="AB33" i="23"/>
  <c r="AC33" i="23"/>
  <c r="AD33" i="23"/>
  <c r="AE33" i="23"/>
  <c r="AF33" i="23"/>
  <c r="AO33" i="23"/>
  <c r="AP33" i="23"/>
  <c r="AQ33" i="23"/>
  <c r="AR33" i="23"/>
  <c r="AS33" i="23"/>
  <c r="AT33" i="23"/>
  <c r="AV33" i="23"/>
  <c r="AW33" i="23"/>
  <c r="AX33" i="23"/>
  <c r="AY33" i="23"/>
  <c r="AZ33" i="23"/>
  <c r="BA33" i="23"/>
  <c r="BB33" i="23"/>
  <c r="BC33" i="23"/>
  <c r="BD33" i="23"/>
  <c r="BE33" i="23"/>
  <c r="BF33" i="23"/>
  <c r="BG33" i="23"/>
  <c r="BH33" i="23"/>
  <c r="BI33" i="23"/>
  <c r="BJ33" i="23"/>
  <c r="BK33" i="23"/>
  <c r="BL33" i="23"/>
  <c r="BM33" i="23"/>
  <c r="BN33" i="23"/>
  <c r="BO33" i="23"/>
  <c r="BP33" i="23"/>
  <c r="BQ33" i="23"/>
  <c r="BR33" i="23"/>
  <c r="BS33" i="23"/>
  <c r="BT33" i="23"/>
  <c r="BU33" i="23"/>
  <c r="BV33" i="23"/>
  <c r="BW33" i="23"/>
  <c r="BX33" i="23"/>
  <c r="BY33" i="23"/>
  <c r="BZ33" i="23"/>
  <c r="CA33" i="23"/>
  <c r="CB33" i="23"/>
  <c r="CC33" i="23"/>
  <c r="CD33" i="23"/>
  <c r="CE33" i="23"/>
  <c r="CF33" i="23"/>
  <c r="CG33" i="23"/>
  <c r="CH33" i="23"/>
  <c r="CI33" i="23"/>
  <c r="CJ33" i="23"/>
  <c r="CK33" i="23"/>
  <c r="CL33" i="23"/>
  <c r="CM33" i="23"/>
  <c r="CN33" i="23"/>
  <c r="CO33" i="23"/>
  <c r="CP33" i="23"/>
  <c r="CQ33" i="23"/>
  <c r="CR33" i="23"/>
  <c r="CS33" i="23"/>
  <c r="CT33" i="23"/>
  <c r="CU33" i="23"/>
  <c r="CV33" i="23"/>
  <c r="CW33" i="23"/>
  <c r="CX33" i="23"/>
  <c r="CY33" i="23"/>
  <c r="CZ33" i="23"/>
  <c r="DA33" i="23"/>
  <c r="DB33" i="23"/>
  <c r="DC33" i="23"/>
  <c r="DD33" i="23"/>
  <c r="DE33" i="23"/>
  <c r="DF33" i="23"/>
  <c r="DG33" i="23"/>
  <c r="DH33" i="23"/>
  <c r="DI33" i="23"/>
  <c r="DJ33" i="23"/>
  <c r="DK33" i="23"/>
  <c r="DL33" i="23"/>
  <c r="DM33" i="23"/>
  <c r="DN33" i="23"/>
  <c r="DO33" i="23"/>
  <c r="DP33" i="23"/>
  <c r="DQ33" i="23"/>
  <c r="DR33" i="23"/>
  <c r="DS33" i="23"/>
  <c r="DT33" i="23"/>
  <c r="DU33" i="23"/>
  <c r="DV33" i="23"/>
  <c r="DW33" i="23"/>
  <c r="DX33" i="23"/>
  <c r="DY33" i="23"/>
  <c r="DZ33" i="23"/>
  <c r="EA33" i="23"/>
  <c r="EB33" i="23"/>
  <c r="EC33" i="23"/>
  <c r="ED33" i="23"/>
  <c r="EE33" i="23"/>
  <c r="EF33" i="23"/>
  <c r="EG33" i="23"/>
  <c r="EH33" i="23"/>
  <c r="EI33" i="23"/>
  <c r="EJ33" i="23"/>
  <c r="EK33" i="23"/>
  <c r="EL33" i="23"/>
  <c r="EM33" i="23"/>
  <c r="EN33" i="23"/>
  <c r="EO33" i="23"/>
  <c r="EP33" i="23"/>
  <c r="EQ33" i="23"/>
  <c r="ER33" i="23"/>
  <c r="ES33" i="23"/>
  <c r="ET33" i="23"/>
  <c r="EU33" i="23"/>
  <c r="EV33" i="23"/>
  <c r="EW33" i="23"/>
  <c r="EX33" i="23"/>
  <c r="EY33" i="23"/>
  <c r="E34" i="23"/>
  <c r="F34" i="23"/>
  <c r="G34" i="23"/>
  <c r="H34" i="23"/>
  <c r="I34" i="23"/>
  <c r="J34" i="23"/>
  <c r="K34" i="23"/>
  <c r="L34" i="23"/>
  <c r="M34" i="23"/>
  <c r="N34" i="23"/>
  <c r="O34" i="23"/>
  <c r="P34" i="23"/>
  <c r="Q34" i="23"/>
  <c r="R34" i="23"/>
  <c r="S34" i="23"/>
  <c r="T34" i="23"/>
  <c r="U34" i="23"/>
  <c r="V34" i="23"/>
  <c r="W34" i="23"/>
  <c r="X34" i="23"/>
  <c r="Y34" i="23"/>
  <c r="Z34" i="23"/>
  <c r="AA34" i="23"/>
  <c r="AB34" i="23"/>
  <c r="AC34" i="23"/>
  <c r="AD34" i="23"/>
  <c r="AE34" i="23"/>
  <c r="AF34" i="23"/>
  <c r="AO34" i="23"/>
  <c r="AP34" i="23"/>
  <c r="AQ34" i="23"/>
  <c r="AR34" i="23"/>
  <c r="AS34" i="23"/>
  <c r="AT34" i="23"/>
  <c r="AV34" i="23"/>
  <c r="AW34" i="23"/>
  <c r="AX34" i="23"/>
  <c r="AY34" i="23"/>
  <c r="AZ34" i="23"/>
  <c r="BA34" i="23"/>
  <c r="BB34" i="23"/>
  <c r="BC34" i="23"/>
  <c r="BD34" i="23"/>
  <c r="BE34" i="23"/>
  <c r="BF34" i="23"/>
  <c r="BG34" i="23"/>
  <c r="BH34" i="23"/>
  <c r="BI34" i="23"/>
  <c r="BJ34" i="23"/>
  <c r="BK34" i="23"/>
  <c r="BL34" i="23"/>
  <c r="BM34" i="23"/>
  <c r="BN34" i="23"/>
  <c r="BO34" i="23"/>
  <c r="BP34" i="23"/>
  <c r="BQ34" i="23"/>
  <c r="BR34" i="23"/>
  <c r="BS34" i="23"/>
  <c r="BT34" i="23"/>
  <c r="BU34" i="23"/>
  <c r="BV34" i="23"/>
  <c r="BW34" i="23"/>
  <c r="BX34" i="23"/>
  <c r="BY34" i="23"/>
  <c r="BZ34" i="23"/>
  <c r="CA34" i="23"/>
  <c r="CB34" i="23"/>
  <c r="CC34" i="23"/>
  <c r="CD34" i="23"/>
  <c r="CE34" i="23"/>
  <c r="CF34" i="23"/>
  <c r="CG34" i="23"/>
  <c r="CH34" i="23"/>
  <c r="CI34" i="23"/>
  <c r="CJ34" i="23"/>
  <c r="CK34" i="23"/>
  <c r="CL34" i="23"/>
  <c r="CM34" i="23"/>
  <c r="CN34" i="23"/>
  <c r="CO34" i="23"/>
  <c r="CP34" i="23"/>
  <c r="CQ34" i="23"/>
  <c r="CR34" i="23"/>
  <c r="CS34" i="23"/>
  <c r="CT34" i="23"/>
  <c r="CU34" i="23"/>
  <c r="CV34" i="23"/>
  <c r="CW34" i="23"/>
  <c r="CX34" i="23"/>
  <c r="CY34" i="23"/>
  <c r="CZ34" i="23"/>
  <c r="DA34" i="23"/>
  <c r="DB34" i="23"/>
  <c r="DC34" i="23"/>
  <c r="DD34" i="23"/>
  <c r="DE34" i="23"/>
  <c r="DF34" i="23"/>
  <c r="DG34" i="23"/>
  <c r="DH34" i="23"/>
  <c r="DI34" i="23"/>
  <c r="DJ34" i="23"/>
  <c r="DK34" i="23"/>
  <c r="DL34" i="23"/>
  <c r="DM34" i="23"/>
  <c r="DN34" i="23"/>
  <c r="DO34" i="23"/>
  <c r="DP34" i="23"/>
  <c r="DQ34" i="23"/>
  <c r="DR34" i="23"/>
  <c r="DS34" i="23"/>
  <c r="DT34" i="23"/>
  <c r="DU34" i="23"/>
  <c r="DV34" i="23"/>
  <c r="DW34" i="23"/>
  <c r="DX34" i="23"/>
  <c r="DY34" i="23"/>
  <c r="DZ34" i="23"/>
  <c r="EA34" i="23"/>
  <c r="EB34" i="23"/>
  <c r="EC34" i="23"/>
  <c r="ED34" i="23"/>
  <c r="EE34" i="23"/>
  <c r="EF34" i="23"/>
  <c r="EG34" i="23"/>
  <c r="EH34" i="23"/>
  <c r="EI34" i="23"/>
  <c r="EJ34" i="23"/>
  <c r="EK34" i="23"/>
  <c r="EL34" i="23"/>
  <c r="EM34" i="23"/>
  <c r="EN34" i="23"/>
  <c r="EO34" i="23"/>
  <c r="EP34" i="23"/>
  <c r="EQ34" i="23"/>
  <c r="ER34" i="23"/>
  <c r="ES34" i="23"/>
  <c r="ET34" i="23"/>
  <c r="EU34" i="23"/>
  <c r="EV34" i="23"/>
  <c r="EW34" i="23"/>
  <c r="EX34" i="23"/>
  <c r="EY34" i="23"/>
  <c r="E35" i="23"/>
  <c r="F35" i="23"/>
  <c r="G35" i="23"/>
  <c r="H35" i="23"/>
  <c r="I35" i="23"/>
  <c r="J35" i="23"/>
  <c r="K35" i="23"/>
  <c r="L35" i="23"/>
  <c r="M35" i="23"/>
  <c r="N35" i="23"/>
  <c r="O35" i="23"/>
  <c r="P35" i="23"/>
  <c r="Q35" i="23"/>
  <c r="R35" i="23"/>
  <c r="S35" i="23"/>
  <c r="T35" i="23"/>
  <c r="U35" i="23"/>
  <c r="V35" i="23"/>
  <c r="W35" i="23"/>
  <c r="X35" i="23"/>
  <c r="Y35" i="23"/>
  <c r="Z35" i="23"/>
  <c r="AA35" i="23"/>
  <c r="AB35" i="23"/>
  <c r="AC35" i="23"/>
  <c r="AD35" i="23"/>
  <c r="AE35" i="23"/>
  <c r="AF35" i="23"/>
  <c r="AO35" i="23"/>
  <c r="AP35" i="23"/>
  <c r="AQ35" i="23"/>
  <c r="AR35" i="23"/>
  <c r="AS35" i="23"/>
  <c r="AT35" i="23"/>
  <c r="AV35" i="23"/>
  <c r="AW35" i="23"/>
  <c r="AX35" i="23"/>
  <c r="AY35" i="23"/>
  <c r="AZ35" i="23"/>
  <c r="BA35" i="23"/>
  <c r="BB35" i="23"/>
  <c r="BC35" i="23"/>
  <c r="BD35" i="23"/>
  <c r="BE35" i="23"/>
  <c r="BF35" i="23"/>
  <c r="BG35" i="23"/>
  <c r="BH35" i="23"/>
  <c r="BI35" i="23"/>
  <c r="BJ35" i="23"/>
  <c r="BK35" i="23"/>
  <c r="BL35" i="23"/>
  <c r="BM35" i="23"/>
  <c r="BN35" i="23"/>
  <c r="BO35" i="23"/>
  <c r="BP35" i="23"/>
  <c r="BQ35" i="23"/>
  <c r="BR35" i="23"/>
  <c r="BS35" i="23"/>
  <c r="BT35" i="23"/>
  <c r="BU35" i="23"/>
  <c r="BV35" i="23"/>
  <c r="BW35" i="23"/>
  <c r="BX35" i="23"/>
  <c r="BY35" i="23"/>
  <c r="BZ35" i="23"/>
  <c r="CA35" i="23"/>
  <c r="CB35" i="23"/>
  <c r="CC35" i="23"/>
  <c r="CD35" i="23"/>
  <c r="CE35" i="23"/>
  <c r="CF35" i="23"/>
  <c r="CG35" i="23"/>
  <c r="CH35" i="23"/>
  <c r="CI35" i="23"/>
  <c r="CJ35" i="23"/>
  <c r="CK35" i="23"/>
  <c r="CL35" i="23"/>
  <c r="CM35" i="23"/>
  <c r="CN35" i="23"/>
  <c r="CO35" i="23"/>
  <c r="CP35" i="23"/>
  <c r="CQ35" i="23"/>
  <c r="CR35" i="23"/>
  <c r="CS35" i="23"/>
  <c r="CT35" i="23"/>
  <c r="CU35" i="23"/>
  <c r="CV35" i="23"/>
  <c r="CW35" i="23"/>
  <c r="CX35" i="23"/>
  <c r="CY35" i="23"/>
  <c r="CZ35" i="23"/>
  <c r="DA35" i="23"/>
  <c r="DB35" i="23"/>
  <c r="DC35" i="23"/>
  <c r="DD35" i="23"/>
  <c r="DE35" i="23"/>
  <c r="DF35" i="23"/>
  <c r="DG35" i="23"/>
  <c r="DH35" i="23"/>
  <c r="DI35" i="23"/>
  <c r="DJ35" i="23"/>
  <c r="DK35" i="23"/>
  <c r="DL35" i="23"/>
  <c r="DM35" i="23"/>
  <c r="DN35" i="23"/>
  <c r="DO35" i="23"/>
  <c r="DP35" i="23"/>
  <c r="DQ35" i="23"/>
  <c r="DR35" i="23"/>
  <c r="DS35" i="23"/>
  <c r="DT35" i="23"/>
  <c r="DU35" i="23"/>
  <c r="DV35" i="23"/>
  <c r="DW35" i="23"/>
  <c r="DX35" i="23"/>
  <c r="DY35" i="23"/>
  <c r="DZ35" i="23"/>
  <c r="EA35" i="23"/>
  <c r="EB35" i="23"/>
  <c r="EC35" i="23"/>
  <c r="ED35" i="23"/>
  <c r="EE35" i="23"/>
  <c r="EF35" i="23"/>
  <c r="EG35" i="23"/>
  <c r="EH35" i="23"/>
  <c r="EI35" i="23"/>
  <c r="EJ35" i="23"/>
  <c r="EK35" i="23"/>
  <c r="EL35" i="23"/>
  <c r="EM35" i="23"/>
  <c r="EN35" i="23"/>
  <c r="EO35" i="23"/>
  <c r="EP35" i="23"/>
  <c r="EQ35" i="23"/>
  <c r="ER35" i="23"/>
  <c r="ES35" i="23"/>
  <c r="ET35" i="23"/>
  <c r="EU35" i="23"/>
  <c r="EV35" i="23"/>
  <c r="EW35" i="23"/>
  <c r="EX35" i="23"/>
  <c r="EY35" i="23"/>
  <c r="E36" i="23"/>
  <c r="F36" i="23"/>
  <c r="G36" i="23"/>
  <c r="H36" i="23"/>
  <c r="I36" i="23"/>
  <c r="J36" i="23"/>
  <c r="K36" i="23"/>
  <c r="L36" i="23"/>
  <c r="M36" i="23"/>
  <c r="N36" i="23"/>
  <c r="O36" i="23"/>
  <c r="P36" i="23"/>
  <c r="Q36" i="23"/>
  <c r="R36" i="23"/>
  <c r="S36" i="23"/>
  <c r="T36" i="23"/>
  <c r="U36" i="23"/>
  <c r="V36" i="23"/>
  <c r="W36" i="23"/>
  <c r="X36" i="23"/>
  <c r="Y36" i="23"/>
  <c r="Z36" i="23"/>
  <c r="AA36" i="23"/>
  <c r="AB36" i="23"/>
  <c r="AC36" i="23"/>
  <c r="AD36" i="23"/>
  <c r="AE36" i="23"/>
  <c r="AF36" i="23"/>
  <c r="AO36" i="23"/>
  <c r="AP36" i="23"/>
  <c r="AQ36" i="23"/>
  <c r="AR36" i="23"/>
  <c r="AS36" i="23"/>
  <c r="AT36" i="23"/>
  <c r="AV36" i="23"/>
  <c r="AW36" i="23"/>
  <c r="AX36" i="23"/>
  <c r="AY36" i="23"/>
  <c r="AZ36" i="23"/>
  <c r="BA36" i="23"/>
  <c r="BB36" i="23"/>
  <c r="BC36" i="23"/>
  <c r="BD36" i="23"/>
  <c r="BE36" i="23"/>
  <c r="BF36" i="23"/>
  <c r="BG36" i="23"/>
  <c r="BH36" i="23"/>
  <c r="BI36" i="23"/>
  <c r="BJ36" i="23"/>
  <c r="BK36" i="23"/>
  <c r="BL36" i="23"/>
  <c r="BM36" i="23"/>
  <c r="BN36" i="23"/>
  <c r="BO36" i="23"/>
  <c r="BP36" i="23"/>
  <c r="BQ36" i="23"/>
  <c r="BR36" i="23"/>
  <c r="BS36" i="23"/>
  <c r="BT36" i="23"/>
  <c r="BU36" i="23"/>
  <c r="BV36" i="23"/>
  <c r="BW36" i="23"/>
  <c r="BX36" i="23"/>
  <c r="BY36" i="23"/>
  <c r="BZ36" i="23"/>
  <c r="CA36" i="23"/>
  <c r="CB36" i="23"/>
  <c r="CC36" i="23"/>
  <c r="CD36" i="23"/>
  <c r="CE36" i="23"/>
  <c r="CF36" i="23"/>
  <c r="CG36" i="23"/>
  <c r="CH36" i="23"/>
  <c r="CI36" i="23"/>
  <c r="CJ36" i="23"/>
  <c r="CK36" i="23"/>
  <c r="CL36" i="23"/>
  <c r="CM36" i="23"/>
  <c r="CN36" i="23"/>
  <c r="CO36" i="23"/>
  <c r="CP36" i="23"/>
  <c r="CQ36" i="23"/>
  <c r="CR36" i="23"/>
  <c r="CS36" i="23"/>
  <c r="CT36" i="23"/>
  <c r="CU36" i="23"/>
  <c r="CV36" i="23"/>
  <c r="CW36" i="23"/>
  <c r="CX36" i="23"/>
  <c r="CY36" i="23"/>
  <c r="CZ36" i="23"/>
  <c r="DA36" i="23"/>
  <c r="DB36" i="23"/>
  <c r="DC36" i="23"/>
  <c r="DD36" i="23"/>
  <c r="DE36" i="23"/>
  <c r="DF36" i="23"/>
  <c r="DG36" i="23"/>
  <c r="DH36" i="23"/>
  <c r="DI36" i="23"/>
  <c r="DJ36" i="23"/>
  <c r="DK36" i="23"/>
  <c r="DL36" i="23"/>
  <c r="DM36" i="23"/>
  <c r="DN36" i="23"/>
  <c r="DO36" i="23"/>
  <c r="DP36" i="23"/>
  <c r="DQ36" i="23"/>
  <c r="DR36" i="23"/>
  <c r="DS36" i="23"/>
  <c r="DT36" i="23"/>
  <c r="DU36" i="23"/>
  <c r="DV36" i="23"/>
  <c r="DW36" i="23"/>
  <c r="DX36" i="23"/>
  <c r="DY36" i="23"/>
  <c r="DZ36" i="23"/>
  <c r="EA36" i="23"/>
  <c r="EB36" i="23"/>
  <c r="EC36" i="23"/>
  <c r="ED36" i="23"/>
  <c r="EE36" i="23"/>
  <c r="EF36" i="23"/>
  <c r="EG36" i="23"/>
  <c r="EH36" i="23"/>
  <c r="EI36" i="23"/>
  <c r="EJ36" i="23"/>
  <c r="EK36" i="23"/>
  <c r="EL36" i="23"/>
  <c r="EM36" i="23"/>
  <c r="EN36" i="23"/>
  <c r="EO36" i="23"/>
  <c r="EP36" i="23"/>
  <c r="EQ36" i="23"/>
  <c r="ER36" i="23"/>
  <c r="ES36" i="23"/>
  <c r="ET36" i="23"/>
  <c r="EU36" i="23"/>
  <c r="EV36" i="23"/>
  <c r="EW36" i="23"/>
  <c r="EX36" i="23"/>
  <c r="EY36" i="23"/>
  <c r="E37" i="23"/>
  <c r="F37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O37" i="23"/>
  <c r="AP37" i="23"/>
  <c r="AQ37" i="23"/>
  <c r="AR37" i="23"/>
  <c r="AS37" i="23"/>
  <c r="AT37" i="23"/>
  <c r="AV37" i="23"/>
  <c r="AW37" i="23"/>
  <c r="AX37" i="23"/>
  <c r="AY37" i="23"/>
  <c r="AZ37" i="23"/>
  <c r="BA37" i="23"/>
  <c r="BB37" i="23"/>
  <c r="BC37" i="23"/>
  <c r="BD37" i="23"/>
  <c r="BE37" i="23"/>
  <c r="BF37" i="23"/>
  <c r="BG37" i="23"/>
  <c r="BH37" i="23"/>
  <c r="BI37" i="23"/>
  <c r="BJ37" i="23"/>
  <c r="BK37" i="23"/>
  <c r="BL37" i="23"/>
  <c r="BM37" i="23"/>
  <c r="BN37" i="23"/>
  <c r="BO37" i="23"/>
  <c r="BP37" i="23"/>
  <c r="BQ37" i="23"/>
  <c r="BR37" i="23"/>
  <c r="BS37" i="23"/>
  <c r="BT37" i="23"/>
  <c r="BU37" i="23"/>
  <c r="BV37" i="23"/>
  <c r="BW37" i="23"/>
  <c r="BX37" i="23"/>
  <c r="BY37" i="23"/>
  <c r="BZ37" i="23"/>
  <c r="CA37" i="23"/>
  <c r="CB37" i="23"/>
  <c r="CC37" i="23"/>
  <c r="CD37" i="23"/>
  <c r="CE37" i="23"/>
  <c r="CF37" i="23"/>
  <c r="CG37" i="23"/>
  <c r="CH37" i="23"/>
  <c r="CI37" i="23"/>
  <c r="CJ37" i="23"/>
  <c r="CK37" i="23"/>
  <c r="CL37" i="23"/>
  <c r="CM37" i="23"/>
  <c r="CN37" i="23"/>
  <c r="CO37" i="23"/>
  <c r="CP37" i="23"/>
  <c r="CQ37" i="23"/>
  <c r="CR37" i="23"/>
  <c r="CS37" i="23"/>
  <c r="CT37" i="23"/>
  <c r="CU37" i="23"/>
  <c r="CV37" i="23"/>
  <c r="CW37" i="23"/>
  <c r="CX37" i="23"/>
  <c r="CY37" i="23"/>
  <c r="CZ37" i="23"/>
  <c r="DA37" i="23"/>
  <c r="DB37" i="23"/>
  <c r="DC37" i="23"/>
  <c r="DD37" i="23"/>
  <c r="DE37" i="23"/>
  <c r="DF37" i="23"/>
  <c r="DG37" i="23"/>
  <c r="DH37" i="23"/>
  <c r="DI37" i="23"/>
  <c r="DJ37" i="23"/>
  <c r="DK37" i="23"/>
  <c r="DL37" i="23"/>
  <c r="DM37" i="23"/>
  <c r="DN37" i="23"/>
  <c r="DO37" i="23"/>
  <c r="DP37" i="23"/>
  <c r="DQ37" i="23"/>
  <c r="DR37" i="23"/>
  <c r="DS37" i="23"/>
  <c r="DT37" i="23"/>
  <c r="DU37" i="23"/>
  <c r="DV37" i="23"/>
  <c r="DW37" i="23"/>
  <c r="DX37" i="23"/>
  <c r="DY37" i="23"/>
  <c r="DZ37" i="23"/>
  <c r="EA37" i="23"/>
  <c r="EB37" i="23"/>
  <c r="EC37" i="23"/>
  <c r="ED37" i="23"/>
  <c r="EE37" i="23"/>
  <c r="EF37" i="23"/>
  <c r="EG37" i="23"/>
  <c r="EH37" i="23"/>
  <c r="EI37" i="23"/>
  <c r="EJ37" i="23"/>
  <c r="EK37" i="23"/>
  <c r="EL37" i="23"/>
  <c r="EM37" i="23"/>
  <c r="EN37" i="23"/>
  <c r="EO37" i="23"/>
  <c r="EP37" i="23"/>
  <c r="EQ37" i="23"/>
  <c r="ER37" i="23"/>
  <c r="ES37" i="23"/>
  <c r="ET37" i="23"/>
  <c r="EU37" i="23"/>
  <c r="EV37" i="23"/>
  <c r="EW37" i="23"/>
  <c r="EX37" i="23"/>
  <c r="EY37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O38" i="23"/>
  <c r="AP38" i="23"/>
  <c r="AQ38" i="23"/>
  <c r="AR38" i="23"/>
  <c r="AS38" i="23"/>
  <c r="AT38" i="23"/>
  <c r="AV38" i="23"/>
  <c r="AW38" i="23"/>
  <c r="AX38" i="23"/>
  <c r="AY38" i="23"/>
  <c r="AZ38" i="23"/>
  <c r="BA38" i="23"/>
  <c r="BB38" i="23"/>
  <c r="BC38" i="23"/>
  <c r="BD38" i="23"/>
  <c r="BE38" i="23"/>
  <c r="BF38" i="23"/>
  <c r="BG38" i="23"/>
  <c r="BH38" i="23"/>
  <c r="BI38" i="23"/>
  <c r="BJ38" i="23"/>
  <c r="BK38" i="23"/>
  <c r="BL38" i="23"/>
  <c r="BM38" i="23"/>
  <c r="BN38" i="23"/>
  <c r="BO38" i="23"/>
  <c r="BP38" i="23"/>
  <c r="BQ38" i="23"/>
  <c r="BR38" i="23"/>
  <c r="BS38" i="23"/>
  <c r="BT38" i="23"/>
  <c r="BU38" i="23"/>
  <c r="BV38" i="23"/>
  <c r="BW38" i="23"/>
  <c r="BX38" i="23"/>
  <c r="BY38" i="23"/>
  <c r="BZ38" i="23"/>
  <c r="CA38" i="23"/>
  <c r="CB38" i="23"/>
  <c r="CC38" i="23"/>
  <c r="CD38" i="23"/>
  <c r="CE38" i="23"/>
  <c r="CF38" i="23"/>
  <c r="CG38" i="23"/>
  <c r="CH38" i="23"/>
  <c r="CI38" i="23"/>
  <c r="CJ38" i="23"/>
  <c r="CK38" i="23"/>
  <c r="CL38" i="23"/>
  <c r="CM38" i="23"/>
  <c r="CN38" i="23"/>
  <c r="CO38" i="23"/>
  <c r="CP38" i="23"/>
  <c r="CQ38" i="23"/>
  <c r="CR38" i="23"/>
  <c r="CS38" i="23"/>
  <c r="CT38" i="23"/>
  <c r="CU38" i="23"/>
  <c r="CV38" i="23"/>
  <c r="CW38" i="23"/>
  <c r="CX38" i="23"/>
  <c r="CY38" i="23"/>
  <c r="CZ38" i="23"/>
  <c r="DA38" i="23"/>
  <c r="DB38" i="23"/>
  <c r="DC38" i="23"/>
  <c r="DD38" i="23"/>
  <c r="DE38" i="23"/>
  <c r="DF38" i="23"/>
  <c r="DG38" i="23"/>
  <c r="DH38" i="23"/>
  <c r="DI38" i="23"/>
  <c r="DJ38" i="23"/>
  <c r="DK38" i="23"/>
  <c r="DL38" i="23"/>
  <c r="DM38" i="23"/>
  <c r="DN38" i="23"/>
  <c r="DO38" i="23"/>
  <c r="DP38" i="23"/>
  <c r="DQ38" i="23"/>
  <c r="DR38" i="23"/>
  <c r="DS38" i="23"/>
  <c r="DT38" i="23"/>
  <c r="DU38" i="23"/>
  <c r="DV38" i="23"/>
  <c r="DW38" i="23"/>
  <c r="DX38" i="23"/>
  <c r="DY38" i="23"/>
  <c r="DZ38" i="23"/>
  <c r="EA38" i="23"/>
  <c r="EB38" i="23"/>
  <c r="EC38" i="23"/>
  <c r="ED38" i="23"/>
  <c r="EE38" i="23"/>
  <c r="EF38" i="23"/>
  <c r="EG38" i="23"/>
  <c r="EH38" i="23"/>
  <c r="EI38" i="23"/>
  <c r="EJ38" i="23"/>
  <c r="EK38" i="23"/>
  <c r="EL38" i="23"/>
  <c r="EM38" i="23"/>
  <c r="EN38" i="23"/>
  <c r="EO38" i="23"/>
  <c r="EP38" i="23"/>
  <c r="EQ38" i="23"/>
  <c r="ER38" i="23"/>
  <c r="ES38" i="23"/>
  <c r="ET38" i="23"/>
  <c r="EU38" i="23"/>
  <c r="EV38" i="23"/>
  <c r="EW38" i="23"/>
  <c r="EX38" i="23"/>
  <c r="EY38" i="23"/>
  <c r="E39" i="23"/>
  <c r="F39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O39" i="23"/>
  <c r="AP39" i="23"/>
  <c r="AQ39" i="23"/>
  <c r="AR39" i="23"/>
  <c r="AS39" i="23"/>
  <c r="AT39" i="23"/>
  <c r="AV39" i="23"/>
  <c r="AW39" i="23"/>
  <c r="AX39" i="23"/>
  <c r="AY39" i="23"/>
  <c r="AZ39" i="23"/>
  <c r="BA39" i="23"/>
  <c r="BB39" i="23"/>
  <c r="BC39" i="23"/>
  <c r="BD39" i="23"/>
  <c r="BE39" i="23"/>
  <c r="BF39" i="23"/>
  <c r="BG39" i="23"/>
  <c r="BH39" i="23"/>
  <c r="BI39" i="23"/>
  <c r="BJ39" i="23"/>
  <c r="BK39" i="23"/>
  <c r="BL39" i="23"/>
  <c r="BM39" i="23"/>
  <c r="BN39" i="23"/>
  <c r="BO39" i="23"/>
  <c r="BP39" i="23"/>
  <c r="BQ39" i="23"/>
  <c r="BR39" i="23"/>
  <c r="BS39" i="23"/>
  <c r="BT39" i="23"/>
  <c r="BU39" i="23"/>
  <c r="BV39" i="23"/>
  <c r="BW39" i="23"/>
  <c r="BX39" i="23"/>
  <c r="BY39" i="23"/>
  <c r="BZ39" i="23"/>
  <c r="CA39" i="23"/>
  <c r="CB39" i="23"/>
  <c r="CC39" i="23"/>
  <c r="CD39" i="23"/>
  <c r="CE39" i="23"/>
  <c r="CF39" i="23"/>
  <c r="CG39" i="23"/>
  <c r="CH39" i="23"/>
  <c r="CI39" i="23"/>
  <c r="CJ39" i="23"/>
  <c r="CK39" i="23"/>
  <c r="CL39" i="23"/>
  <c r="CM39" i="23"/>
  <c r="CN39" i="23"/>
  <c r="CO39" i="23"/>
  <c r="CP39" i="23"/>
  <c r="CQ39" i="23"/>
  <c r="CR39" i="23"/>
  <c r="CS39" i="23"/>
  <c r="CT39" i="23"/>
  <c r="CU39" i="23"/>
  <c r="CV39" i="23"/>
  <c r="CW39" i="23"/>
  <c r="CX39" i="23"/>
  <c r="CY39" i="23"/>
  <c r="CZ39" i="23"/>
  <c r="DA39" i="23"/>
  <c r="DB39" i="23"/>
  <c r="DC39" i="23"/>
  <c r="DD39" i="23"/>
  <c r="DE39" i="23"/>
  <c r="DF39" i="23"/>
  <c r="DG39" i="23"/>
  <c r="DH39" i="23"/>
  <c r="DI39" i="23"/>
  <c r="DJ39" i="23"/>
  <c r="DK39" i="23"/>
  <c r="DL39" i="23"/>
  <c r="DM39" i="23"/>
  <c r="DN39" i="23"/>
  <c r="DO39" i="23"/>
  <c r="DP39" i="23"/>
  <c r="DQ39" i="23"/>
  <c r="DR39" i="23"/>
  <c r="DS39" i="23"/>
  <c r="DT39" i="23"/>
  <c r="DU39" i="23"/>
  <c r="DV39" i="23"/>
  <c r="DW39" i="23"/>
  <c r="DX39" i="23"/>
  <c r="DY39" i="23"/>
  <c r="DZ39" i="23"/>
  <c r="EA39" i="23"/>
  <c r="EB39" i="23"/>
  <c r="EC39" i="23"/>
  <c r="ED39" i="23"/>
  <c r="EE39" i="23"/>
  <c r="EF39" i="23"/>
  <c r="EG39" i="23"/>
  <c r="EH39" i="23"/>
  <c r="EI39" i="23"/>
  <c r="EJ39" i="23"/>
  <c r="EK39" i="23"/>
  <c r="EL39" i="23"/>
  <c r="EM39" i="23"/>
  <c r="EN39" i="23"/>
  <c r="EO39" i="23"/>
  <c r="EP39" i="23"/>
  <c r="EQ39" i="23"/>
  <c r="ER39" i="23"/>
  <c r="ES39" i="23"/>
  <c r="ET39" i="23"/>
  <c r="EU39" i="23"/>
  <c r="EV39" i="23"/>
  <c r="EW39" i="23"/>
  <c r="EX39" i="23"/>
  <c r="EY39" i="23"/>
  <c r="E40" i="23"/>
  <c r="F40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O40" i="23"/>
  <c r="AP40" i="23"/>
  <c r="AQ40" i="23"/>
  <c r="AR40" i="23"/>
  <c r="AS40" i="23"/>
  <c r="AT40" i="23"/>
  <c r="AV40" i="23"/>
  <c r="AW40" i="23"/>
  <c r="AX40" i="23"/>
  <c r="AY40" i="23"/>
  <c r="AZ40" i="23"/>
  <c r="BA40" i="23"/>
  <c r="BB40" i="23"/>
  <c r="BC40" i="23"/>
  <c r="BD40" i="23"/>
  <c r="BE40" i="23"/>
  <c r="BF40" i="23"/>
  <c r="BG40" i="23"/>
  <c r="BH40" i="23"/>
  <c r="BI40" i="23"/>
  <c r="BJ40" i="23"/>
  <c r="BK40" i="23"/>
  <c r="BL40" i="23"/>
  <c r="BM40" i="23"/>
  <c r="BN40" i="23"/>
  <c r="BO40" i="23"/>
  <c r="BP40" i="23"/>
  <c r="BQ40" i="23"/>
  <c r="BR40" i="23"/>
  <c r="BS40" i="23"/>
  <c r="BT40" i="23"/>
  <c r="BU40" i="23"/>
  <c r="BV40" i="23"/>
  <c r="BW40" i="23"/>
  <c r="BX40" i="23"/>
  <c r="BY40" i="23"/>
  <c r="BZ40" i="23"/>
  <c r="CA40" i="23"/>
  <c r="CB40" i="23"/>
  <c r="CC40" i="23"/>
  <c r="CD40" i="23"/>
  <c r="CE40" i="23"/>
  <c r="CF40" i="23"/>
  <c r="CG40" i="23"/>
  <c r="CH40" i="23"/>
  <c r="CI40" i="23"/>
  <c r="CJ40" i="23"/>
  <c r="CK40" i="23"/>
  <c r="CL40" i="23"/>
  <c r="CM40" i="23"/>
  <c r="CN40" i="23"/>
  <c r="CO40" i="23"/>
  <c r="CP40" i="23"/>
  <c r="CQ40" i="23"/>
  <c r="CR40" i="23"/>
  <c r="CS40" i="23"/>
  <c r="CT40" i="23"/>
  <c r="CU40" i="23"/>
  <c r="CV40" i="23"/>
  <c r="CW40" i="23"/>
  <c r="CX40" i="23"/>
  <c r="CY40" i="23"/>
  <c r="CZ40" i="23"/>
  <c r="DA40" i="23"/>
  <c r="DB40" i="23"/>
  <c r="DC40" i="23"/>
  <c r="DD40" i="23"/>
  <c r="DE40" i="23"/>
  <c r="DF40" i="23"/>
  <c r="DG40" i="23"/>
  <c r="DH40" i="23"/>
  <c r="DI40" i="23"/>
  <c r="DJ40" i="23"/>
  <c r="DK40" i="23"/>
  <c r="DL40" i="23"/>
  <c r="DM40" i="23"/>
  <c r="DN40" i="23"/>
  <c r="DO40" i="23"/>
  <c r="DP40" i="23"/>
  <c r="DQ40" i="23"/>
  <c r="DR40" i="23"/>
  <c r="DS40" i="23"/>
  <c r="DT40" i="23"/>
  <c r="DU40" i="23"/>
  <c r="DV40" i="23"/>
  <c r="DW40" i="23"/>
  <c r="DX40" i="23"/>
  <c r="DY40" i="23"/>
  <c r="DZ40" i="23"/>
  <c r="EA40" i="23"/>
  <c r="EB40" i="23"/>
  <c r="EC40" i="23"/>
  <c r="ED40" i="23"/>
  <c r="EE40" i="23"/>
  <c r="EF40" i="23"/>
  <c r="EG40" i="23"/>
  <c r="EH40" i="23"/>
  <c r="EI40" i="23"/>
  <c r="EJ40" i="23"/>
  <c r="EK40" i="23"/>
  <c r="EL40" i="23"/>
  <c r="EM40" i="23"/>
  <c r="EN40" i="23"/>
  <c r="EO40" i="23"/>
  <c r="EP40" i="23"/>
  <c r="EQ40" i="23"/>
  <c r="ER40" i="23"/>
  <c r="ES40" i="23"/>
  <c r="ET40" i="23"/>
  <c r="EU40" i="23"/>
  <c r="EV40" i="23"/>
  <c r="EW40" i="23"/>
  <c r="EX40" i="23"/>
  <c r="EY40" i="23"/>
  <c r="E41" i="23"/>
  <c r="F41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O41" i="23"/>
  <c r="AP41" i="23"/>
  <c r="AQ41" i="23"/>
  <c r="AR41" i="23"/>
  <c r="AS41" i="23"/>
  <c r="AT41" i="23"/>
  <c r="AV41" i="23"/>
  <c r="AW41" i="23"/>
  <c r="AX41" i="23"/>
  <c r="AY41" i="23"/>
  <c r="AZ41" i="23"/>
  <c r="BA41" i="23"/>
  <c r="BB41" i="23"/>
  <c r="BC41" i="23"/>
  <c r="BD41" i="23"/>
  <c r="BE41" i="23"/>
  <c r="BF41" i="23"/>
  <c r="BG41" i="23"/>
  <c r="BH41" i="23"/>
  <c r="BI41" i="23"/>
  <c r="BJ41" i="23"/>
  <c r="BK41" i="23"/>
  <c r="BL41" i="23"/>
  <c r="BM41" i="23"/>
  <c r="BN41" i="23"/>
  <c r="BO41" i="23"/>
  <c r="BP41" i="23"/>
  <c r="BQ41" i="23"/>
  <c r="BR41" i="23"/>
  <c r="BS41" i="23"/>
  <c r="BT41" i="23"/>
  <c r="BU41" i="23"/>
  <c r="BV41" i="23"/>
  <c r="BW41" i="23"/>
  <c r="BX41" i="23"/>
  <c r="BY41" i="23"/>
  <c r="BZ41" i="23"/>
  <c r="CA41" i="23"/>
  <c r="CB41" i="23"/>
  <c r="CC41" i="23"/>
  <c r="CD41" i="23"/>
  <c r="CE41" i="23"/>
  <c r="CF41" i="23"/>
  <c r="CG41" i="23"/>
  <c r="CH41" i="23"/>
  <c r="CI41" i="23"/>
  <c r="CJ41" i="23"/>
  <c r="CK41" i="23"/>
  <c r="CL41" i="23"/>
  <c r="CM41" i="23"/>
  <c r="CN41" i="23"/>
  <c r="CO41" i="23"/>
  <c r="CP41" i="23"/>
  <c r="CQ41" i="23"/>
  <c r="CR41" i="23"/>
  <c r="CS41" i="23"/>
  <c r="CT41" i="23"/>
  <c r="CU41" i="23"/>
  <c r="CV41" i="23"/>
  <c r="CW41" i="23"/>
  <c r="CX41" i="23"/>
  <c r="CY41" i="23"/>
  <c r="CZ41" i="23"/>
  <c r="DA41" i="23"/>
  <c r="DB41" i="23"/>
  <c r="DC41" i="23"/>
  <c r="DD41" i="23"/>
  <c r="DE41" i="23"/>
  <c r="DF41" i="23"/>
  <c r="DG41" i="23"/>
  <c r="DH41" i="23"/>
  <c r="DI41" i="23"/>
  <c r="DJ41" i="23"/>
  <c r="DK41" i="23"/>
  <c r="DL41" i="23"/>
  <c r="DM41" i="23"/>
  <c r="DN41" i="23"/>
  <c r="DO41" i="23"/>
  <c r="DP41" i="23"/>
  <c r="DQ41" i="23"/>
  <c r="DR41" i="23"/>
  <c r="DS41" i="23"/>
  <c r="DT41" i="23"/>
  <c r="DU41" i="23"/>
  <c r="DV41" i="23"/>
  <c r="DW41" i="23"/>
  <c r="DX41" i="23"/>
  <c r="DY41" i="23"/>
  <c r="DZ41" i="23"/>
  <c r="EA41" i="23"/>
  <c r="EB41" i="23"/>
  <c r="EC41" i="23"/>
  <c r="ED41" i="23"/>
  <c r="EE41" i="23"/>
  <c r="EF41" i="23"/>
  <c r="EG41" i="23"/>
  <c r="EH41" i="23"/>
  <c r="EI41" i="23"/>
  <c r="EJ41" i="23"/>
  <c r="EK41" i="23"/>
  <c r="EL41" i="23"/>
  <c r="EM41" i="23"/>
  <c r="EN41" i="23"/>
  <c r="EO41" i="23"/>
  <c r="EP41" i="23"/>
  <c r="EQ41" i="23"/>
  <c r="ER41" i="23"/>
  <c r="ES41" i="23"/>
  <c r="ET41" i="23"/>
  <c r="EU41" i="23"/>
  <c r="EV41" i="23"/>
  <c r="EW41" i="23"/>
  <c r="EX41" i="23"/>
  <c r="EY41" i="23"/>
  <c r="E42" i="23"/>
  <c r="F42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42" i="23"/>
  <c r="Y42" i="23"/>
  <c r="Z42" i="23"/>
  <c r="AA42" i="23"/>
  <c r="AB42" i="23"/>
  <c r="AC42" i="23"/>
  <c r="AD42" i="23"/>
  <c r="AE42" i="23"/>
  <c r="AF42" i="23"/>
  <c r="AO42" i="23"/>
  <c r="AP42" i="23"/>
  <c r="AQ42" i="23"/>
  <c r="AR42" i="23"/>
  <c r="AS42" i="23"/>
  <c r="AT42" i="23"/>
  <c r="AV42" i="23"/>
  <c r="AW42" i="23"/>
  <c r="AX42" i="23"/>
  <c r="AY42" i="23"/>
  <c r="AZ42" i="23"/>
  <c r="BA42" i="23"/>
  <c r="BB42" i="23"/>
  <c r="BC42" i="23"/>
  <c r="BD42" i="23"/>
  <c r="BE42" i="23"/>
  <c r="BF42" i="23"/>
  <c r="BG42" i="23"/>
  <c r="BH42" i="23"/>
  <c r="BI42" i="23"/>
  <c r="BJ42" i="23"/>
  <c r="BK42" i="23"/>
  <c r="BL42" i="23"/>
  <c r="BM42" i="23"/>
  <c r="BN42" i="23"/>
  <c r="BO42" i="23"/>
  <c r="BP42" i="23"/>
  <c r="BQ42" i="23"/>
  <c r="BR42" i="23"/>
  <c r="BS42" i="23"/>
  <c r="BT42" i="23"/>
  <c r="BU42" i="23"/>
  <c r="BV42" i="23"/>
  <c r="BW42" i="23"/>
  <c r="BX42" i="23"/>
  <c r="BY42" i="23"/>
  <c r="BZ42" i="23"/>
  <c r="CA42" i="23"/>
  <c r="CB42" i="23"/>
  <c r="CC42" i="23"/>
  <c r="CD42" i="23"/>
  <c r="CE42" i="23"/>
  <c r="CF42" i="23"/>
  <c r="CG42" i="23"/>
  <c r="CH42" i="23"/>
  <c r="CI42" i="23"/>
  <c r="CJ42" i="23"/>
  <c r="CK42" i="23"/>
  <c r="CL42" i="23"/>
  <c r="CM42" i="23"/>
  <c r="CN42" i="23"/>
  <c r="CO42" i="23"/>
  <c r="CP42" i="23"/>
  <c r="CQ42" i="23"/>
  <c r="CR42" i="23"/>
  <c r="CS42" i="23"/>
  <c r="CT42" i="23"/>
  <c r="CU42" i="23"/>
  <c r="CV42" i="23"/>
  <c r="CW42" i="23"/>
  <c r="CX42" i="23"/>
  <c r="CY42" i="23"/>
  <c r="CZ42" i="23"/>
  <c r="DA42" i="23"/>
  <c r="DB42" i="23"/>
  <c r="DC42" i="23"/>
  <c r="DD42" i="23"/>
  <c r="DE42" i="23"/>
  <c r="DF42" i="23"/>
  <c r="DG42" i="23"/>
  <c r="DH42" i="23"/>
  <c r="DI42" i="23"/>
  <c r="DJ42" i="23"/>
  <c r="DK42" i="23"/>
  <c r="DL42" i="23"/>
  <c r="DM42" i="23"/>
  <c r="DN42" i="23"/>
  <c r="DO42" i="23"/>
  <c r="DP42" i="23"/>
  <c r="DQ42" i="23"/>
  <c r="DR42" i="23"/>
  <c r="DS42" i="23"/>
  <c r="DT42" i="23"/>
  <c r="DU42" i="23"/>
  <c r="DV42" i="23"/>
  <c r="DW42" i="23"/>
  <c r="DX42" i="23"/>
  <c r="DY42" i="23"/>
  <c r="DZ42" i="23"/>
  <c r="EA42" i="23"/>
  <c r="EB42" i="23"/>
  <c r="EC42" i="23"/>
  <c r="ED42" i="23"/>
  <c r="EE42" i="23"/>
  <c r="EF42" i="23"/>
  <c r="EG42" i="23"/>
  <c r="EH42" i="23"/>
  <c r="EI42" i="23"/>
  <c r="EJ42" i="23"/>
  <c r="EK42" i="23"/>
  <c r="EL42" i="23"/>
  <c r="EM42" i="23"/>
  <c r="EN42" i="23"/>
  <c r="EO42" i="23"/>
  <c r="EP42" i="23"/>
  <c r="EQ42" i="23"/>
  <c r="ER42" i="23"/>
  <c r="ES42" i="23"/>
  <c r="ET42" i="23"/>
  <c r="EU42" i="23"/>
  <c r="EV42" i="23"/>
  <c r="EW42" i="23"/>
  <c r="EX42" i="23"/>
  <c r="EY42" i="23"/>
  <c r="E43" i="23"/>
  <c r="F43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O43" i="23"/>
  <c r="AP43" i="23"/>
  <c r="AQ43" i="23"/>
  <c r="AR43" i="23"/>
  <c r="AS43" i="23"/>
  <c r="AT43" i="23"/>
  <c r="AV43" i="23"/>
  <c r="AW43" i="23"/>
  <c r="AX43" i="23"/>
  <c r="AY43" i="23"/>
  <c r="AZ43" i="23"/>
  <c r="BA43" i="23"/>
  <c r="BB43" i="23"/>
  <c r="BC43" i="23"/>
  <c r="BD43" i="23"/>
  <c r="BE43" i="23"/>
  <c r="BF43" i="23"/>
  <c r="BG43" i="23"/>
  <c r="BH43" i="23"/>
  <c r="BI43" i="23"/>
  <c r="BJ43" i="23"/>
  <c r="BK43" i="23"/>
  <c r="BL43" i="23"/>
  <c r="BM43" i="23"/>
  <c r="BN43" i="23"/>
  <c r="BO43" i="23"/>
  <c r="BP43" i="23"/>
  <c r="BQ43" i="23"/>
  <c r="BR43" i="23"/>
  <c r="BS43" i="23"/>
  <c r="BT43" i="23"/>
  <c r="BU43" i="23"/>
  <c r="BV43" i="23"/>
  <c r="BW43" i="23"/>
  <c r="BX43" i="23"/>
  <c r="BY43" i="23"/>
  <c r="BZ43" i="23"/>
  <c r="CA43" i="23"/>
  <c r="CB43" i="23"/>
  <c r="CC43" i="23"/>
  <c r="CD43" i="23"/>
  <c r="CE43" i="23"/>
  <c r="CF43" i="23"/>
  <c r="CG43" i="23"/>
  <c r="CH43" i="23"/>
  <c r="CI43" i="23"/>
  <c r="CJ43" i="23"/>
  <c r="CK43" i="23"/>
  <c r="CL43" i="23"/>
  <c r="CM43" i="23"/>
  <c r="CN43" i="23"/>
  <c r="CO43" i="23"/>
  <c r="CP43" i="23"/>
  <c r="CQ43" i="23"/>
  <c r="CR43" i="23"/>
  <c r="CS43" i="23"/>
  <c r="CT43" i="23"/>
  <c r="CU43" i="23"/>
  <c r="CV43" i="23"/>
  <c r="CW43" i="23"/>
  <c r="CX43" i="23"/>
  <c r="CY43" i="23"/>
  <c r="CZ43" i="23"/>
  <c r="DA43" i="23"/>
  <c r="DB43" i="23"/>
  <c r="DC43" i="23"/>
  <c r="DD43" i="23"/>
  <c r="DE43" i="23"/>
  <c r="DF43" i="23"/>
  <c r="DG43" i="23"/>
  <c r="DH43" i="23"/>
  <c r="DI43" i="23"/>
  <c r="DJ43" i="23"/>
  <c r="DK43" i="23"/>
  <c r="DL43" i="23"/>
  <c r="DM43" i="23"/>
  <c r="DN43" i="23"/>
  <c r="DO43" i="23"/>
  <c r="DP43" i="23"/>
  <c r="DQ43" i="23"/>
  <c r="DR43" i="23"/>
  <c r="DS43" i="23"/>
  <c r="DT43" i="23"/>
  <c r="DU43" i="23"/>
  <c r="DV43" i="23"/>
  <c r="DW43" i="23"/>
  <c r="DX43" i="23"/>
  <c r="DY43" i="23"/>
  <c r="DZ43" i="23"/>
  <c r="EA43" i="23"/>
  <c r="EB43" i="23"/>
  <c r="EC43" i="23"/>
  <c r="ED43" i="23"/>
  <c r="EE43" i="23"/>
  <c r="EF43" i="23"/>
  <c r="EG43" i="23"/>
  <c r="EH43" i="23"/>
  <c r="EI43" i="23"/>
  <c r="EJ43" i="23"/>
  <c r="EK43" i="23"/>
  <c r="EL43" i="23"/>
  <c r="EM43" i="23"/>
  <c r="EN43" i="23"/>
  <c r="EO43" i="23"/>
  <c r="EP43" i="23"/>
  <c r="EQ43" i="23"/>
  <c r="ER43" i="23"/>
  <c r="ES43" i="23"/>
  <c r="ET43" i="23"/>
  <c r="EU43" i="23"/>
  <c r="EV43" i="23"/>
  <c r="EW43" i="23"/>
  <c r="EX43" i="23"/>
  <c r="EY43" i="23"/>
  <c r="E44" i="23"/>
  <c r="F44" i="23"/>
  <c r="G44" i="23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O44" i="23"/>
  <c r="AP44" i="23"/>
  <c r="AQ44" i="23"/>
  <c r="AR44" i="23"/>
  <c r="AS44" i="23"/>
  <c r="AT44" i="23"/>
  <c r="AV44" i="23"/>
  <c r="AW44" i="23"/>
  <c r="AX44" i="23"/>
  <c r="AY44" i="23"/>
  <c r="AZ44" i="23"/>
  <c r="BA44" i="23"/>
  <c r="BB44" i="23"/>
  <c r="BC44" i="23"/>
  <c r="BD44" i="23"/>
  <c r="BE44" i="23"/>
  <c r="BF44" i="23"/>
  <c r="BG44" i="23"/>
  <c r="BH44" i="23"/>
  <c r="BI44" i="23"/>
  <c r="BJ44" i="23"/>
  <c r="BK44" i="23"/>
  <c r="BL44" i="23"/>
  <c r="BM44" i="23"/>
  <c r="BN44" i="23"/>
  <c r="BO44" i="23"/>
  <c r="BP44" i="23"/>
  <c r="BQ44" i="23"/>
  <c r="BR44" i="23"/>
  <c r="BS44" i="23"/>
  <c r="BT44" i="23"/>
  <c r="BU44" i="23"/>
  <c r="BV44" i="23"/>
  <c r="BW44" i="23"/>
  <c r="BX44" i="23"/>
  <c r="BY44" i="23"/>
  <c r="BZ44" i="23"/>
  <c r="CA44" i="23"/>
  <c r="CB44" i="23"/>
  <c r="CC44" i="23"/>
  <c r="CD44" i="23"/>
  <c r="CE44" i="23"/>
  <c r="CF44" i="23"/>
  <c r="CG44" i="23"/>
  <c r="CH44" i="23"/>
  <c r="CI44" i="23"/>
  <c r="CJ44" i="23"/>
  <c r="CK44" i="23"/>
  <c r="CL44" i="23"/>
  <c r="CM44" i="23"/>
  <c r="CN44" i="23"/>
  <c r="CO44" i="23"/>
  <c r="CP44" i="23"/>
  <c r="CQ44" i="23"/>
  <c r="CR44" i="23"/>
  <c r="CS44" i="23"/>
  <c r="CT44" i="23"/>
  <c r="CU44" i="23"/>
  <c r="CV44" i="23"/>
  <c r="CW44" i="23"/>
  <c r="CX44" i="23"/>
  <c r="CY44" i="23"/>
  <c r="CZ44" i="23"/>
  <c r="DA44" i="23"/>
  <c r="DB44" i="23"/>
  <c r="DC44" i="23"/>
  <c r="DD44" i="23"/>
  <c r="DE44" i="23"/>
  <c r="DF44" i="23"/>
  <c r="DG44" i="23"/>
  <c r="DH44" i="23"/>
  <c r="DI44" i="23"/>
  <c r="DJ44" i="23"/>
  <c r="DK44" i="23"/>
  <c r="DL44" i="23"/>
  <c r="DM44" i="23"/>
  <c r="DN44" i="23"/>
  <c r="DO44" i="23"/>
  <c r="DP44" i="23"/>
  <c r="DQ44" i="23"/>
  <c r="DR44" i="23"/>
  <c r="DS44" i="23"/>
  <c r="DT44" i="23"/>
  <c r="DU44" i="23"/>
  <c r="DV44" i="23"/>
  <c r="DW44" i="23"/>
  <c r="DX44" i="23"/>
  <c r="DY44" i="23"/>
  <c r="DZ44" i="23"/>
  <c r="EA44" i="23"/>
  <c r="EB44" i="23"/>
  <c r="EC44" i="23"/>
  <c r="ED44" i="23"/>
  <c r="EE44" i="23"/>
  <c r="EF44" i="23"/>
  <c r="EG44" i="23"/>
  <c r="EH44" i="23"/>
  <c r="EI44" i="23"/>
  <c r="EJ44" i="23"/>
  <c r="EK44" i="23"/>
  <c r="EL44" i="23"/>
  <c r="EM44" i="23"/>
  <c r="EN44" i="23"/>
  <c r="EO44" i="23"/>
  <c r="EP44" i="23"/>
  <c r="EQ44" i="23"/>
  <c r="ER44" i="23"/>
  <c r="ES44" i="23"/>
  <c r="ET44" i="23"/>
  <c r="EU44" i="23"/>
  <c r="EV44" i="23"/>
  <c r="EW44" i="23"/>
  <c r="EX44" i="23"/>
  <c r="EY44" i="23"/>
  <c r="E45" i="23"/>
  <c r="F45" i="23"/>
  <c r="G45" i="23"/>
  <c r="H45" i="23"/>
  <c r="I45" i="23"/>
  <c r="J45" i="23"/>
  <c r="K45" i="23"/>
  <c r="L45" i="23"/>
  <c r="M45" i="23"/>
  <c r="N45" i="23"/>
  <c r="O45" i="23"/>
  <c r="P45" i="23"/>
  <c r="Q45" i="23"/>
  <c r="R45" i="23"/>
  <c r="S45" i="23"/>
  <c r="T45" i="23"/>
  <c r="U45" i="23"/>
  <c r="V45" i="23"/>
  <c r="W45" i="23"/>
  <c r="X45" i="23"/>
  <c r="Y45" i="23"/>
  <c r="Z45" i="23"/>
  <c r="AA45" i="23"/>
  <c r="AB45" i="23"/>
  <c r="AC45" i="23"/>
  <c r="AD45" i="23"/>
  <c r="AE45" i="23"/>
  <c r="AF45" i="23"/>
  <c r="AO45" i="23"/>
  <c r="AP45" i="23"/>
  <c r="AQ45" i="23"/>
  <c r="AR45" i="23"/>
  <c r="AS45" i="23"/>
  <c r="AT45" i="23"/>
  <c r="AV45" i="23"/>
  <c r="AW45" i="23"/>
  <c r="AX45" i="23"/>
  <c r="AY45" i="23"/>
  <c r="AZ45" i="23"/>
  <c r="BA45" i="23"/>
  <c r="BB45" i="23"/>
  <c r="BC45" i="23"/>
  <c r="BD45" i="23"/>
  <c r="BE45" i="23"/>
  <c r="BF45" i="23"/>
  <c r="BG45" i="23"/>
  <c r="BH45" i="23"/>
  <c r="BI45" i="23"/>
  <c r="BJ45" i="23"/>
  <c r="BK45" i="23"/>
  <c r="BL45" i="23"/>
  <c r="BM45" i="23"/>
  <c r="BN45" i="23"/>
  <c r="BO45" i="23"/>
  <c r="BP45" i="23"/>
  <c r="BQ45" i="23"/>
  <c r="BR45" i="23"/>
  <c r="BS45" i="23"/>
  <c r="BT45" i="23"/>
  <c r="BU45" i="23"/>
  <c r="BV45" i="23"/>
  <c r="BW45" i="23"/>
  <c r="BX45" i="23"/>
  <c r="BY45" i="23"/>
  <c r="BZ45" i="23"/>
  <c r="CA45" i="23"/>
  <c r="CB45" i="23"/>
  <c r="CC45" i="23"/>
  <c r="CD45" i="23"/>
  <c r="CE45" i="23"/>
  <c r="CF45" i="23"/>
  <c r="CG45" i="23"/>
  <c r="CH45" i="23"/>
  <c r="CI45" i="23"/>
  <c r="CJ45" i="23"/>
  <c r="CK45" i="23"/>
  <c r="CL45" i="23"/>
  <c r="CM45" i="23"/>
  <c r="CN45" i="23"/>
  <c r="CO45" i="23"/>
  <c r="CP45" i="23"/>
  <c r="CQ45" i="23"/>
  <c r="CR45" i="23"/>
  <c r="CS45" i="23"/>
  <c r="CT45" i="23"/>
  <c r="CU45" i="23"/>
  <c r="CV45" i="23"/>
  <c r="CW45" i="23"/>
  <c r="CX45" i="23"/>
  <c r="CY45" i="23"/>
  <c r="CZ45" i="23"/>
  <c r="DA45" i="23"/>
  <c r="DB45" i="23"/>
  <c r="DC45" i="23"/>
  <c r="DD45" i="23"/>
  <c r="DE45" i="23"/>
  <c r="DF45" i="23"/>
  <c r="DG45" i="23"/>
  <c r="DH45" i="23"/>
  <c r="DI45" i="23"/>
  <c r="DJ45" i="23"/>
  <c r="DK45" i="23"/>
  <c r="DL45" i="23"/>
  <c r="DM45" i="23"/>
  <c r="DN45" i="23"/>
  <c r="DO45" i="23"/>
  <c r="DP45" i="23"/>
  <c r="DQ45" i="23"/>
  <c r="DR45" i="23"/>
  <c r="DS45" i="23"/>
  <c r="DT45" i="23"/>
  <c r="DU45" i="23"/>
  <c r="DV45" i="23"/>
  <c r="DW45" i="23"/>
  <c r="DX45" i="23"/>
  <c r="DY45" i="23"/>
  <c r="DZ45" i="23"/>
  <c r="EA45" i="23"/>
  <c r="EB45" i="23"/>
  <c r="EC45" i="23"/>
  <c r="ED45" i="23"/>
  <c r="EE45" i="23"/>
  <c r="EF45" i="23"/>
  <c r="EG45" i="23"/>
  <c r="EH45" i="23"/>
  <c r="EI45" i="23"/>
  <c r="EJ45" i="23"/>
  <c r="EK45" i="23"/>
  <c r="EL45" i="23"/>
  <c r="EM45" i="23"/>
  <c r="EN45" i="23"/>
  <c r="EO45" i="23"/>
  <c r="EP45" i="23"/>
  <c r="EQ45" i="23"/>
  <c r="ER45" i="23"/>
  <c r="ES45" i="23"/>
  <c r="ET45" i="23"/>
  <c r="EU45" i="23"/>
  <c r="EV45" i="23"/>
  <c r="EW45" i="23"/>
  <c r="EX45" i="23"/>
  <c r="EY45" i="23"/>
  <c r="E46" i="23"/>
  <c r="F46" i="23"/>
  <c r="G46" i="23"/>
  <c r="H46" i="23"/>
  <c r="I46" i="23"/>
  <c r="J46" i="23"/>
  <c r="K46" i="23"/>
  <c r="L46" i="23"/>
  <c r="M46" i="23"/>
  <c r="N46" i="23"/>
  <c r="O46" i="23"/>
  <c r="P46" i="23"/>
  <c r="Q46" i="23"/>
  <c r="R46" i="23"/>
  <c r="S46" i="23"/>
  <c r="T46" i="23"/>
  <c r="U46" i="23"/>
  <c r="V46" i="23"/>
  <c r="W46" i="23"/>
  <c r="X46" i="23"/>
  <c r="Y46" i="23"/>
  <c r="Z46" i="23"/>
  <c r="AA46" i="23"/>
  <c r="AB46" i="23"/>
  <c r="AC46" i="23"/>
  <c r="AD46" i="23"/>
  <c r="AE46" i="23"/>
  <c r="AF46" i="23"/>
  <c r="AO46" i="23"/>
  <c r="AP46" i="23"/>
  <c r="AQ46" i="23"/>
  <c r="AR46" i="23"/>
  <c r="AS46" i="23"/>
  <c r="AT46" i="23"/>
  <c r="AV46" i="23"/>
  <c r="AW46" i="23"/>
  <c r="AX46" i="23"/>
  <c r="AY46" i="23"/>
  <c r="AZ46" i="23"/>
  <c r="BA46" i="23"/>
  <c r="BB46" i="23"/>
  <c r="BC46" i="23"/>
  <c r="BD46" i="23"/>
  <c r="BE46" i="23"/>
  <c r="BF46" i="23"/>
  <c r="BG46" i="23"/>
  <c r="BH46" i="23"/>
  <c r="BI46" i="23"/>
  <c r="BJ46" i="23"/>
  <c r="BK46" i="23"/>
  <c r="BL46" i="23"/>
  <c r="BM46" i="23"/>
  <c r="BN46" i="23"/>
  <c r="BO46" i="23"/>
  <c r="BP46" i="23"/>
  <c r="BQ46" i="23"/>
  <c r="BR46" i="23"/>
  <c r="BS46" i="23"/>
  <c r="BT46" i="23"/>
  <c r="BU46" i="23"/>
  <c r="BV46" i="23"/>
  <c r="BW46" i="23"/>
  <c r="BX46" i="23"/>
  <c r="BY46" i="23"/>
  <c r="BZ46" i="23"/>
  <c r="CA46" i="23"/>
  <c r="CB46" i="23"/>
  <c r="CC46" i="23"/>
  <c r="CD46" i="23"/>
  <c r="CE46" i="23"/>
  <c r="CF46" i="23"/>
  <c r="CG46" i="23"/>
  <c r="CH46" i="23"/>
  <c r="CI46" i="23"/>
  <c r="CJ46" i="23"/>
  <c r="CK46" i="23"/>
  <c r="CL46" i="23"/>
  <c r="CM46" i="23"/>
  <c r="CN46" i="23"/>
  <c r="CO46" i="23"/>
  <c r="CP46" i="23"/>
  <c r="CQ46" i="23"/>
  <c r="CR46" i="23"/>
  <c r="CS46" i="23"/>
  <c r="CT46" i="23"/>
  <c r="CU46" i="23"/>
  <c r="CV46" i="23"/>
  <c r="CW46" i="23"/>
  <c r="CX46" i="23"/>
  <c r="CY46" i="23"/>
  <c r="CZ46" i="23"/>
  <c r="DA46" i="23"/>
  <c r="DB46" i="23"/>
  <c r="DC46" i="23"/>
  <c r="DD46" i="23"/>
  <c r="DE46" i="23"/>
  <c r="DF46" i="23"/>
  <c r="DG46" i="23"/>
  <c r="DH46" i="23"/>
  <c r="DI46" i="23"/>
  <c r="DJ46" i="23"/>
  <c r="DK46" i="23"/>
  <c r="DL46" i="23"/>
  <c r="DM46" i="23"/>
  <c r="DN46" i="23"/>
  <c r="DO46" i="23"/>
  <c r="DP46" i="23"/>
  <c r="DQ46" i="23"/>
  <c r="DR46" i="23"/>
  <c r="DS46" i="23"/>
  <c r="DT46" i="23"/>
  <c r="DU46" i="23"/>
  <c r="DV46" i="23"/>
  <c r="DW46" i="23"/>
  <c r="DX46" i="23"/>
  <c r="DY46" i="23"/>
  <c r="DZ46" i="23"/>
  <c r="EA46" i="23"/>
  <c r="EB46" i="23"/>
  <c r="EC46" i="23"/>
  <c r="ED46" i="23"/>
  <c r="EE46" i="23"/>
  <c r="EF46" i="23"/>
  <c r="EG46" i="23"/>
  <c r="EH46" i="23"/>
  <c r="EI46" i="23"/>
  <c r="EJ46" i="23"/>
  <c r="EK46" i="23"/>
  <c r="EL46" i="23"/>
  <c r="EM46" i="23"/>
  <c r="EN46" i="23"/>
  <c r="EO46" i="23"/>
  <c r="EP46" i="23"/>
  <c r="EQ46" i="23"/>
  <c r="ER46" i="23"/>
  <c r="ES46" i="23"/>
  <c r="ET46" i="23"/>
  <c r="EU46" i="23"/>
  <c r="EV46" i="23"/>
  <c r="EW46" i="23"/>
  <c r="EX46" i="23"/>
  <c r="EY46" i="23"/>
  <c r="E47" i="23"/>
  <c r="F47" i="23"/>
  <c r="G47" i="23"/>
  <c r="H47" i="23"/>
  <c r="I47" i="23"/>
  <c r="J47" i="23"/>
  <c r="K47" i="23"/>
  <c r="L47" i="23"/>
  <c r="M47" i="23"/>
  <c r="N47" i="23"/>
  <c r="O47" i="23"/>
  <c r="P47" i="23"/>
  <c r="Q47" i="23"/>
  <c r="R47" i="23"/>
  <c r="S47" i="23"/>
  <c r="T47" i="23"/>
  <c r="U47" i="23"/>
  <c r="V47" i="23"/>
  <c r="W47" i="23"/>
  <c r="X47" i="23"/>
  <c r="Y47" i="23"/>
  <c r="Z47" i="23"/>
  <c r="AA47" i="23"/>
  <c r="AB47" i="23"/>
  <c r="AC47" i="23"/>
  <c r="AD47" i="23"/>
  <c r="AE47" i="23"/>
  <c r="AF47" i="23"/>
  <c r="AO47" i="23"/>
  <c r="AP47" i="23"/>
  <c r="AQ47" i="23"/>
  <c r="AR47" i="23"/>
  <c r="AS47" i="23"/>
  <c r="AT47" i="23"/>
  <c r="AV47" i="23"/>
  <c r="AW47" i="23"/>
  <c r="AX47" i="23"/>
  <c r="AY47" i="23"/>
  <c r="AZ47" i="23"/>
  <c r="BA47" i="23"/>
  <c r="BB47" i="23"/>
  <c r="BC47" i="23"/>
  <c r="BD47" i="23"/>
  <c r="BE47" i="23"/>
  <c r="BF47" i="23"/>
  <c r="BG47" i="23"/>
  <c r="BH47" i="23"/>
  <c r="BI47" i="23"/>
  <c r="BJ47" i="23"/>
  <c r="BK47" i="23"/>
  <c r="BL47" i="23"/>
  <c r="BM47" i="23"/>
  <c r="BN47" i="23"/>
  <c r="BO47" i="23"/>
  <c r="BP47" i="23"/>
  <c r="BQ47" i="23"/>
  <c r="BR47" i="23"/>
  <c r="BS47" i="23"/>
  <c r="BT47" i="23"/>
  <c r="BU47" i="23"/>
  <c r="BV47" i="23"/>
  <c r="BW47" i="23"/>
  <c r="BX47" i="23"/>
  <c r="BY47" i="23"/>
  <c r="BZ47" i="23"/>
  <c r="CA47" i="23"/>
  <c r="CB47" i="23"/>
  <c r="CC47" i="23"/>
  <c r="CD47" i="23"/>
  <c r="CE47" i="23"/>
  <c r="CF47" i="23"/>
  <c r="CG47" i="23"/>
  <c r="CH47" i="23"/>
  <c r="CI47" i="23"/>
  <c r="CJ47" i="23"/>
  <c r="CK47" i="23"/>
  <c r="CL47" i="23"/>
  <c r="CM47" i="23"/>
  <c r="CN47" i="23"/>
  <c r="CO47" i="23"/>
  <c r="CP47" i="23"/>
  <c r="CQ47" i="23"/>
  <c r="CR47" i="23"/>
  <c r="CS47" i="23"/>
  <c r="CT47" i="23"/>
  <c r="CU47" i="23"/>
  <c r="CV47" i="23"/>
  <c r="CW47" i="23"/>
  <c r="CX47" i="23"/>
  <c r="CY47" i="23"/>
  <c r="CZ47" i="23"/>
  <c r="DA47" i="23"/>
  <c r="DB47" i="23"/>
  <c r="DC47" i="23"/>
  <c r="DD47" i="23"/>
  <c r="DE47" i="23"/>
  <c r="DF47" i="23"/>
  <c r="DG47" i="23"/>
  <c r="DH47" i="23"/>
  <c r="DI47" i="23"/>
  <c r="DJ47" i="23"/>
  <c r="DK47" i="23"/>
  <c r="DL47" i="23"/>
  <c r="DM47" i="23"/>
  <c r="DN47" i="23"/>
  <c r="DO47" i="23"/>
  <c r="DP47" i="23"/>
  <c r="DQ47" i="23"/>
  <c r="DR47" i="23"/>
  <c r="DS47" i="23"/>
  <c r="DT47" i="23"/>
  <c r="DU47" i="23"/>
  <c r="DV47" i="23"/>
  <c r="DW47" i="23"/>
  <c r="DX47" i="23"/>
  <c r="DY47" i="23"/>
  <c r="DZ47" i="23"/>
  <c r="EA47" i="23"/>
  <c r="EB47" i="23"/>
  <c r="EC47" i="23"/>
  <c r="ED47" i="23"/>
  <c r="EE47" i="23"/>
  <c r="EF47" i="23"/>
  <c r="EG47" i="23"/>
  <c r="EH47" i="23"/>
  <c r="EI47" i="23"/>
  <c r="EJ47" i="23"/>
  <c r="EK47" i="23"/>
  <c r="EL47" i="23"/>
  <c r="EM47" i="23"/>
  <c r="EN47" i="23"/>
  <c r="EO47" i="23"/>
  <c r="EP47" i="23"/>
  <c r="EQ47" i="23"/>
  <c r="ER47" i="23"/>
  <c r="ES47" i="23"/>
  <c r="ET47" i="23"/>
  <c r="EU47" i="23"/>
  <c r="EV47" i="23"/>
  <c r="EW47" i="23"/>
  <c r="EX47" i="23"/>
  <c r="EY47" i="23"/>
  <c r="E48" i="23"/>
  <c r="F48" i="23"/>
  <c r="G48" i="23"/>
  <c r="H48" i="23"/>
  <c r="I48" i="23"/>
  <c r="J48" i="23"/>
  <c r="K48" i="23"/>
  <c r="L48" i="23"/>
  <c r="M48" i="23"/>
  <c r="N48" i="23"/>
  <c r="O48" i="23"/>
  <c r="P48" i="23"/>
  <c r="Q48" i="23"/>
  <c r="R48" i="23"/>
  <c r="S48" i="23"/>
  <c r="T48" i="23"/>
  <c r="U48" i="23"/>
  <c r="V48" i="23"/>
  <c r="W48" i="23"/>
  <c r="X48" i="23"/>
  <c r="Y48" i="23"/>
  <c r="Z48" i="23"/>
  <c r="AA48" i="23"/>
  <c r="AB48" i="23"/>
  <c r="AC48" i="23"/>
  <c r="AD48" i="23"/>
  <c r="AE48" i="23"/>
  <c r="AF48" i="23"/>
  <c r="AO48" i="23"/>
  <c r="AP48" i="23"/>
  <c r="AQ48" i="23"/>
  <c r="AR48" i="23"/>
  <c r="AS48" i="23"/>
  <c r="AT48" i="23"/>
  <c r="AV48" i="23"/>
  <c r="AW48" i="23"/>
  <c r="AX48" i="23"/>
  <c r="AY48" i="23"/>
  <c r="AZ48" i="23"/>
  <c r="BA48" i="23"/>
  <c r="BB48" i="23"/>
  <c r="BC48" i="23"/>
  <c r="BD48" i="23"/>
  <c r="BE48" i="23"/>
  <c r="BF48" i="23"/>
  <c r="BG48" i="23"/>
  <c r="BH48" i="23"/>
  <c r="BI48" i="23"/>
  <c r="BJ48" i="23"/>
  <c r="BK48" i="23"/>
  <c r="BL48" i="23"/>
  <c r="BM48" i="23"/>
  <c r="BN48" i="23"/>
  <c r="BO48" i="23"/>
  <c r="BP48" i="23"/>
  <c r="BQ48" i="23"/>
  <c r="BR48" i="23"/>
  <c r="BS48" i="23"/>
  <c r="BT48" i="23"/>
  <c r="BU48" i="23"/>
  <c r="BV48" i="23"/>
  <c r="BW48" i="23"/>
  <c r="BX48" i="23"/>
  <c r="BY48" i="23"/>
  <c r="BZ48" i="23"/>
  <c r="CA48" i="23"/>
  <c r="CB48" i="23"/>
  <c r="CC48" i="23"/>
  <c r="CD48" i="23"/>
  <c r="CE48" i="23"/>
  <c r="CF48" i="23"/>
  <c r="CG48" i="23"/>
  <c r="CH48" i="23"/>
  <c r="CI48" i="23"/>
  <c r="CJ48" i="23"/>
  <c r="CK48" i="23"/>
  <c r="CL48" i="23"/>
  <c r="CM48" i="23"/>
  <c r="CN48" i="23"/>
  <c r="CO48" i="23"/>
  <c r="CP48" i="23"/>
  <c r="CQ48" i="23"/>
  <c r="CR48" i="23"/>
  <c r="CS48" i="23"/>
  <c r="CT48" i="23"/>
  <c r="CU48" i="23"/>
  <c r="CV48" i="23"/>
  <c r="CW48" i="23"/>
  <c r="CX48" i="23"/>
  <c r="CY48" i="23"/>
  <c r="CZ48" i="23"/>
  <c r="DA48" i="23"/>
  <c r="DB48" i="23"/>
  <c r="DC48" i="23"/>
  <c r="DD48" i="23"/>
  <c r="DE48" i="23"/>
  <c r="DF48" i="23"/>
  <c r="DG48" i="23"/>
  <c r="DH48" i="23"/>
  <c r="DI48" i="23"/>
  <c r="DJ48" i="23"/>
  <c r="DK48" i="23"/>
  <c r="DL48" i="23"/>
  <c r="DM48" i="23"/>
  <c r="DN48" i="23"/>
  <c r="DO48" i="23"/>
  <c r="DP48" i="23"/>
  <c r="DQ48" i="23"/>
  <c r="DR48" i="23"/>
  <c r="DS48" i="23"/>
  <c r="DT48" i="23"/>
  <c r="DU48" i="23"/>
  <c r="DV48" i="23"/>
  <c r="DW48" i="23"/>
  <c r="DX48" i="23"/>
  <c r="DY48" i="23"/>
  <c r="DZ48" i="23"/>
  <c r="EA48" i="23"/>
  <c r="EB48" i="23"/>
  <c r="EC48" i="23"/>
  <c r="ED48" i="23"/>
  <c r="EE48" i="23"/>
  <c r="EF48" i="23"/>
  <c r="EG48" i="23"/>
  <c r="EH48" i="23"/>
  <c r="EI48" i="23"/>
  <c r="EJ48" i="23"/>
  <c r="EK48" i="23"/>
  <c r="EL48" i="23"/>
  <c r="EM48" i="23"/>
  <c r="EN48" i="23"/>
  <c r="EO48" i="23"/>
  <c r="EP48" i="23"/>
  <c r="EQ48" i="23"/>
  <c r="ER48" i="23"/>
  <c r="ES48" i="23"/>
  <c r="ET48" i="23"/>
  <c r="EU48" i="23"/>
  <c r="EV48" i="23"/>
  <c r="EW48" i="23"/>
  <c r="EX48" i="23"/>
  <c r="EY48" i="23"/>
  <c r="E49" i="23"/>
  <c r="F49" i="23"/>
  <c r="FB49" i="23" s="1"/>
  <c r="G49" i="23"/>
  <c r="H49" i="23"/>
  <c r="I49" i="23"/>
  <c r="J49" i="23"/>
  <c r="K49" i="23"/>
  <c r="L49" i="23"/>
  <c r="M49" i="23"/>
  <c r="N49" i="23"/>
  <c r="O49" i="23"/>
  <c r="P49" i="23"/>
  <c r="Q49" i="23"/>
  <c r="R49" i="23"/>
  <c r="S49" i="23"/>
  <c r="T49" i="23"/>
  <c r="U49" i="23"/>
  <c r="V49" i="23"/>
  <c r="W49" i="23"/>
  <c r="X49" i="23"/>
  <c r="Y49" i="23"/>
  <c r="Z49" i="23"/>
  <c r="AA49" i="23"/>
  <c r="AB49" i="23"/>
  <c r="AC49" i="23"/>
  <c r="AD49" i="23"/>
  <c r="AE49" i="23"/>
  <c r="AF49" i="23"/>
  <c r="AO49" i="23"/>
  <c r="AP49" i="23"/>
  <c r="AQ49" i="23"/>
  <c r="AR49" i="23"/>
  <c r="AS49" i="23"/>
  <c r="AT49" i="23"/>
  <c r="AV49" i="23"/>
  <c r="AW49" i="23"/>
  <c r="AX49" i="23"/>
  <c r="AY49" i="23"/>
  <c r="AZ49" i="23"/>
  <c r="BA49" i="23"/>
  <c r="BB49" i="23"/>
  <c r="BC49" i="23"/>
  <c r="BD49" i="23"/>
  <c r="BE49" i="23"/>
  <c r="BF49" i="23"/>
  <c r="BG49" i="23"/>
  <c r="BH49" i="23"/>
  <c r="BI49" i="23"/>
  <c r="BJ49" i="23"/>
  <c r="BK49" i="23"/>
  <c r="BL49" i="23"/>
  <c r="BM49" i="23"/>
  <c r="BN49" i="23"/>
  <c r="BO49" i="23"/>
  <c r="BP49" i="23"/>
  <c r="BQ49" i="23"/>
  <c r="BR49" i="23"/>
  <c r="BS49" i="23"/>
  <c r="BT49" i="23"/>
  <c r="BU49" i="23"/>
  <c r="BV49" i="23"/>
  <c r="BW49" i="23"/>
  <c r="BX49" i="23"/>
  <c r="BY49" i="23"/>
  <c r="BZ49" i="23"/>
  <c r="CA49" i="23"/>
  <c r="CB49" i="23"/>
  <c r="CC49" i="23"/>
  <c r="CD49" i="23"/>
  <c r="CE49" i="23"/>
  <c r="CF49" i="23"/>
  <c r="CG49" i="23"/>
  <c r="CH49" i="23"/>
  <c r="CI49" i="23"/>
  <c r="CJ49" i="23"/>
  <c r="CK49" i="23"/>
  <c r="CL49" i="23"/>
  <c r="CM49" i="23"/>
  <c r="CN49" i="23"/>
  <c r="CO49" i="23"/>
  <c r="CP49" i="23"/>
  <c r="CQ49" i="23"/>
  <c r="CR49" i="23"/>
  <c r="CS49" i="23"/>
  <c r="CT49" i="23"/>
  <c r="CU49" i="23"/>
  <c r="CV49" i="23"/>
  <c r="CW49" i="23"/>
  <c r="CX49" i="23"/>
  <c r="CY49" i="23"/>
  <c r="CZ49" i="23"/>
  <c r="DA49" i="23"/>
  <c r="DB49" i="23"/>
  <c r="DC49" i="23"/>
  <c r="DD49" i="23"/>
  <c r="DE49" i="23"/>
  <c r="DF49" i="23"/>
  <c r="DG49" i="23"/>
  <c r="DH49" i="23"/>
  <c r="DI49" i="23"/>
  <c r="DJ49" i="23"/>
  <c r="DK49" i="23"/>
  <c r="DL49" i="23"/>
  <c r="DM49" i="23"/>
  <c r="DN49" i="23"/>
  <c r="DO49" i="23"/>
  <c r="DP49" i="23"/>
  <c r="DQ49" i="23"/>
  <c r="DR49" i="23"/>
  <c r="DS49" i="23"/>
  <c r="DT49" i="23"/>
  <c r="DU49" i="23"/>
  <c r="DV49" i="23"/>
  <c r="DW49" i="23"/>
  <c r="DX49" i="23"/>
  <c r="DY49" i="23"/>
  <c r="DZ49" i="23"/>
  <c r="EA49" i="23"/>
  <c r="EB49" i="23"/>
  <c r="EC49" i="23"/>
  <c r="ED49" i="23"/>
  <c r="EE49" i="23"/>
  <c r="EF49" i="23"/>
  <c r="EG49" i="23"/>
  <c r="EH49" i="23"/>
  <c r="EI49" i="23"/>
  <c r="EJ49" i="23"/>
  <c r="EK49" i="23"/>
  <c r="EL49" i="23"/>
  <c r="EM49" i="23"/>
  <c r="EN49" i="23"/>
  <c r="EO49" i="23"/>
  <c r="EP49" i="23"/>
  <c r="EQ49" i="23"/>
  <c r="ER49" i="23"/>
  <c r="ES49" i="23"/>
  <c r="ET49" i="23"/>
  <c r="EU49" i="23"/>
  <c r="EV49" i="23"/>
  <c r="EW49" i="23"/>
  <c r="EX49" i="23"/>
  <c r="EY49" i="23"/>
  <c r="E50" i="23"/>
  <c r="F50" i="23"/>
  <c r="G50" i="23"/>
  <c r="H50" i="23"/>
  <c r="FB50" i="23" s="1"/>
  <c r="I50" i="23"/>
  <c r="J50" i="23"/>
  <c r="K50" i="23"/>
  <c r="L50" i="23"/>
  <c r="M50" i="23"/>
  <c r="N50" i="23"/>
  <c r="O50" i="23"/>
  <c r="P50" i="23"/>
  <c r="Q50" i="23"/>
  <c r="R50" i="23"/>
  <c r="S50" i="23"/>
  <c r="T50" i="23"/>
  <c r="U50" i="23"/>
  <c r="V50" i="23"/>
  <c r="W50" i="23"/>
  <c r="X50" i="23"/>
  <c r="Y50" i="23"/>
  <c r="Z50" i="23"/>
  <c r="AA50" i="23"/>
  <c r="AB50" i="23"/>
  <c r="AC50" i="23"/>
  <c r="AD50" i="23"/>
  <c r="AE50" i="23"/>
  <c r="AF50" i="23"/>
  <c r="AO50" i="23"/>
  <c r="AP50" i="23"/>
  <c r="AQ50" i="23"/>
  <c r="AR50" i="23"/>
  <c r="AS50" i="23"/>
  <c r="AT50" i="23"/>
  <c r="AV50" i="23"/>
  <c r="AW50" i="23"/>
  <c r="AX50" i="23"/>
  <c r="AY50" i="23"/>
  <c r="AZ50" i="23"/>
  <c r="BA50" i="23"/>
  <c r="BB50" i="23"/>
  <c r="BC50" i="23"/>
  <c r="BD50" i="23"/>
  <c r="BE50" i="23"/>
  <c r="BF50" i="23"/>
  <c r="BG50" i="23"/>
  <c r="BH50" i="23"/>
  <c r="BI50" i="23"/>
  <c r="BJ50" i="23"/>
  <c r="BK50" i="23"/>
  <c r="BL50" i="23"/>
  <c r="BM50" i="23"/>
  <c r="BN50" i="23"/>
  <c r="BO50" i="23"/>
  <c r="BP50" i="23"/>
  <c r="BQ50" i="23"/>
  <c r="BR50" i="23"/>
  <c r="BS50" i="23"/>
  <c r="BT50" i="23"/>
  <c r="BU50" i="23"/>
  <c r="BV50" i="23"/>
  <c r="BW50" i="23"/>
  <c r="BX50" i="23"/>
  <c r="BY50" i="23"/>
  <c r="BZ50" i="23"/>
  <c r="CA50" i="23"/>
  <c r="CB50" i="23"/>
  <c r="CC50" i="23"/>
  <c r="CD50" i="23"/>
  <c r="CE50" i="23"/>
  <c r="CF50" i="23"/>
  <c r="CG50" i="23"/>
  <c r="CH50" i="23"/>
  <c r="CI50" i="23"/>
  <c r="CJ50" i="23"/>
  <c r="CK50" i="23"/>
  <c r="CL50" i="23"/>
  <c r="CM50" i="23"/>
  <c r="CN50" i="23"/>
  <c r="CO50" i="23"/>
  <c r="CP50" i="23"/>
  <c r="CQ50" i="23"/>
  <c r="CR50" i="23"/>
  <c r="CS50" i="23"/>
  <c r="CT50" i="23"/>
  <c r="CU50" i="23"/>
  <c r="CV50" i="23"/>
  <c r="CW50" i="23"/>
  <c r="CX50" i="23"/>
  <c r="CY50" i="23"/>
  <c r="CZ50" i="23"/>
  <c r="DA50" i="23"/>
  <c r="DB50" i="23"/>
  <c r="DC50" i="23"/>
  <c r="DD50" i="23"/>
  <c r="DE50" i="23"/>
  <c r="DF50" i="23"/>
  <c r="DG50" i="23"/>
  <c r="DH50" i="23"/>
  <c r="DI50" i="23"/>
  <c r="DJ50" i="23"/>
  <c r="DK50" i="23"/>
  <c r="DL50" i="23"/>
  <c r="DM50" i="23"/>
  <c r="DN50" i="23"/>
  <c r="DO50" i="23"/>
  <c r="DP50" i="23"/>
  <c r="DQ50" i="23"/>
  <c r="DR50" i="23"/>
  <c r="DS50" i="23"/>
  <c r="DT50" i="23"/>
  <c r="DU50" i="23"/>
  <c r="DV50" i="23"/>
  <c r="DW50" i="23"/>
  <c r="DX50" i="23"/>
  <c r="DY50" i="23"/>
  <c r="DZ50" i="23"/>
  <c r="EA50" i="23"/>
  <c r="EB50" i="23"/>
  <c r="EC50" i="23"/>
  <c r="ED50" i="23"/>
  <c r="EE50" i="23"/>
  <c r="EF50" i="23"/>
  <c r="EG50" i="23"/>
  <c r="EH50" i="23"/>
  <c r="EI50" i="23"/>
  <c r="EJ50" i="23"/>
  <c r="EK50" i="23"/>
  <c r="EL50" i="23"/>
  <c r="EM50" i="23"/>
  <c r="EN50" i="23"/>
  <c r="EO50" i="23"/>
  <c r="EP50" i="23"/>
  <c r="EQ50" i="23"/>
  <c r="ER50" i="23"/>
  <c r="ES50" i="23"/>
  <c r="ET50" i="23"/>
  <c r="EU50" i="23"/>
  <c r="EV50" i="23"/>
  <c r="EW50" i="23"/>
  <c r="EX50" i="23"/>
  <c r="EY50" i="23"/>
  <c r="E51" i="23"/>
  <c r="F51" i="23"/>
  <c r="G51" i="23"/>
  <c r="H51" i="23"/>
  <c r="I51" i="23"/>
  <c r="J51" i="23"/>
  <c r="K51" i="23"/>
  <c r="L51" i="23"/>
  <c r="M51" i="23"/>
  <c r="N51" i="23"/>
  <c r="O51" i="23"/>
  <c r="P51" i="23"/>
  <c r="Q51" i="23"/>
  <c r="R51" i="23"/>
  <c r="S51" i="23"/>
  <c r="T51" i="23"/>
  <c r="U51" i="23"/>
  <c r="V51" i="23"/>
  <c r="W51" i="23"/>
  <c r="X51" i="23"/>
  <c r="Y51" i="23"/>
  <c r="Z51" i="23"/>
  <c r="AA51" i="23"/>
  <c r="AB51" i="23"/>
  <c r="AC51" i="23"/>
  <c r="AD51" i="23"/>
  <c r="AE51" i="23"/>
  <c r="AF51" i="23"/>
  <c r="AO51" i="23"/>
  <c r="AP51" i="23"/>
  <c r="AQ51" i="23"/>
  <c r="AR51" i="23"/>
  <c r="AS51" i="23"/>
  <c r="AT51" i="23"/>
  <c r="AV51" i="23"/>
  <c r="AW51" i="23"/>
  <c r="AX51" i="23"/>
  <c r="AY51" i="23"/>
  <c r="AZ51" i="23"/>
  <c r="BA51" i="23"/>
  <c r="BB51" i="23"/>
  <c r="BC51" i="23"/>
  <c r="BD51" i="23"/>
  <c r="BE51" i="23"/>
  <c r="BF51" i="23"/>
  <c r="BG51" i="23"/>
  <c r="BH51" i="23"/>
  <c r="BI51" i="23"/>
  <c r="BJ51" i="23"/>
  <c r="BK51" i="23"/>
  <c r="BL51" i="23"/>
  <c r="BM51" i="23"/>
  <c r="BN51" i="23"/>
  <c r="BO51" i="23"/>
  <c r="BP51" i="23"/>
  <c r="BQ51" i="23"/>
  <c r="BR51" i="23"/>
  <c r="BS51" i="23"/>
  <c r="BT51" i="23"/>
  <c r="BU51" i="23"/>
  <c r="BV51" i="23"/>
  <c r="BW51" i="23"/>
  <c r="BX51" i="23"/>
  <c r="BY51" i="23"/>
  <c r="BZ51" i="23"/>
  <c r="CA51" i="23"/>
  <c r="CB51" i="23"/>
  <c r="CC51" i="23"/>
  <c r="CD51" i="23"/>
  <c r="CE51" i="23"/>
  <c r="CF51" i="23"/>
  <c r="CG51" i="23"/>
  <c r="CH51" i="23"/>
  <c r="CI51" i="23"/>
  <c r="CJ51" i="23"/>
  <c r="CK51" i="23"/>
  <c r="CL51" i="23"/>
  <c r="CM51" i="23"/>
  <c r="CN51" i="23"/>
  <c r="CO51" i="23"/>
  <c r="CP51" i="23"/>
  <c r="CQ51" i="23"/>
  <c r="CR51" i="23"/>
  <c r="CS51" i="23"/>
  <c r="CT51" i="23"/>
  <c r="CU51" i="23"/>
  <c r="CV51" i="23"/>
  <c r="CW51" i="23"/>
  <c r="CX51" i="23"/>
  <c r="CY51" i="23"/>
  <c r="CZ51" i="23"/>
  <c r="DA51" i="23"/>
  <c r="DB51" i="23"/>
  <c r="DC51" i="23"/>
  <c r="DD51" i="23"/>
  <c r="DE51" i="23"/>
  <c r="DF51" i="23"/>
  <c r="DG51" i="23"/>
  <c r="DH51" i="23"/>
  <c r="DI51" i="23"/>
  <c r="DJ51" i="23"/>
  <c r="DK51" i="23"/>
  <c r="DL51" i="23"/>
  <c r="DM51" i="23"/>
  <c r="DN51" i="23"/>
  <c r="DO51" i="23"/>
  <c r="DP51" i="23"/>
  <c r="DQ51" i="23"/>
  <c r="DR51" i="23"/>
  <c r="DS51" i="23"/>
  <c r="DT51" i="23"/>
  <c r="DU51" i="23"/>
  <c r="DV51" i="23"/>
  <c r="DW51" i="23"/>
  <c r="DX51" i="23"/>
  <c r="DY51" i="23"/>
  <c r="DZ51" i="23"/>
  <c r="EA51" i="23"/>
  <c r="EB51" i="23"/>
  <c r="EC51" i="23"/>
  <c r="ED51" i="23"/>
  <c r="EE51" i="23"/>
  <c r="EF51" i="23"/>
  <c r="EG51" i="23"/>
  <c r="EH51" i="23"/>
  <c r="EI51" i="23"/>
  <c r="EJ51" i="23"/>
  <c r="EK51" i="23"/>
  <c r="EL51" i="23"/>
  <c r="EM51" i="23"/>
  <c r="EN51" i="23"/>
  <c r="EO51" i="23"/>
  <c r="EP51" i="23"/>
  <c r="EQ51" i="23"/>
  <c r="ER51" i="23"/>
  <c r="ES51" i="23"/>
  <c r="ET51" i="23"/>
  <c r="EU51" i="23"/>
  <c r="EV51" i="23"/>
  <c r="EW51" i="23"/>
  <c r="EX51" i="23"/>
  <c r="EY51" i="23"/>
  <c r="E52" i="23"/>
  <c r="F52" i="23"/>
  <c r="G52" i="23"/>
  <c r="H52" i="23"/>
  <c r="I52" i="23"/>
  <c r="J52" i="23"/>
  <c r="K52" i="23"/>
  <c r="L52" i="23"/>
  <c r="M52" i="23"/>
  <c r="N52" i="23"/>
  <c r="O52" i="23"/>
  <c r="P52" i="23"/>
  <c r="Q52" i="23"/>
  <c r="R52" i="23"/>
  <c r="S52" i="23"/>
  <c r="T52" i="23"/>
  <c r="U52" i="23"/>
  <c r="V52" i="23"/>
  <c r="W52" i="23"/>
  <c r="X52" i="23"/>
  <c r="Y52" i="23"/>
  <c r="Z52" i="23"/>
  <c r="AA52" i="23"/>
  <c r="AB52" i="23"/>
  <c r="AC52" i="23"/>
  <c r="AD52" i="23"/>
  <c r="AE52" i="23"/>
  <c r="AF52" i="23"/>
  <c r="AO52" i="23"/>
  <c r="AP52" i="23"/>
  <c r="AQ52" i="23"/>
  <c r="AR52" i="23"/>
  <c r="AS52" i="23"/>
  <c r="AT52" i="23"/>
  <c r="AV52" i="23"/>
  <c r="AW52" i="23"/>
  <c r="AX52" i="23"/>
  <c r="AY52" i="23"/>
  <c r="AZ52" i="23"/>
  <c r="BA52" i="23"/>
  <c r="BB52" i="23"/>
  <c r="BC52" i="23"/>
  <c r="BD52" i="23"/>
  <c r="BE52" i="23"/>
  <c r="BF52" i="23"/>
  <c r="BG52" i="23"/>
  <c r="BH52" i="23"/>
  <c r="BI52" i="23"/>
  <c r="BJ52" i="23"/>
  <c r="BK52" i="23"/>
  <c r="BL52" i="23"/>
  <c r="BM52" i="23"/>
  <c r="BN52" i="23"/>
  <c r="BO52" i="23"/>
  <c r="BP52" i="23"/>
  <c r="BQ52" i="23"/>
  <c r="BR52" i="23"/>
  <c r="BS52" i="23"/>
  <c r="BT52" i="23"/>
  <c r="BU52" i="23"/>
  <c r="BV52" i="23"/>
  <c r="BW52" i="23"/>
  <c r="BX52" i="23"/>
  <c r="BY52" i="23"/>
  <c r="BZ52" i="23"/>
  <c r="CA52" i="23"/>
  <c r="CB52" i="23"/>
  <c r="CC52" i="23"/>
  <c r="CD52" i="23"/>
  <c r="CE52" i="23"/>
  <c r="CF52" i="23"/>
  <c r="CG52" i="23"/>
  <c r="CH52" i="23"/>
  <c r="CI52" i="23"/>
  <c r="CJ52" i="23"/>
  <c r="CK52" i="23"/>
  <c r="CL52" i="23"/>
  <c r="CM52" i="23"/>
  <c r="CN52" i="23"/>
  <c r="CO52" i="23"/>
  <c r="CP52" i="23"/>
  <c r="CQ52" i="23"/>
  <c r="CR52" i="23"/>
  <c r="CS52" i="23"/>
  <c r="CT52" i="23"/>
  <c r="CU52" i="23"/>
  <c r="CV52" i="23"/>
  <c r="CW52" i="23"/>
  <c r="CX52" i="23"/>
  <c r="CY52" i="23"/>
  <c r="CZ52" i="23"/>
  <c r="DA52" i="23"/>
  <c r="DB52" i="23"/>
  <c r="DC52" i="23"/>
  <c r="DD52" i="23"/>
  <c r="DE52" i="23"/>
  <c r="DF52" i="23"/>
  <c r="DG52" i="23"/>
  <c r="DH52" i="23"/>
  <c r="DI52" i="23"/>
  <c r="DJ52" i="23"/>
  <c r="DK52" i="23"/>
  <c r="DL52" i="23"/>
  <c r="DM52" i="23"/>
  <c r="DN52" i="23"/>
  <c r="DO52" i="23"/>
  <c r="DP52" i="23"/>
  <c r="DQ52" i="23"/>
  <c r="DR52" i="23"/>
  <c r="DS52" i="23"/>
  <c r="DT52" i="23"/>
  <c r="DU52" i="23"/>
  <c r="DV52" i="23"/>
  <c r="DW52" i="23"/>
  <c r="DX52" i="23"/>
  <c r="DY52" i="23"/>
  <c r="DZ52" i="23"/>
  <c r="EA52" i="23"/>
  <c r="EB52" i="23"/>
  <c r="EC52" i="23"/>
  <c r="ED52" i="23"/>
  <c r="EE52" i="23"/>
  <c r="EF52" i="23"/>
  <c r="EG52" i="23"/>
  <c r="EH52" i="23"/>
  <c r="EI52" i="23"/>
  <c r="EJ52" i="23"/>
  <c r="EK52" i="23"/>
  <c r="EL52" i="23"/>
  <c r="EM52" i="23"/>
  <c r="EN52" i="23"/>
  <c r="EO52" i="23"/>
  <c r="EP52" i="23"/>
  <c r="EQ52" i="23"/>
  <c r="ER52" i="23"/>
  <c r="ES52" i="23"/>
  <c r="ET52" i="23"/>
  <c r="EU52" i="23"/>
  <c r="EV52" i="23"/>
  <c r="EW52" i="23"/>
  <c r="EX52" i="23"/>
  <c r="EY52" i="23"/>
  <c r="E53" i="23"/>
  <c r="F53" i="23"/>
  <c r="G53" i="23"/>
  <c r="H53" i="23"/>
  <c r="I53" i="23"/>
  <c r="J53" i="23"/>
  <c r="K53" i="23"/>
  <c r="L53" i="23"/>
  <c r="M53" i="23"/>
  <c r="N53" i="23"/>
  <c r="O53" i="23"/>
  <c r="P53" i="23"/>
  <c r="Q53" i="23"/>
  <c r="R53" i="23"/>
  <c r="S53" i="23"/>
  <c r="T53" i="23"/>
  <c r="U53" i="23"/>
  <c r="V53" i="23"/>
  <c r="W53" i="23"/>
  <c r="X53" i="23"/>
  <c r="Y53" i="23"/>
  <c r="Z53" i="23"/>
  <c r="AA53" i="23"/>
  <c r="AB53" i="23"/>
  <c r="AC53" i="23"/>
  <c r="AD53" i="23"/>
  <c r="AE53" i="23"/>
  <c r="AF53" i="23"/>
  <c r="AO53" i="23"/>
  <c r="AP53" i="23"/>
  <c r="AQ53" i="23"/>
  <c r="AR53" i="23"/>
  <c r="AS53" i="23"/>
  <c r="AT53" i="23"/>
  <c r="AV53" i="23"/>
  <c r="AW53" i="23"/>
  <c r="AX53" i="23"/>
  <c r="AY53" i="23"/>
  <c r="AZ53" i="23"/>
  <c r="BA53" i="23"/>
  <c r="BB53" i="23"/>
  <c r="BC53" i="23"/>
  <c r="BD53" i="23"/>
  <c r="BE53" i="23"/>
  <c r="BF53" i="23"/>
  <c r="BG53" i="23"/>
  <c r="BH53" i="23"/>
  <c r="BI53" i="23"/>
  <c r="BJ53" i="23"/>
  <c r="BK53" i="23"/>
  <c r="BL53" i="23"/>
  <c r="BM53" i="23"/>
  <c r="BN53" i="23"/>
  <c r="BO53" i="23"/>
  <c r="BP53" i="23"/>
  <c r="BQ53" i="23"/>
  <c r="BR53" i="23"/>
  <c r="BS53" i="23"/>
  <c r="BT53" i="23"/>
  <c r="BU53" i="23"/>
  <c r="BV53" i="23"/>
  <c r="BW53" i="23"/>
  <c r="BX53" i="23"/>
  <c r="BY53" i="23"/>
  <c r="BZ53" i="23"/>
  <c r="CA53" i="23"/>
  <c r="CB53" i="23"/>
  <c r="CC53" i="23"/>
  <c r="CD53" i="23"/>
  <c r="CE53" i="23"/>
  <c r="CF53" i="23"/>
  <c r="CG53" i="23"/>
  <c r="CH53" i="23"/>
  <c r="CI53" i="23"/>
  <c r="CJ53" i="23"/>
  <c r="CK53" i="23"/>
  <c r="CL53" i="23"/>
  <c r="CM53" i="23"/>
  <c r="CN53" i="23"/>
  <c r="CO53" i="23"/>
  <c r="CP53" i="23"/>
  <c r="CQ53" i="23"/>
  <c r="CR53" i="23"/>
  <c r="CS53" i="23"/>
  <c r="CT53" i="23"/>
  <c r="CU53" i="23"/>
  <c r="CV53" i="23"/>
  <c r="CW53" i="23"/>
  <c r="CX53" i="23"/>
  <c r="CY53" i="23"/>
  <c r="CZ53" i="23"/>
  <c r="DA53" i="23"/>
  <c r="DB53" i="23"/>
  <c r="DC53" i="23"/>
  <c r="DD53" i="23"/>
  <c r="DE53" i="23"/>
  <c r="DF53" i="23"/>
  <c r="DG53" i="23"/>
  <c r="DH53" i="23"/>
  <c r="DI53" i="23"/>
  <c r="DJ53" i="23"/>
  <c r="DK53" i="23"/>
  <c r="DL53" i="23"/>
  <c r="DM53" i="23"/>
  <c r="DN53" i="23"/>
  <c r="DO53" i="23"/>
  <c r="DP53" i="23"/>
  <c r="DQ53" i="23"/>
  <c r="DR53" i="23"/>
  <c r="DS53" i="23"/>
  <c r="DT53" i="23"/>
  <c r="DU53" i="23"/>
  <c r="DV53" i="23"/>
  <c r="DW53" i="23"/>
  <c r="DX53" i="23"/>
  <c r="DY53" i="23"/>
  <c r="DZ53" i="23"/>
  <c r="EA53" i="23"/>
  <c r="EB53" i="23"/>
  <c r="EC53" i="23"/>
  <c r="ED53" i="23"/>
  <c r="EE53" i="23"/>
  <c r="EF53" i="23"/>
  <c r="EG53" i="23"/>
  <c r="EH53" i="23"/>
  <c r="EI53" i="23"/>
  <c r="EJ53" i="23"/>
  <c r="EK53" i="23"/>
  <c r="EL53" i="23"/>
  <c r="EM53" i="23"/>
  <c r="EN53" i="23"/>
  <c r="EO53" i="23"/>
  <c r="EP53" i="23"/>
  <c r="EQ53" i="23"/>
  <c r="ER53" i="23"/>
  <c r="ES53" i="23"/>
  <c r="ET53" i="23"/>
  <c r="EU53" i="23"/>
  <c r="EV53" i="23"/>
  <c r="EW53" i="23"/>
  <c r="EX53" i="23"/>
  <c r="EY53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AO4" i="23"/>
  <c r="AP4" i="23"/>
  <c r="AQ4" i="23"/>
  <c r="AR4" i="23"/>
  <c r="AS4" i="23"/>
  <c r="AT4" i="23"/>
  <c r="AV4" i="23"/>
  <c r="AW4" i="23"/>
  <c r="AX4" i="23"/>
  <c r="AY4" i="23"/>
  <c r="AZ4" i="23"/>
  <c r="BA4" i="23"/>
  <c r="BB4" i="23"/>
  <c r="BC4" i="23"/>
  <c r="BD4" i="23"/>
  <c r="BE4" i="23"/>
  <c r="BF4" i="23"/>
  <c r="BG4" i="23"/>
  <c r="BH4" i="23"/>
  <c r="BI4" i="23"/>
  <c r="BJ4" i="23"/>
  <c r="BK4" i="23"/>
  <c r="BL4" i="23"/>
  <c r="BM4" i="23"/>
  <c r="BN4" i="23"/>
  <c r="BO4" i="23"/>
  <c r="BP4" i="23"/>
  <c r="BQ4" i="23"/>
  <c r="BR4" i="23"/>
  <c r="BS4" i="23"/>
  <c r="BT4" i="23"/>
  <c r="BU4" i="23"/>
  <c r="BV4" i="23"/>
  <c r="BW4" i="23"/>
  <c r="BX4" i="23"/>
  <c r="BY4" i="23"/>
  <c r="BZ4" i="23"/>
  <c r="CA4" i="23"/>
  <c r="CB4" i="23"/>
  <c r="CC4" i="23"/>
  <c r="CD4" i="23"/>
  <c r="CE4" i="23"/>
  <c r="CF4" i="23"/>
  <c r="CG4" i="23"/>
  <c r="CH4" i="23"/>
  <c r="CI4" i="23"/>
  <c r="CJ4" i="23"/>
  <c r="CK4" i="23"/>
  <c r="CL4" i="23"/>
  <c r="CM4" i="23"/>
  <c r="CN4" i="23"/>
  <c r="CO4" i="23"/>
  <c r="CP4" i="23"/>
  <c r="CQ4" i="23"/>
  <c r="CR4" i="23"/>
  <c r="CS4" i="23"/>
  <c r="CT4" i="23"/>
  <c r="CU4" i="23"/>
  <c r="CV4" i="23"/>
  <c r="CW4" i="23"/>
  <c r="CX4" i="23"/>
  <c r="CY4" i="23"/>
  <c r="CZ4" i="23"/>
  <c r="DA4" i="23"/>
  <c r="DB4" i="23"/>
  <c r="DC4" i="23"/>
  <c r="DD4" i="23"/>
  <c r="DE4" i="23"/>
  <c r="DF4" i="23"/>
  <c r="DG4" i="23"/>
  <c r="DH4" i="23"/>
  <c r="DI4" i="23"/>
  <c r="DJ4" i="23"/>
  <c r="DK4" i="23"/>
  <c r="DL4" i="23"/>
  <c r="DM4" i="23"/>
  <c r="DN4" i="23"/>
  <c r="DO4" i="23"/>
  <c r="DP4" i="23"/>
  <c r="DQ4" i="23"/>
  <c r="DR4" i="23"/>
  <c r="DS4" i="23"/>
  <c r="DT4" i="23"/>
  <c r="DU4" i="23"/>
  <c r="DV4" i="23"/>
  <c r="DW4" i="23"/>
  <c r="DX4" i="23"/>
  <c r="DY4" i="23"/>
  <c r="DZ4" i="23"/>
  <c r="EA4" i="23"/>
  <c r="EB4" i="23"/>
  <c r="EC4" i="23"/>
  <c r="ED4" i="23"/>
  <c r="EE4" i="23"/>
  <c r="EF4" i="23"/>
  <c r="EG4" i="23"/>
  <c r="EH4" i="23"/>
  <c r="EI4" i="23"/>
  <c r="EJ4" i="23"/>
  <c r="EK4" i="23"/>
  <c r="EL4" i="23"/>
  <c r="EM4" i="23"/>
  <c r="EN4" i="23"/>
  <c r="EO4" i="23"/>
  <c r="EP4" i="23"/>
  <c r="EQ4" i="23"/>
  <c r="ER4" i="23"/>
  <c r="ES4" i="23"/>
  <c r="ET4" i="23"/>
  <c r="EU4" i="23"/>
  <c r="EV4" i="23"/>
  <c r="EW4" i="23"/>
  <c r="EX4" i="23"/>
  <c r="EY4" i="23"/>
  <c r="E4" i="23"/>
  <c r="G55" i="23" l="1"/>
  <c r="O55" i="23"/>
  <c r="W55" i="23"/>
  <c r="AE55" i="23"/>
  <c r="AM55" i="23"/>
  <c r="AU55" i="23"/>
  <c r="AU56" i="23" s="1"/>
  <c r="BC55" i="23"/>
  <c r="BK55" i="23"/>
  <c r="BS55" i="23"/>
  <c r="CA55" i="23"/>
  <c r="CI55" i="23"/>
  <c r="CQ55" i="23"/>
  <c r="CY55" i="23"/>
  <c r="DG55" i="23"/>
  <c r="DO55" i="23"/>
  <c r="DW55" i="23"/>
  <c r="EE55" i="23"/>
  <c r="EM55" i="23"/>
  <c r="EU55" i="23"/>
  <c r="N57" i="1"/>
  <c r="O58" i="1"/>
  <c r="FB33" i="23"/>
  <c r="FA49" i="23"/>
  <c r="FA46" i="23"/>
  <c r="I55" i="23"/>
  <c r="Q55" i="23"/>
  <c r="Y55" i="23"/>
  <c r="AG55" i="23"/>
  <c r="AO55" i="23"/>
  <c r="AW55" i="23"/>
  <c r="BE55" i="23"/>
  <c r="BM55" i="23"/>
  <c r="BU55" i="23"/>
  <c r="CC55" i="23"/>
  <c r="CK55" i="23"/>
  <c r="CS55" i="23"/>
  <c r="DA55" i="23"/>
  <c r="DI55" i="23"/>
  <c r="DQ55" i="23"/>
  <c r="DY55" i="23"/>
  <c r="EG55" i="23"/>
  <c r="EO55" i="23"/>
  <c r="EW55" i="23"/>
  <c r="O57" i="1"/>
  <c r="M58" i="1"/>
  <c r="R59" i="1"/>
  <c r="T59" i="1"/>
  <c r="K55" i="23"/>
  <c r="S55" i="23"/>
  <c r="AA55" i="23"/>
  <c r="AI55" i="23"/>
  <c r="AQ55" i="23"/>
  <c r="AY55" i="23"/>
  <c r="BG55" i="23"/>
  <c r="BO55" i="23"/>
  <c r="BW55" i="23"/>
  <c r="CE55" i="23"/>
  <c r="CM55" i="23"/>
  <c r="CU55" i="23"/>
  <c r="DC55" i="23"/>
  <c r="DK55" i="23"/>
  <c r="DS55" i="23"/>
  <c r="EA55" i="23"/>
  <c r="EI55" i="23"/>
  <c r="EQ55" i="23"/>
  <c r="EY55" i="23"/>
  <c r="H57" i="1"/>
  <c r="R58" i="1"/>
  <c r="L55" i="23"/>
  <c r="T55" i="23"/>
  <c r="AB55" i="23"/>
  <c r="AJ55" i="23"/>
  <c r="AR55" i="23"/>
  <c r="AZ55" i="23"/>
  <c r="BH55" i="23"/>
  <c r="BP55" i="23"/>
  <c r="BX55" i="23"/>
  <c r="CF55" i="23"/>
  <c r="CN55" i="23"/>
  <c r="CV55" i="23"/>
  <c r="DD55" i="23"/>
  <c r="DL55" i="23"/>
  <c r="DT55" i="23"/>
  <c r="EB55" i="23"/>
  <c r="EJ55" i="23"/>
  <c r="ER55" i="23"/>
  <c r="E55" i="23"/>
  <c r="M55" i="23"/>
  <c r="U55" i="23"/>
  <c r="AC55" i="23"/>
  <c r="AK55" i="23"/>
  <c r="AS55" i="23"/>
  <c r="BA55" i="23"/>
  <c r="BI55" i="23"/>
  <c r="BQ55" i="23"/>
  <c r="BY55" i="23"/>
  <c r="CG55" i="23"/>
  <c r="CO55" i="23"/>
  <c r="CW55" i="23"/>
  <c r="DE55" i="23"/>
  <c r="DM55" i="23"/>
  <c r="DU55" i="23"/>
  <c r="EC55" i="23"/>
  <c r="EK55" i="23"/>
  <c r="ES55" i="23"/>
  <c r="F58" i="1"/>
  <c r="T57" i="1"/>
  <c r="F55" i="23"/>
  <c r="N55" i="23"/>
  <c r="V55" i="23"/>
  <c r="AD55" i="23"/>
  <c r="AL55" i="23"/>
  <c r="AT55" i="23"/>
  <c r="BB55" i="23"/>
  <c r="BJ55" i="23"/>
  <c r="BR55" i="23"/>
  <c r="BZ55" i="23"/>
  <c r="CH55" i="23"/>
  <c r="CP55" i="23"/>
  <c r="CX55" i="23"/>
  <c r="DF55" i="23"/>
  <c r="DN55" i="23"/>
  <c r="DV55" i="23"/>
  <c r="ED55" i="23"/>
  <c r="EL55" i="23"/>
  <c r="F59" i="1"/>
  <c r="L58" i="1"/>
  <c r="I58" i="1"/>
  <c r="FB51" i="23"/>
  <c r="FA47" i="23"/>
  <c r="H59" i="1"/>
  <c r="T58" i="1"/>
  <c r="FB52" i="23"/>
  <c r="G57" i="1"/>
  <c r="K57" i="1"/>
  <c r="P59" i="1"/>
  <c r="FA48" i="23"/>
  <c r="R57" i="1"/>
  <c r="N58" i="1"/>
  <c r="FB53" i="23"/>
  <c r="J58" i="1"/>
  <c r="Q58" i="1"/>
  <c r="FA51" i="23"/>
  <c r="M59" i="1"/>
  <c r="FB25" i="23"/>
  <c r="FB17" i="23"/>
  <c r="FA52" i="23"/>
  <c r="FA41" i="23"/>
  <c r="FA33" i="23"/>
  <c r="FA25" i="23"/>
  <c r="FA17" i="23"/>
  <c r="FB46" i="23"/>
  <c r="FB44" i="23"/>
  <c r="FB28" i="23"/>
  <c r="FB20" i="23"/>
  <c r="FB12" i="23"/>
  <c r="FB9" i="23"/>
  <c r="K58" i="1"/>
  <c r="FB41" i="23"/>
  <c r="FB36" i="23"/>
  <c r="FB4" i="23"/>
  <c r="FA53" i="23"/>
  <c r="N59" i="1"/>
  <c r="FB47" i="23"/>
  <c r="F57" i="1"/>
  <c r="G59" i="1"/>
  <c r="FA50" i="23"/>
  <c r="O59" i="1"/>
  <c r="FB8" i="23"/>
  <c r="P58" i="1"/>
  <c r="FB48" i="23"/>
  <c r="FA8" i="23"/>
  <c r="H58" i="1"/>
  <c r="S58" i="1"/>
  <c r="J57" i="1"/>
  <c r="Q57" i="1"/>
  <c r="K59" i="1"/>
  <c r="U58" i="1"/>
  <c r="U59" i="1"/>
  <c r="U57" i="1"/>
  <c r="FA44" i="23"/>
  <c r="FA36" i="23"/>
  <c r="FA28" i="23"/>
  <c r="FA20" i="23"/>
  <c r="FA14" i="23"/>
  <c r="FA12" i="23"/>
  <c r="FA9" i="23"/>
  <c r="FA6" i="23"/>
  <c r="FA4" i="23"/>
  <c r="FB30" i="23"/>
  <c r="FB22" i="23"/>
  <c r="FB14" i="23"/>
  <c r="FB6" i="23"/>
  <c r="FB38" i="23"/>
  <c r="FA38" i="23"/>
  <c r="FA30" i="23"/>
  <c r="FA22" i="23"/>
  <c r="FB43" i="23"/>
  <c r="FB35" i="23"/>
  <c r="FB27" i="23"/>
  <c r="FB19" i="23"/>
  <c r="FB11" i="23"/>
  <c r="FA43" i="23"/>
  <c r="FA35" i="23"/>
  <c r="FA27" i="23"/>
  <c r="FA19" i="23"/>
  <c r="FA11" i="23"/>
  <c r="FB40" i="23"/>
  <c r="FB32" i="23"/>
  <c r="FB24" i="23"/>
  <c r="FB16" i="23"/>
  <c r="FA40" i="23"/>
  <c r="FA32" i="23"/>
  <c r="FA24" i="23"/>
  <c r="FA16" i="23"/>
  <c r="FB37" i="23"/>
  <c r="FB29" i="23"/>
  <c r="FB21" i="23"/>
  <c r="FB13" i="23"/>
  <c r="FB5" i="23"/>
  <c r="FB45" i="23"/>
  <c r="FA45" i="23"/>
  <c r="FA37" i="23"/>
  <c r="FA29" i="23"/>
  <c r="FA21" i="23"/>
  <c r="FA13" i="23"/>
  <c r="FA10" i="23"/>
  <c r="FA5" i="23"/>
  <c r="FB34" i="23"/>
  <c r="FB26" i="23"/>
  <c r="FB18" i="23"/>
  <c r="FB10" i="23"/>
  <c r="FB42" i="23"/>
  <c r="FA42" i="23"/>
  <c r="FA34" i="23"/>
  <c r="FA26" i="23"/>
  <c r="FA18" i="23"/>
  <c r="FB39" i="23"/>
  <c r="FB31" i="23"/>
  <c r="FB23" i="23"/>
  <c r="FB15" i="23"/>
  <c r="FB7" i="23"/>
  <c r="FA39" i="23"/>
  <c r="FA31" i="23"/>
  <c r="FA23" i="23"/>
  <c r="FA15" i="23"/>
  <c r="FA7" i="23"/>
  <c r="FF7" i="23"/>
  <c r="CL54" i="23"/>
  <c r="CL56" i="23" s="1"/>
  <c r="DB54" i="23"/>
  <c r="DB56" i="23" s="1"/>
  <c r="EW54" i="23"/>
  <c r="EW56" i="23" s="1"/>
  <c r="EG54" i="23"/>
  <c r="EG56" i="23" s="1"/>
  <c r="DQ54" i="23"/>
  <c r="DQ56" i="23" s="1"/>
  <c r="DA54" i="23"/>
  <c r="CK54" i="23"/>
  <c r="CK56" i="23" s="1"/>
  <c r="BU54" i="23"/>
  <c r="BU56" i="23" s="1"/>
  <c r="BE54" i="23"/>
  <c r="BE56" i="23" s="1"/>
  <c r="AN54" i="23"/>
  <c r="AN56" i="23" s="1"/>
  <c r="X54" i="23"/>
  <c r="X56" i="23" s="1"/>
  <c r="H54" i="23"/>
  <c r="H56" i="23" s="1"/>
  <c r="FF41" i="23"/>
  <c r="BV54" i="23"/>
  <c r="BV56" i="23" s="1"/>
  <c r="DR54" i="23"/>
  <c r="DR56" i="23" s="1"/>
  <c r="FF6" i="23"/>
  <c r="EH54" i="23"/>
  <c r="EH56" i="23" s="1"/>
  <c r="I54" i="23"/>
  <c r="I56" i="23" s="1"/>
  <c r="BF54" i="23"/>
  <c r="BF56" i="23" s="1"/>
  <c r="AO54" i="23"/>
  <c r="AO56" i="23" s="1"/>
  <c r="EX54" i="23"/>
  <c r="EX56" i="23" s="1"/>
  <c r="Y54" i="23"/>
  <c r="Y56" i="23" s="1"/>
  <c r="FF5" i="23"/>
  <c r="EF54" i="23"/>
  <c r="EF56" i="23" s="1"/>
  <c r="CZ54" i="23"/>
  <c r="CZ56" i="23" s="1"/>
  <c r="BT54" i="23"/>
  <c r="BT56" i="23" s="1"/>
  <c r="W54" i="23"/>
  <c r="W56" i="23" s="1"/>
  <c r="FF9" i="23"/>
  <c r="EV54" i="23"/>
  <c r="EV56" i="23" s="1"/>
  <c r="DP54" i="23"/>
  <c r="DP56" i="23" s="1"/>
  <c r="CJ54" i="23"/>
  <c r="CJ56" i="23" s="1"/>
  <c r="BD54" i="23"/>
  <c r="BD56" i="23" s="1"/>
  <c r="AM54" i="23"/>
  <c r="G54" i="23"/>
  <c r="G56" i="23" s="1"/>
  <c r="EU54" i="23"/>
  <c r="EU56" i="23" s="1"/>
  <c r="EE54" i="23"/>
  <c r="EE56" i="23" s="1"/>
  <c r="DO54" i="23"/>
  <c r="DO56" i="23" s="1"/>
  <c r="CY54" i="23"/>
  <c r="CI54" i="23"/>
  <c r="CI56" i="23" s="1"/>
  <c r="BS54" i="23"/>
  <c r="BS56" i="23" s="1"/>
  <c r="BC54" i="23"/>
  <c r="BC56" i="23" s="1"/>
  <c r="AL54" i="23"/>
  <c r="AL56" i="23" s="1"/>
  <c r="V54" i="23"/>
  <c r="V56" i="23" s="1"/>
  <c r="F54" i="23"/>
  <c r="F56" i="23" s="1"/>
  <c r="FF46" i="23"/>
  <c r="FF38" i="23"/>
  <c r="FF30" i="23"/>
  <c r="FF14" i="23"/>
  <c r="FF25" i="23"/>
  <c r="CH54" i="23"/>
  <c r="CH56" i="23" s="1"/>
  <c r="ED54" i="23"/>
  <c r="ED56" i="23" s="1"/>
  <c r="U54" i="23"/>
  <c r="U56" i="23" s="1"/>
  <c r="ES54" i="23"/>
  <c r="ES56" i="23" s="1"/>
  <c r="EC54" i="23"/>
  <c r="EC56" i="23" s="1"/>
  <c r="DM54" i="23"/>
  <c r="CW54" i="23"/>
  <c r="CW56" i="23" s="1"/>
  <c r="CG54" i="23"/>
  <c r="CG56" i="23" s="1"/>
  <c r="BQ54" i="23"/>
  <c r="BQ56" i="23" s="1"/>
  <c r="BA54" i="23"/>
  <c r="FF51" i="23"/>
  <c r="FF43" i="23"/>
  <c r="FF35" i="23"/>
  <c r="FF27" i="23"/>
  <c r="FF19" i="23"/>
  <c r="FF11" i="23"/>
  <c r="ET54" i="23"/>
  <c r="ET56" i="23" s="1"/>
  <c r="BB54" i="23"/>
  <c r="BB56" i="23" s="1"/>
  <c r="ER54" i="23"/>
  <c r="ER56" i="23" s="1"/>
  <c r="AI54" i="23"/>
  <c r="AI56" i="23" s="1"/>
  <c r="FF17" i="23"/>
  <c r="DN54" i="23"/>
  <c r="DN56" i="23" s="1"/>
  <c r="EB54" i="23"/>
  <c r="EB56" i="23" s="1"/>
  <c r="AZ54" i="23"/>
  <c r="AZ56" i="23" s="1"/>
  <c r="EQ54" i="23"/>
  <c r="EQ56" i="23" s="1"/>
  <c r="EA54" i="23"/>
  <c r="EA56" i="23" s="1"/>
  <c r="DK54" i="23"/>
  <c r="DK56" i="23" s="1"/>
  <c r="CU54" i="23"/>
  <c r="CU56" i="23" s="1"/>
  <c r="CE54" i="23"/>
  <c r="CE56" i="23" s="1"/>
  <c r="BO54" i="23"/>
  <c r="BO56" i="23" s="1"/>
  <c r="AY54" i="23"/>
  <c r="AH54" i="23"/>
  <c r="AH56" i="23" s="1"/>
  <c r="R54" i="23"/>
  <c r="R56" i="23" s="1"/>
  <c r="FF48" i="23"/>
  <c r="FF40" i="23"/>
  <c r="FF32" i="23"/>
  <c r="FF24" i="23"/>
  <c r="FF16" i="23"/>
  <c r="FF8" i="23"/>
  <c r="BR54" i="23"/>
  <c r="BR56" i="23" s="1"/>
  <c r="CV54" i="23"/>
  <c r="CV56" i="23" s="1"/>
  <c r="BP54" i="23"/>
  <c r="BP56" i="23" s="1"/>
  <c r="EP54" i="23"/>
  <c r="EP56" i="23" s="1"/>
  <c r="DJ54" i="23"/>
  <c r="DJ56" i="23" s="1"/>
  <c r="CD54" i="23"/>
  <c r="CD56" i="23" s="1"/>
  <c r="AG54" i="23"/>
  <c r="AG56" i="23" s="1"/>
  <c r="CX54" i="23"/>
  <c r="CX56" i="23" s="1"/>
  <c r="AK54" i="23"/>
  <c r="AK56" i="23" s="1"/>
  <c r="DL54" i="23"/>
  <c r="DL56" i="23" s="1"/>
  <c r="CF54" i="23"/>
  <c r="CF56" i="23" s="1"/>
  <c r="S54" i="23"/>
  <c r="S56" i="23" s="1"/>
  <c r="DZ54" i="23"/>
  <c r="DZ56" i="23" s="1"/>
  <c r="CT54" i="23"/>
  <c r="CT56" i="23" s="1"/>
  <c r="BN54" i="23"/>
  <c r="BN56" i="23" s="1"/>
  <c r="AX54" i="23"/>
  <c r="AX56" i="23" s="1"/>
  <c r="Q54" i="23"/>
  <c r="Q56" i="23" s="1"/>
  <c r="EO54" i="23"/>
  <c r="EO56" i="23" s="1"/>
  <c r="DY54" i="23"/>
  <c r="DY56" i="23" s="1"/>
  <c r="DI54" i="23"/>
  <c r="DI56" i="23" s="1"/>
  <c r="CS54" i="23"/>
  <c r="CS56" i="23" s="1"/>
  <c r="CC54" i="23"/>
  <c r="CC56" i="23" s="1"/>
  <c r="BM54" i="23"/>
  <c r="BM56" i="23" s="1"/>
  <c r="AW54" i="23"/>
  <c r="AW56" i="23" s="1"/>
  <c r="AF54" i="23"/>
  <c r="AF56" i="23" s="1"/>
  <c r="P54" i="23"/>
  <c r="P56" i="23" s="1"/>
  <c r="FF53" i="23"/>
  <c r="FF45" i="23"/>
  <c r="FF37" i="23"/>
  <c r="FF29" i="23"/>
  <c r="FF21" i="23"/>
  <c r="FF13" i="23"/>
  <c r="EN54" i="23"/>
  <c r="EN56" i="23" s="1"/>
  <c r="DH54" i="23"/>
  <c r="DH56" i="23" s="1"/>
  <c r="CB54" i="23"/>
  <c r="CB56" i="23" s="1"/>
  <c r="AV54" i="23"/>
  <c r="AV56" i="23" s="1"/>
  <c r="O54" i="23"/>
  <c r="O56" i="23" s="1"/>
  <c r="FF50" i="23"/>
  <c r="FF33" i="23"/>
  <c r="DX54" i="23"/>
  <c r="DX56" i="23" s="1"/>
  <c r="CR54" i="23"/>
  <c r="CR56" i="23" s="1"/>
  <c r="BL54" i="23"/>
  <c r="BL56" i="23" s="1"/>
  <c r="AE54" i="23"/>
  <c r="AE56" i="23" s="1"/>
  <c r="EM54" i="23"/>
  <c r="EM56" i="23" s="1"/>
  <c r="DW54" i="23"/>
  <c r="DW56" i="23" s="1"/>
  <c r="DG54" i="23"/>
  <c r="DG56" i="23" s="1"/>
  <c r="CQ54" i="23"/>
  <c r="CQ56" i="23" s="1"/>
  <c r="CA54" i="23"/>
  <c r="CA56" i="23" s="1"/>
  <c r="BK54" i="23"/>
  <c r="BK56" i="23" s="1"/>
  <c r="AT54" i="23"/>
  <c r="AT56" i="23" s="1"/>
  <c r="AD54" i="23"/>
  <c r="AD56" i="23" s="1"/>
  <c r="N54" i="23"/>
  <c r="N56" i="23" s="1"/>
  <c r="FF42" i="23"/>
  <c r="FF34" i="23"/>
  <c r="FF26" i="23"/>
  <c r="FF18" i="23"/>
  <c r="FF10" i="23"/>
  <c r="DV54" i="23"/>
  <c r="DV56" i="23" s="1"/>
  <c r="AS54" i="23"/>
  <c r="AS56" i="23" s="1"/>
  <c r="FF22" i="23"/>
  <c r="AJ54" i="23"/>
  <c r="AJ56" i="23" s="1"/>
  <c r="T54" i="23"/>
  <c r="T56" i="23" s="1"/>
  <c r="CP54" i="23"/>
  <c r="CP56" i="23" s="1"/>
  <c r="AC54" i="23"/>
  <c r="AC56" i="23" s="1"/>
  <c r="EK54" i="23"/>
  <c r="EK56" i="23" s="1"/>
  <c r="DU54" i="23"/>
  <c r="DU56" i="23" s="1"/>
  <c r="DE54" i="23"/>
  <c r="DE56" i="23" s="1"/>
  <c r="CO54" i="23"/>
  <c r="CO56" i="23" s="1"/>
  <c r="BY54" i="23"/>
  <c r="BY56" i="23" s="1"/>
  <c r="BI54" i="23"/>
  <c r="BI56" i="23" s="1"/>
  <c r="AR54" i="23"/>
  <c r="AR56" i="23" s="1"/>
  <c r="AB54" i="23"/>
  <c r="AB56" i="23" s="1"/>
  <c r="L54" i="23"/>
  <c r="FF47" i="23"/>
  <c r="FF39" i="23"/>
  <c r="FF31" i="23"/>
  <c r="FF23" i="23"/>
  <c r="FF15" i="23"/>
  <c r="EL54" i="23"/>
  <c r="BZ54" i="23"/>
  <c r="E54" i="23"/>
  <c r="E56" i="23" s="1"/>
  <c r="DT54" i="23"/>
  <c r="DT56" i="23" s="1"/>
  <c r="CN54" i="23"/>
  <c r="CN56" i="23" s="1"/>
  <c r="AQ54" i="23"/>
  <c r="AQ56" i="23" s="1"/>
  <c r="FF49" i="23"/>
  <c r="DF54" i="23"/>
  <c r="DF56" i="23" s="1"/>
  <c r="BJ54" i="23"/>
  <c r="BJ56" i="23" s="1"/>
  <c r="M54" i="23"/>
  <c r="M56" i="23" s="1"/>
  <c r="EJ54" i="23"/>
  <c r="DD54" i="23"/>
  <c r="DD56" i="23" s="1"/>
  <c r="BX54" i="23"/>
  <c r="BH54" i="23"/>
  <c r="BH56" i="23" s="1"/>
  <c r="AA54" i="23"/>
  <c r="AA56" i="23" s="1"/>
  <c r="K54" i="23"/>
  <c r="K56" i="23" s="1"/>
  <c r="FF36" i="23"/>
  <c r="EY54" i="23"/>
  <c r="EY56" i="23" s="1"/>
  <c r="EI54" i="23"/>
  <c r="EI56" i="23" s="1"/>
  <c r="DS54" i="23"/>
  <c r="DS56" i="23" s="1"/>
  <c r="DC54" i="23"/>
  <c r="DC56" i="23" s="1"/>
  <c r="CM54" i="23"/>
  <c r="CM56" i="23" s="1"/>
  <c r="BW54" i="23"/>
  <c r="BW56" i="23" s="1"/>
  <c r="BG54" i="23"/>
  <c r="BG56" i="23" s="1"/>
  <c r="AP54" i="23"/>
  <c r="AP56" i="23" s="1"/>
  <c r="Z54" i="23"/>
  <c r="Z56" i="23" s="1"/>
  <c r="J54" i="23"/>
  <c r="J56" i="23" s="1"/>
  <c r="FF52" i="23"/>
  <c r="FF44" i="23"/>
  <c r="FF28" i="23"/>
  <c r="FF20" i="23"/>
  <c r="FF12" i="23"/>
  <c r="FF4" i="23"/>
  <c r="T12" i="27"/>
  <c r="X12" i="27" s="1"/>
  <c r="S12" i="27"/>
  <c r="W12" i="27" s="1"/>
  <c r="R12" i="27"/>
  <c r="T11" i="27"/>
  <c r="X11" i="27" s="1"/>
  <c r="S11" i="27"/>
  <c r="W11" i="27" s="1"/>
  <c r="R11" i="27"/>
  <c r="T10" i="27"/>
  <c r="X10" i="27" s="1"/>
  <c r="S10" i="27"/>
  <c r="W10" i="27" s="1"/>
  <c r="R10" i="27"/>
  <c r="T9" i="27"/>
  <c r="X9" i="27" s="1"/>
  <c r="S9" i="27"/>
  <c r="R9" i="27"/>
  <c r="T8" i="27"/>
  <c r="X8" i="27" s="1"/>
  <c r="S8" i="27"/>
  <c r="W8" i="27" s="1"/>
  <c r="R8" i="27"/>
  <c r="T7" i="27"/>
  <c r="X7" i="27" s="1"/>
  <c r="S7" i="27"/>
  <c r="W7" i="27" s="1"/>
  <c r="R7" i="27"/>
  <c r="T6" i="27"/>
  <c r="X6" i="27" s="1"/>
  <c r="S6" i="27"/>
  <c r="W6" i="27" s="1"/>
  <c r="R6" i="27"/>
  <c r="T5" i="27"/>
  <c r="S5" i="27"/>
  <c r="R5" i="27"/>
  <c r="R3" i="27"/>
  <c r="R2" i="27"/>
  <c r="EL56" i="23" l="1"/>
  <c r="DM56" i="23"/>
  <c r="R13" i="27"/>
  <c r="CY56" i="23"/>
  <c r="DA56" i="23"/>
  <c r="E68" i="23" s="1"/>
  <c r="F68" i="23" s="1"/>
  <c r="BX56" i="23"/>
  <c r="BA56" i="23"/>
  <c r="E62" i="23" s="1"/>
  <c r="F62" i="23" s="1"/>
  <c r="EJ56" i="23"/>
  <c r="L56" i="23"/>
  <c r="AM56" i="23"/>
  <c r="BZ56" i="23"/>
  <c r="AY56" i="23"/>
  <c r="E63" i="23"/>
  <c r="F63" i="23" s="1"/>
  <c r="E66" i="23"/>
  <c r="F66" i="23" s="1"/>
  <c r="E64" i="23"/>
  <c r="F64" i="23" s="1"/>
  <c r="E65" i="23"/>
  <c r="F65" i="23" s="1"/>
  <c r="E71" i="23"/>
  <c r="F71" i="23" s="1"/>
  <c r="E73" i="23"/>
  <c r="F73" i="23" s="1"/>
  <c r="E60" i="23"/>
  <c r="F60" i="23" s="1"/>
  <c r="E61" i="23"/>
  <c r="F61" i="23" s="1"/>
  <c r="E69" i="23"/>
  <c r="F69" i="23" s="1"/>
  <c r="E67" i="23"/>
  <c r="F67" i="23" s="1"/>
  <c r="E59" i="23"/>
  <c r="F59" i="23" s="1"/>
  <c r="E70" i="23"/>
  <c r="F70" i="23" s="1"/>
  <c r="E74" i="23"/>
  <c r="F74" i="23" s="1"/>
  <c r="E72" i="23"/>
  <c r="F72" i="23" s="1"/>
  <c r="S13" i="27"/>
  <c r="U9" i="27"/>
  <c r="T13" i="27"/>
  <c r="U11" i="27"/>
  <c r="W9" i="27"/>
  <c r="U7" i="27"/>
  <c r="U5" i="27"/>
  <c r="W5" i="27"/>
  <c r="X5" i="27"/>
  <c r="X13" i="27" s="1"/>
  <c r="U8" i="27"/>
  <c r="U6" i="27"/>
  <c r="U12" i="27"/>
  <c r="U10" i="27"/>
  <c r="W13" i="27" l="1"/>
  <c r="U13" i="27"/>
  <c r="G7" i="2"/>
  <c r="G2" i="2" s="1"/>
  <c r="H7" i="2"/>
  <c r="H2" i="2" s="1"/>
  <c r="I7" i="2"/>
  <c r="I2" i="2" s="1"/>
  <c r="J7" i="2"/>
  <c r="J2" i="2" s="1"/>
  <c r="K7" i="2"/>
  <c r="K4" i="2" s="1"/>
  <c r="L7" i="2"/>
  <c r="L4" i="2" s="1"/>
  <c r="M7" i="2"/>
  <c r="M4" i="2" s="1"/>
  <c r="N7" i="2"/>
  <c r="N4" i="2" s="1"/>
  <c r="O7" i="2"/>
  <c r="O6" i="2" s="1"/>
  <c r="P7" i="2"/>
  <c r="P2" i="2" s="1"/>
  <c r="Q7" i="2"/>
  <c r="Q3" i="2" s="1"/>
  <c r="R7" i="2"/>
  <c r="R3" i="2" s="1"/>
  <c r="S7" i="2"/>
  <c r="S3" i="2" s="1"/>
  <c r="T7" i="2"/>
  <c r="T3" i="2" s="1"/>
  <c r="U7" i="2"/>
  <c r="U5" i="2" s="1"/>
  <c r="V7" i="2"/>
  <c r="V6" i="2" s="1"/>
  <c r="W7" i="2"/>
  <c r="W3" i="2" s="1"/>
  <c r="X7" i="2"/>
  <c r="X2" i="2" s="1"/>
  <c r="Y7" i="2"/>
  <c r="Y2" i="2" s="1"/>
  <c r="Z7" i="2"/>
  <c r="Z2" i="2" s="1"/>
  <c r="AA7" i="2"/>
  <c r="AA4" i="2" s="1"/>
  <c r="AB7" i="2"/>
  <c r="AB4" i="2" s="1"/>
  <c r="AC7" i="2"/>
  <c r="AC4" i="2" s="1"/>
  <c r="AD7" i="2"/>
  <c r="AD4" i="2" s="1"/>
  <c r="AE7" i="2"/>
  <c r="AE6" i="2" s="1"/>
  <c r="AF7" i="2"/>
  <c r="AF4" i="2" s="1"/>
  <c r="AG7" i="2"/>
  <c r="AG3" i="2" s="1"/>
  <c r="AH7" i="2"/>
  <c r="AH3" i="2" s="1"/>
  <c r="AI7" i="2"/>
  <c r="AI3" i="2" s="1"/>
  <c r="AJ7" i="2"/>
  <c r="AJ3" i="2" s="1"/>
  <c r="AK7" i="2"/>
  <c r="AK5" i="2" s="1"/>
  <c r="AL7" i="2"/>
  <c r="AL6" i="2" s="1"/>
  <c r="AM7" i="2"/>
  <c r="AM2" i="2" s="1"/>
  <c r="AN7" i="2"/>
  <c r="AN2" i="2" s="1"/>
  <c r="AO7" i="2"/>
  <c r="AO2" i="2" s="1"/>
  <c r="AP7" i="2"/>
  <c r="AP2" i="2" s="1"/>
  <c r="AQ7" i="2"/>
  <c r="AQ4" i="2" s="1"/>
  <c r="AR7" i="2"/>
  <c r="AR4" i="2" s="1"/>
  <c r="AS7" i="2"/>
  <c r="AS4" i="2" s="1"/>
  <c r="AT7" i="2"/>
  <c r="AT4" i="2" s="1"/>
  <c r="AU7" i="2"/>
  <c r="AU6" i="2" s="1"/>
  <c r="AV7" i="2"/>
  <c r="AV6" i="2" s="1"/>
  <c r="AW7" i="2"/>
  <c r="AW3" i="2" s="1"/>
  <c r="AX7" i="2"/>
  <c r="AX3" i="2" s="1"/>
  <c r="AY7" i="2"/>
  <c r="AY3" i="2" s="1"/>
  <c r="AZ7" i="2"/>
  <c r="AZ3" i="2" s="1"/>
  <c r="BA7" i="2"/>
  <c r="BA5" i="2" s="1"/>
  <c r="BB7" i="2"/>
  <c r="BB5" i="2" s="1"/>
  <c r="BC7" i="2"/>
  <c r="BC2" i="2" s="1"/>
  <c r="BD7" i="2"/>
  <c r="BD2" i="2" s="1"/>
  <c r="BE7" i="2"/>
  <c r="BE2" i="2" s="1"/>
  <c r="BF7" i="2"/>
  <c r="BF2" i="2" s="1"/>
  <c r="BG7" i="2"/>
  <c r="BG4" i="2" s="1"/>
  <c r="BH7" i="2"/>
  <c r="BH4" i="2" s="1"/>
  <c r="BI7" i="2"/>
  <c r="BI4" i="2" s="1"/>
  <c r="BJ7" i="2"/>
  <c r="BJ4" i="2" s="1"/>
  <c r="BK7" i="2"/>
  <c r="BK6" i="2" s="1"/>
  <c r="BL7" i="2"/>
  <c r="BL6" i="2" s="1"/>
  <c r="BM7" i="2"/>
  <c r="BM3" i="2" s="1"/>
  <c r="BN7" i="2"/>
  <c r="BN3" i="2" s="1"/>
  <c r="BO7" i="2"/>
  <c r="BO3" i="2" s="1"/>
  <c r="BP7" i="2"/>
  <c r="BP3" i="2" s="1"/>
  <c r="BQ7" i="2"/>
  <c r="BQ5" i="2" s="1"/>
  <c r="BR7" i="2"/>
  <c r="BR5" i="2" s="1"/>
  <c r="BS7" i="2"/>
  <c r="BS2" i="2" s="1"/>
  <c r="BT7" i="2"/>
  <c r="BT2" i="2" s="1"/>
  <c r="BU7" i="2"/>
  <c r="BU2" i="2" s="1"/>
  <c r="BV7" i="2"/>
  <c r="BV2" i="2" s="1"/>
  <c r="BW7" i="2"/>
  <c r="BW4" i="2" s="1"/>
  <c r="BX7" i="2"/>
  <c r="BX4" i="2" s="1"/>
  <c r="BY7" i="2"/>
  <c r="BY4" i="2" s="1"/>
  <c r="BZ7" i="2"/>
  <c r="BZ4" i="2" s="1"/>
  <c r="CA7" i="2"/>
  <c r="CA6" i="2" s="1"/>
  <c r="CB7" i="2"/>
  <c r="CB6" i="2" s="1"/>
  <c r="CC7" i="2"/>
  <c r="CC3" i="2" s="1"/>
  <c r="CD7" i="2"/>
  <c r="CD3" i="2" s="1"/>
  <c r="CE7" i="2"/>
  <c r="CE3" i="2" s="1"/>
  <c r="CF7" i="2"/>
  <c r="CF3" i="2" s="1"/>
  <c r="CG7" i="2"/>
  <c r="CG5" i="2" s="1"/>
  <c r="CH7" i="2"/>
  <c r="CH5" i="2" s="1"/>
  <c r="CI7" i="2"/>
  <c r="CI2" i="2" s="1"/>
  <c r="CJ7" i="2"/>
  <c r="CJ2" i="2" s="1"/>
  <c r="CK7" i="2"/>
  <c r="CK2" i="2" s="1"/>
  <c r="CL7" i="2"/>
  <c r="CL2" i="2" s="1"/>
  <c r="CM7" i="2"/>
  <c r="CM4" i="2" s="1"/>
  <c r="CN7" i="2"/>
  <c r="CN4" i="2" s="1"/>
  <c r="CO7" i="2"/>
  <c r="CO4" i="2" s="1"/>
  <c r="CP7" i="2"/>
  <c r="CP4" i="2" s="1"/>
  <c r="CQ7" i="2"/>
  <c r="CQ6" i="2" s="1"/>
  <c r="CR7" i="2"/>
  <c r="CR6" i="2" s="1"/>
  <c r="CS7" i="2"/>
  <c r="CS3" i="2" s="1"/>
  <c r="CT7" i="2"/>
  <c r="CT3" i="2" s="1"/>
  <c r="CU7" i="2"/>
  <c r="CU3" i="2" s="1"/>
  <c r="CV7" i="2"/>
  <c r="CV3" i="2" s="1"/>
  <c r="CW7" i="2"/>
  <c r="CW5" i="2" s="1"/>
  <c r="CX7" i="2"/>
  <c r="CX5" i="2" s="1"/>
  <c r="CY7" i="2"/>
  <c r="CY2" i="2" s="1"/>
  <c r="CZ7" i="2"/>
  <c r="CZ2" i="2" s="1"/>
  <c r="DA7" i="2"/>
  <c r="DA2" i="2" s="1"/>
  <c r="DB7" i="2"/>
  <c r="DB2" i="2" s="1"/>
  <c r="DC7" i="2"/>
  <c r="DC4" i="2" s="1"/>
  <c r="DD7" i="2"/>
  <c r="DD4" i="2" s="1"/>
  <c r="DE7" i="2"/>
  <c r="DE4" i="2" s="1"/>
  <c r="DF7" i="2"/>
  <c r="DF4" i="2" s="1"/>
  <c r="DG7" i="2"/>
  <c r="DG6" i="2" s="1"/>
  <c r="DH7" i="2"/>
  <c r="DH6" i="2" s="1"/>
  <c r="DI7" i="2"/>
  <c r="DI3" i="2" s="1"/>
  <c r="DJ7" i="2"/>
  <c r="DJ3" i="2" s="1"/>
  <c r="DK7" i="2"/>
  <c r="DK3" i="2" s="1"/>
  <c r="DL7" i="2"/>
  <c r="DL3" i="2" s="1"/>
  <c r="DM7" i="2"/>
  <c r="DM5" i="2" s="1"/>
  <c r="DN7" i="2"/>
  <c r="DN5" i="2" s="1"/>
  <c r="DO7" i="2"/>
  <c r="DO2" i="2" s="1"/>
  <c r="DP7" i="2"/>
  <c r="DP2" i="2" s="1"/>
  <c r="DQ7" i="2"/>
  <c r="DQ2" i="2" s="1"/>
  <c r="DR7" i="2"/>
  <c r="DR2" i="2" s="1"/>
  <c r="DS7" i="2"/>
  <c r="DS4" i="2" s="1"/>
  <c r="DT7" i="2"/>
  <c r="DT4" i="2" s="1"/>
  <c r="DU7" i="2"/>
  <c r="DU4" i="2" s="1"/>
  <c r="DV7" i="2"/>
  <c r="DV4" i="2" s="1"/>
  <c r="DW7" i="2"/>
  <c r="DW6" i="2" s="1"/>
  <c r="DX7" i="2"/>
  <c r="DX6" i="2" s="1"/>
  <c r="DY7" i="2"/>
  <c r="DY3" i="2" s="1"/>
  <c r="DZ7" i="2"/>
  <c r="DZ3" i="2" s="1"/>
  <c r="EA7" i="2"/>
  <c r="EA3" i="2" s="1"/>
  <c r="EB7" i="2"/>
  <c r="EB3" i="2" s="1"/>
  <c r="EC7" i="2"/>
  <c r="EC5" i="2" s="1"/>
  <c r="ED7" i="2"/>
  <c r="ED5" i="2" s="1"/>
  <c r="EE7" i="2"/>
  <c r="EE2" i="2" s="1"/>
  <c r="EF7" i="2"/>
  <c r="EF2" i="2" s="1"/>
  <c r="EG7" i="2"/>
  <c r="EG2" i="2" s="1"/>
  <c r="EH7" i="2"/>
  <c r="EH2" i="2" s="1"/>
  <c r="EI7" i="2"/>
  <c r="EI4" i="2" s="1"/>
  <c r="EJ7" i="2"/>
  <c r="EJ4" i="2" s="1"/>
  <c r="EK7" i="2"/>
  <c r="EK4" i="2" s="1"/>
  <c r="EL7" i="2"/>
  <c r="EL4" i="2" s="1"/>
  <c r="EM7" i="2"/>
  <c r="EM6" i="2" s="1"/>
  <c r="EN7" i="2"/>
  <c r="EN6" i="2" s="1"/>
  <c r="EO7" i="2"/>
  <c r="EO3" i="2" s="1"/>
  <c r="EP7" i="2"/>
  <c r="EP3" i="2" s="1"/>
  <c r="EQ7" i="2"/>
  <c r="EQ3" i="2" s="1"/>
  <c r="ER7" i="2"/>
  <c r="ER3" i="2" s="1"/>
  <c r="ES7" i="2"/>
  <c r="ES5" i="2" s="1"/>
  <c r="ET7" i="2"/>
  <c r="ET5" i="2" s="1"/>
  <c r="EU7" i="2"/>
  <c r="EU2" i="2" s="1"/>
  <c r="EV7" i="2"/>
  <c r="EV2" i="2" s="1"/>
  <c r="EW7" i="2"/>
  <c r="EW2" i="2" s="1"/>
  <c r="EX7" i="2"/>
  <c r="EX2" i="2" s="1"/>
  <c r="EY7" i="2"/>
  <c r="EY4" i="2" s="1"/>
  <c r="EZ7" i="2"/>
  <c r="EZ4" i="2" s="1"/>
  <c r="F7" i="2"/>
  <c r="F3" i="2" s="1"/>
  <c r="F6" i="2" l="1"/>
  <c r="F4" i="2"/>
  <c r="F5" i="2"/>
  <c r="AF6" i="2"/>
  <c r="AF5" i="2"/>
  <c r="W4" i="2"/>
  <c r="P3" i="2"/>
  <c r="AD6" i="2"/>
  <c r="W5" i="2"/>
  <c r="V4" i="2"/>
  <c r="G3" i="2"/>
  <c r="W6" i="2"/>
  <c r="V5" i="2"/>
  <c r="P4" i="2"/>
  <c r="ET2" i="2"/>
  <c r="P6" i="2"/>
  <c r="T5" i="2"/>
  <c r="J4" i="2"/>
  <c r="ED2" i="2"/>
  <c r="N6" i="2"/>
  <c r="P5" i="2"/>
  <c r="G4" i="2"/>
  <c r="DN2" i="2"/>
  <c r="G6" i="2"/>
  <c r="G5" i="2"/>
  <c r="EN3" i="2"/>
  <c r="CX2" i="2"/>
  <c r="ER5" i="2"/>
  <c r="DR4" i="2"/>
  <c r="DX3" i="2"/>
  <c r="CH2" i="2"/>
  <c r="EB5" i="2"/>
  <c r="DB4" i="2"/>
  <c r="DH3" i="2"/>
  <c r="BR2" i="2"/>
  <c r="DL5" i="2"/>
  <c r="CL4" i="2"/>
  <c r="CR3" i="2"/>
  <c r="BB2" i="2"/>
  <c r="DV6" i="2"/>
  <c r="CV5" i="2"/>
  <c r="BV4" i="2"/>
  <c r="CB3" i="2"/>
  <c r="AV2" i="2"/>
  <c r="DF6" i="2"/>
  <c r="CF5" i="2"/>
  <c r="BF4" i="2"/>
  <c r="BL3" i="2"/>
  <c r="AL2" i="2"/>
  <c r="CP6" i="2"/>
  <c r="BP5" i="2"/>
  <c r="AV4" i="2"/>
  <c r="AV3" i="2"/>
  <c r="AF2" i="2"/>
  <c r="BZ6" i="2"/>
  <c r="AZ5" i="2"/>
  <c r="AP4" i="2"/>
  <c r="AL3" i="2"/>
  <c r="W2" i="2"/>
  <c r="BJ6" i="2"/>
  <c r="AV5" i="2"/>
  <c r="AL4" i="2"/>
  <c r="AF3" i="2"/>
  <c r="V2" i="2"/>
  <c r="AL5" i="2"/>
  <c r="F2" i="2"/>
  <c r="AT6" i="2"/>
  <c r="AJ5" i="2"/>
  <c r="Z4" i="2"/>
  <c r="V3" i="2"/>
  <c r="EH4" i="2"/>
  <c r="EK6" i="2"/>
  <c r="DU6" i="2"/>
  <c r="DE6" i="2"/>
  <c r="CO6" i="2"/>
  <c r="BY6" i="2"/>
  <c r="BI6" i="2"/>
  <c r="AS6" i="2"/>
  <c r="AC6" i="2"/>
  <c r="M6" i="2"/>
  <c r="EQ5" i="2"/>
  <c r="EA5" i="2"/>
  <c r="DK5" i="2"/>
  <c r="CU5" i="2"/>
  <c r="CE5" i="2"/>
  <c r="BO5" i="2"/>
  <c r="AY5" i="2"/>
  <c r="AI5" i="2"/>
  <c r="S5" i="2"/>
  <c r="EW4" i="2"/>
  <c r="EG4" i="2"/>
  <c r="DQ4" i="2"/>
  <c r="DA4" i="2"/>
  <c r="CK4" i="2"/>
  <c r="BU4" i="2"/>
  <c r="BE4" i="2"/>
  <c r="AO4" i="2"/>
  <c r="Y4" i="2"/>
  <c r="I4" i="2"/>
  <c r="EM3" i="2"/>
  <c r="DW3" i="2"/>
  <c r="DG3" i="2"/>
  <c r="CQ3" i="2"/>
  <c r="CA3" i="2"/>
  <c r="BK3" i="2"/>
  <c r="AU3" i="2"/>
  <c r="AE3" i="2"/>
  <c r="O3" i="2"/>
  <c r="ES2" i="2"/>
  <c r="EC2" i="2"/>
  <c r="DM2" i="2"/>
  <c r="CW2" i="2"/>
  <c r="CG2" i="2"/>
  <c r="BQ2" i="2"/>
  <c r="BA2" i="2"/>
  <c r="AK2" i="2"/>
  <c r="U2" i="2"/>
  <c r="EX4" i="2"/>
  <c r="EZ6" i="2"/>
  <c r="EJ6" i="2"/>
  <c r="DT6" i="2"/>
  <c r="DD6" i="2"/>
  <c r="CN6" i="2"/>
  <c r="BX6" i="2"/>
  <c r="BH6" i="2"/>
  <c r="AR6" i="2"/>
  <c r="AB6" i="2"/>
  <c r="L6" i="2"/>
  <c r="EP5" i="2"/>
  <c r="DZ5" i="2"/>
  <c r="DJ5" i="2"/>
  <c r="CT5" i="2"/>
  <c r="CD5" i="2"/>
  <c r="BN5" i="2"/>
  <c r="AX5" i="2"/>
  <c r="AH5" i="2"/>
  <c r="R5" i="2"/>
  <c r="EV4" i="2"/>
  <c r="EF4" i="2"/>
  <c r="DP4" i="2"/>
  <c r="CZ4" i="2"/>
  <c r="CJ4" i="2"/>
  <c r="BT4" i="2"/>
  <c r="BD4" i="2"/>
  <c r="AN4" i="2"/>
  <c r="X4" i="2"/>
  <c r="H4" i="2"/>
  <c r="EL3" i="2"/>
  <c r="DV3" i="2"/>
  <c r="DF3" i="2"/>
  <c r="CP3" i="2"/>
  <c r="BZ3" i="2"/>
  <c r="BJ3" i="2"/>
  <c r="AT3" i="2"/>
  <c r="AD3" i="2"/>
  <c r="N3" i="2"/>
  <c r="ER2" i="2"/>
  <c r="EB2" i="2"/>
  <c r="DL2" i="2"/>
  <c r="CV2" i="2"/>
  <c r="CF2" i="2"/>
  <c r="BP2" i="2"/>
  <c r="AZ2" i="2"/>
  <c r="AJ2" i="2"/>
  <c r="T2" i="2"/>
  <c r="EY6" i="2"/>
  <c r="EI6" i="2"/>
  <c r="DS6" i="2"/>
  <c r="DC6" i="2"/>
  <c r="CM6" i="2"/>
  <c r="BW6" i="2"/>
  <c r="BG6" i="2"/>
  <c r="AQ6" i="2"/>
  <c r="AA6" i="2"/>
  <c r="K6" i="2"/>
  <c r="EO5" i="2"/>
  <c r="DY5" i="2"/>
  <c r="DI5" i="2"/>
  <c r="CS5" i="2"/>
  <c r="CC5" i="2"/>
  <c r="BM5" i="2"/>
  <c r="AW5" i="2"/>
  <c r="AG5" i="2"/>
  <c r="Q5" i="2"/>
  <c r="EU4" i="2"/>
  <c r="EE4" i="2"/>
  <c r="DO4" i="2"/>
  <c r="CY4" i="2"/>
  <c r="CI4" i="2"/>
  <c r="BS4" i="2"/>
  <c r="BC4" i="2"/>
  <c r="AM4" i="2"/>
  <c r="EK3" i="2"/>
  <c r="DU3" i="2"/>
  <c r="DE3" i="2"/>
  <c r="CO3" i="2"/>
  <c r="BY3" i="2"/>
  <c r="BI3" i="2"/>
  <c r="AS3" i="2"/>
  <c r="AC3" i="2"/>
  <c r="M3" i="2"/>
  <c r="EQ2" i="2"/>
  <c r="EA2" i="2"/>
  <c r="DK2" i="2"/>
  <c r="CU2" i="2"/>
  <c r="CE2" i="2"/>
  <c r="BO2" i="2"/>
  <c r="AY2" i="2"/>
  <c r="AI2" i="2"/>
  <c r="S2" i="2"/>
  <c r="EX6" i="2"/>
  <c r="EH6" i="2"/>
  <c r="DR6" i="2"/>
  <c r="DB6" i="2"/>
  <c r="CL6" i="2"/>
  <c r="BV6" i="2"/>
  <c r="BF6" i="2"/>
  <c r="AP6" i="2"/>
  <c r="Z6" i="2"/>
  <c r="J6" i="2"/>
  <c r="EN5" i="2"/>
  <c r="DX5" i="2"/>
  <c r="DH5" i="2"/>
  <c r="CR5" i="2"/>
  <c r="CB5" i="2"/>
  <c r="BL5" i="2"/>
  <c r="ET4" i="2"/>
  <c r="ED4" i="2"/>
  <c r="DN4" i="2"/>
  <c r="CX4" i="2"/>
  <c r="CH4" i="2"/>
  <c r="BR4" i="2"/>
  <c r="BB4" i="2"/>
  <c r="EZ3" i="2"/>
  <c r="EJ3" i="2"/>
  <c r="DT3" i="2"/>
  <c r="DD3" i="2"/>
  <c r="CN3" i="2"/>
  <c r="BX3" i="2"/>
  <c r="BH3" i="2"/>
  <c r="AR3" i="2"/>
  <c r="AB3" i="2"/>
  <c r="L3" i="2"/>
  <c r="EP2" i="2"/>
  <c r="DZ2" i="2"/>
  <c r="DJ2" i="2"/>
  <c r="CT2" i="2"/>
  <c r="CD2" i="2"/>
  <c r="BN2" i="2"/>
  <c r="AX2" i="2"/>
  <c r="AH2" i="2"/>
  <c r="R2" i="2"/>
  <c r="EW6" i="2"/>
  <c r="EG6" i="2"/>
  <c r="DQ6" i="2"/>
  <c r="DA6" i="2"/>
  <c r="CK6" i="2"/>
  <c r="BU6" i="2"/>
  <c r="BE6" i="2"/>
  <c r="AO6" i="2"/>
  <c r="Y6" i="2"/>
  <c r="I6" i="2"/>
  <c r="EM5" i="2"/>
  <c r="DW5" i="2"/>
  <c r="DG5" i="2"/>
  <c r="CQ5" i="2"/>
  <c r="CA5" i="2"/>
  <c r="BK5" i="2"/>
  <c r="AU5" i="2"/>
  <c r="AE5" i="2"/>
  <c r="O5" i="2"/>
  <c r="ES4" i="2"/>
  <c r="EC4" i="2"/>
  <c r="DM4" i="2"/>
  <c r="CW4" i="2"/>
  <c r="CG4" i="2"/>
  <c r="BQ4" i="2"/>
  <c r="BA4" i="2"/>
  <c r="AK4" i="2"/>
  <c r="U4" i="2"/>
  <c r="EY3" i="2"/>
  <c r="EI3" i="2"/>
  <c r="DS3" i="2"/>
  <c r="DC3" i="2"/>
  <c r="CM3" i="2"/>
  <c r="BW3" i="2"/>
  <c r="BG3" i="2"/>
  <c r="AQ3" i="2"/>
  <c r="AA3" i="2"/>
  <c r="K3" i="2"/>
  <c r="EO2" i="2"/>
  <c r="DY2" i="2"/>
  <c r="DI2" i="2"/>
  <c r="CS2" i="2"/>
  <c r="CC2" i="2"/>
  <c r="BM2" i="2"/>
  <c r="AW2" i="2"/>
  <c r="AG2" i="2"/>
  <c r="Q2" i="2"/>
  <c r="EL6" i="2"/>
  <c r="EV6" i="2"/>
  <c r="EF6" i="2"/>
  <c r="DP6" i="2"/>
  <c r="CZ6" i="2"/>
  <c r="CJ6" i="2"/>
  <c r="BT6" i="2"/>
  <c r="BD6" i="2"/>
  <c r="AN6" i="2"/>
  <c r="X6" i="2"/>
  <c r="H6" i="2"/>
  <c r="EL5" i="2"/>
  <c r="DV5" i="2"/>
  <c r="DF5" i="2"/>
  <c r="CP5" i="2"/>
  <c r="BZ5" i="2"/>
  <c r="BJ5" i="2"/>
  <c r="AT5" i="2"/>
  <c r="AD5" i="2"/>
  <c r="N5" i="2"/>
  <c r="ER4" i="2"/>
  <c r="EB4" i="2"/>
  <c r="DL4" i="2"/>
  <c r="CV4" i="2"/>
  <c r="CF4" i="2"/>
  <c r="BP4" i="2"/>
  <c r="AZ4" i="2"/>
  <c r="AJ4" i="2"/>
  <c r="T4" i="2"/>
  <c r="EX3" i="2"/>
  <c r="EH3" i="2"/>
  <c r="DR3" i="2"/>
  <c r="DB3" i="2"/>
  <c r="CL3" i="2"/>
  <c r="BV3" i="2"/>
  <c r="BF3" i="2"/>
  <c r="AP3" i="2"/>
  <c r="Z3" i="2"/>
  <c r="J3" i="2"/>
  <c r="EN2" i="2"/>
  <c r="DX2" i="2"/>
  <c r="DH2" i="2"/>
  <c r="CR2" i="2"/>
  <c r="CB2" i="2"/>
  <c r="BL2" i="2"/>
  <c r="EU6" i="2"/>
  <c r="EE6" i="2"/>
  <c r="DO6" i="2"/>
  <c r="CY6" i="2"/>
  <c r="CI6" i="2"/>
  <c r="BS6" i="2"/>
  <c r="BC6" i="2"/>
  <c r="AM6" i="2"/>
  <c r="EK5" i="2"/>
  <c r="DU5" i="2"/>
  <c r="DE5" i="2"/>
  <c r="CO5" i="2"/>
  <c r="BY5" i="2"/>
  <c r="BI5" i="2"/>
  <c r="AS5" i="2"/>
  <c r="AC5" i="2"/>
  <c r="M5" i="2"/>
  <c r="EQ4" i="2"/>
  <c r="EA4" i="2"/>
  <c r="DK4" i="2"/>
  <c r="CU4" i="2"/>
  <c r="CE4" i="2"/>
  <c r="BO4" i="2"/>
  <c r="AY4" i="2"/>
  <c r="AI4" i="2"/>
  <c r="S4" i="2"/>
  <c r="EW3" i="2"/>
  <c r="EG3" i="2"/>
  <c r="DQ3" i="2"/>
  <c r="DA3" i="2"/>
  <c r="CK3" i="2"/>
  <c r="BU3" i="2"/>
  <c r="BE3" i="2"/>
  <c r="AO3" i="2"/>
  <c r="Y3" i="2"/>
  <c r="I3" i="2"/>
  <c r="EM2" i="2"/>
  <c r="DW2" i="2"/>
  <c r="DG2" i="2"/>
  <c r="CQ2" i="2"/>
  <c r="CA2" i="2"/>
  <c r="BK2" i="2"/>
  <c r="AU2" i="2"/>
  <c r="AE2" i="2"/>
  <c r="O2" i="2"/>
  <c r="ET6" i="2"/>
  <c r="ED6" i="2"/>
  <c r="DN6" i="2"/>
  <c r="CX6" i="2"/>
  <c r="CH6" i="2"/>
  <c r="BR6" i="2"/>
  <c r="BB6" i="2"/>
  <c r="EZ5" i="2"/>
  <c r="EJ5" i="2"/>
  <c r="DT5" i="2"/>
  <c r="DD5" i="2"/>
  <c r="CN5" i="2"/>
  <c r="BX5" i="2"/>
  <c r="BH5" i="2"/>
  <c r="AR5" i="2"/>
  <c r="AB5" i="2"/>
  <c r="L5" i="2"/>
  <c r="EP4" i="2"/>
  <c r="DZ4" i="2"/>
  <c r="DJ4" i="2"/>
  <c r="CT4" i="2"/>
  <c r="CD4" i="2"/>
  <c r="BN4" i="2"/>
  <c r="AX4" i="2"/>
  <c r="AH4" i="2"/>
  <c r="R4" i="2"/>
  <c r="EV3" i="2"/>
  <c r="EF3" i="2"/>
  <c r="DP3" i="2"/>
  <c r="CZ3" i="2"/>
  <c r="CJ3" i="2"/>
  <c r="BT3" i="2"/>
  <c r="BD3" i="2"/>
  <c r="AN3" i="2"/>
  <c r="X3" i="2"/>
  <c r="H3" i="2"/>
  <c r="EL2" i="2"/>
  <c r="DV2" i="2"/>
  <c r="DF2" i="2"/>
  <c r="CP2" i="2"/>
  <c r="BZ2" i="2"/>
  <c r="BJ2" i="2"/>
  <c r="AT2" i="2"/>
  <c r="AD2" i="2"/>
  <c r="N2" i="2"/>
  <c r="ES6" i="2"/>
  <c r="EC6" i="2"/>
  <c r="DM6" i="2"/>
  <c r="CW6" i="2"/>
  <c r="CG6" i="2"/>
  <c r="BQ6" i="2"/>
  <c r="BA6" i="2"/>
  <c r="AK6" i="2"/>
  <c r="U6" i="2"/>
  <c r="EY5" i="2"/>
  <c r="EI5" i="2"/>
  <c r="DS5" i="2"/>
  <c r="DC5" i="2"/>
  <c r="CM5" i="2"/>
  <c r="BW5" i="2"/>
  <c r="BG5" i="2"/>
  <c r="AQ5" i="2"/>
  <c r="AA5" i="2"/>
  <c r="K5" i="2"/>
  <c r="EO4" i="2"/>
  <c r="DY4" i="2"/>
  <c r="DI4" i="2"/>
  <c r="CS4" i="2"/>
  <c r="CC4" i="2"/>
  <c r="BM4" i="2"/>
  <c r="AW4" i="2"/>
  <c r="AG4" i="2"/>
  <c r="Q4" i="2"/>
  <c r="EU3" i="2"/>
  <c r="EE3" i="2"/>
  <c r="DO3" i="2"/>
  <c r="CY3" i="2"/>
  <c r="CI3" i="2"/>
  <c r="BS3" i="2"/>
  <c r="BC3" i="2"/>
  <c r="AM3" i="2"/>
  <c r="EK2" i="2"/>
  <c r="DU2" i="2"/>
  <c r="DE2" i="2"/>
  <c r="CO2" i="2"/>
  <c r="BY2" i="2"/>
  <c r="BI2" i="2"/>
  <c r="AS2" i="2"/>
  <c r="AC2" i="2"/>
  <c r="M2" i="2"/>
  <c r="ER6" i="2"/>
  <c r="EB6" i="2"/>
  <c r="DL6" i="2"/>
  <c r="CV6" i="2"/>
  <c r="CF6" i="2"/>
  <c r="BP6" i="2"/>
  <c r="AZ6" i="2"/>
  <c r="AJ6" i="2"/>
  <c r="T6" i="2"/>
  <c r="EX5" i="2"/>
  <c r="EH5" i="2"/>
  <c r="DR5" i="2"/>
  <c r="DB5" i="2"/>
  <c r="CL5" i="2"/>
  <c r="BV5" i="2"/>
  <c r="BF5" i="2"/>
  <c r="AP5" i="2"/>
  <c r="Z5" i="2"/>
  <c r="J5" i="2"/>
  <c r="EN4" i="2"/>
  <c r="DX4" i="2"/>
  <c r="DH4" i="2"/>
  <c r="CR4" i="2"/>
  <c r="CB4" i="2"/>
  <c r="BL4" i="2"/>
  <c r="ET3" i="2"/>
  <c r="ED3" i="2"/>
  <c r="DN3" i="2"/>
  <c r="CX3" i="2"/>
  <c r="CH3" i="2"/>
  <c r="BR3" i="2"/>
  <c r="BB3" i="2"/>
  <c r="EZ2" i="2"/>
  <c r="EJ2" i="2"/>
  <c r="DT2" i="2"/>
  <c r="DD2" i="2"/>
  <c r="CN2" i="2"/>
  <c r="BX2" i="2"/>
  <c r="BH2" i="2"/>
  <c r="AR2" i="2"/>
  <c r="AB2" i="2"/>
  <c r="L2" i="2"/>
  <c r="EQ6" i="2"/>
  <c r="EA6" i="2"/>
  <c r="DK6" i="2"/>
  <c r="CU6" i="2"/>
  <c r="CE6" i="2"/>
  <c r="BO6" i="2"/>
  <c r="AY6" i="2"/>
  <c r="AI6" i="2"/>
  <c r="S6" i="2"/>
  <c r="EW5" i="2"/>
  <c r="EG5" i="2"/>
  <c r="DQ5" i="2"/>
  <c r="DA5" i="2"/>
  <c r="CK5" i="2"/>
  <c r="BU5" i="2"/>
  <c r="BE5" i="2"/>
  <c r="AO5" i="2"/>
  <c r="Y5" i="2"/>
  <c r="I5" i="2"/>
  <c r="EM4" i="2"/>
  <c r="DW4" i="2"/>
  <c r="DG4" i="2"/>
  <c r="CQ4" i="2"/>
  <c r="CA4" i="2"/>
  <c r="BK4" i="2"/>
  <c r="AU4" i="2"/>
  <c r="AE4" i="2"/>
  <c r="O4" i="2"/>
  <c r="ES3" i="2"/>
  <c r="EC3" i="2"/>
  <c r="DM3" i="2"/>
  <c r="CW3" i="2"/>
  <c r="CG3" i="2"/>
  <c r="BQ3" i="2"/>
  <c r="BA3" i="2"/>
  <c r="AK3" i="2"/>
  <c r="U3" i="2"/>
  <c r="EY2" i="2"/>
  <c r="EI2" i="2"/>
  <c r="DS2" i="2"/>
  <c r="DC2" i="2"/>
  <c r="CM2" i="2"/>
  <c r="BW2" i="2"/>
  <c r="BG2" i="2"/>
  <c r="AQ2" i="2"/>
  <c r="AA2" i="2"/>
  <c r="K2" i="2"/>
  <c r="EP6" i="2"/>
  <c r="DZ6" i="2"/>
  <c r="DJ6" i="2"/>
  <c r="CT6" i="2"/>
  <c r="CD6" i="2"/>
  <c r="BN6" i="2"/>
  <c r="AX6" i="2"/>
  <c r="AH6" i="2"/>
  <c r="R6" i="2"/>
  <c r="EV5" i="2"/>
  <c r="EF5" i="2"/>
  <c r="DP5" i="2"/>
  <c r="CZ5" i="2"/>
  <c r="CJ5" i="2"/>
  <c r="BT5" i="2"/>
  <c r="BD5" i="2"/>
  <c r="AN5" i="2"/>
  <c r="X5" i="2"/>
  <c r="H5" i="2"/>
  <c r="EO6" i="2"/>
  <c r="DY6" i="2"/>
  <c r="DI6" i="2"/>
  <c r="CS6" i="2"/>
  <c r="CC6" i="2"/>
  <c r="BM6" i="2"/>
  <c r="AW6" i="2"/>
  <c r="AG6" i="2"/>
  <c r="Q6" i="2"/>
  <c r="EU5" i="2"/>
  <c r="EE5" i="2"/>
  <c r="DO5" i="2"/>
  <c r="CY5" i="2"/>
  <c r="CI5" i="2"/>
  <c r="BS5" i="2"/>
  <c r="BC5" i="2"/>
  <c r="AM5" i="2"/>
  <c r="EX10" i="2"/>
  <c r="EX9" i="2"/>
  <c r="EX8" i="2"/>
  <c r="ET10" i="2"/>
  <c r="ET9" i="2"/>
  <c r="ET8" i="2"/>
  <c r="EF10" i="2"/>
  <c r="EF9" i="2"/>
  <c r="EF8" i="2"/>
  <c r="EB10" i="2"/>
  <c r="EB9" i="2"/>
  <c r="EB8" i="2"/>
  <c r="DP10" i="2"/>
  <c r="DP9" i="2"/>
  <c r="DP8" i="2"/>
  <c r="DD10" i="2"/>
  <c r="DD9" i="2"/>
  <c r="DD8" i="2"/>
  <c r="CP10" i="2"/>
  <c r="CP9" i="2"/>
  <c r="CP8" i="2"/>
  <c r="CL10" i="2"/>
  <c r="CL9" i="2"/>
  <c r="CL8" i="2"/>
  <c r="CD10" i="2"/>
  <c r="CD9" i="2"/>
  <c r="CD8" i="2"/>
  <c r="BX10" i="2"/>
  <c r="BX9" i="2"/>
  <c r="BX8" i="2"/>
  <c r="BP10" i="2"/>
  <c r="BP9" i="2"/>
  <c r="BP8" i="2"/>
  <c r="BH10" i="2"/>
  <c r="BH9" i="2"/>
  <c r="BH8" i="2"/>
  <c r="AZ10" i="2"/>
  <c r="AZ9" i="2"/>
  <c r="AZ8" i="2"/>
  <c r="AF10" i="2"/>
  <c r="AF9" i="2"/>
  <c r="AF8" i="2"/>
  <c r="S10" i="2"/>
  <c r="S9" i="2"/>
  <c r="S8" i="2"/>
  <c r="G9" i="2"/>
  <c r="G8" i="2"/>
  <c r="G10" i="2"/>
  <c r="FA2" i="23" l="1"/>
  <c r="FG29" i="23" l="1"/>
  <c r="FG37" i="23"/>
  <c r="FG45" i="23"/>
  <c r="FG8" i="23"/>
  <c r="FG17" i="23"/>
  <c r="FG25" i="23"/>
  <c r="FG33" i="23"/>
  <c r="FG41" i="23"/>
  <c r="FG42" i="23"/>
  <c r="FG50" i="23"/>
  <c r="FC25" i="23"/>
  <c r="FD25" i="23" s="1"/>
  <c r="FG21" i="23" l="1"/>
  <c r="FG46" i="23"/>
  <c r="FG51" i="23"/>
  <c r="FG18" i="23"/>
  <c r="FG49" i="23"/>
  <c r="FG16" i="23"/>
  <c r="FC19" i="23"/>
  <c r="FD19" i="23" s="1"/>
  <c r="FG9" i="23"/>
  <c r="FG13" i="23"/>
  <c r="FG22" i="23"/>
  <c r="FG26" i="23"/>
  <c r="FG30" i="23"/>
  <c r="FG10" i="23"/>
  <c r="FG39" i="23"/>
  <c r="FG47" i="23"/>
  <c r="FG5" i="23"/>
  <c r="FC4" i="23"/>
  <c r="FD4" i="23" s="1"/>
  <c r="FG4" i="23"/>
  <c r="FG14" i="23"/>
  <c r="FG6" i="23"/>
  <c r="FG7" i="23"/>
  <c r="FC47" i="23"/>
  <c r="FD47" i="23" s="1"/>
  <c r="FC24" i="23"/>
  <c r="FD24" i="23" s="1"/>
  <c r="FC22" i="23"/>
  <c r="FD22" i="23" s="1"/>
  <c r="FG34" i="23"/>
  <c r="FG38" i="23"/>
  <c r="FG53" i="23"/>
  <c r="FC14" i="23"/>
  <c r="FD14" i="23" s="1"/>
  <c r="FC28" i="23"/>
  <c r="FD28" i="23" s="1"/>
  <c r="FC37" i="23"/>
  <c r="FD37" i="23" s="1"/>
  <c r="FC20" i="23"/>
  <c r="FD20" i="23" s="1"/>
  <c r="FC30" i="23"/>
  <c r="FD30" i="23" s="1"/>
  <c r="FC18" i="23"/>
  <c r="FD18" i="23" s="1"/>
  <c r="FC36" i="23"/>
  <c r="FD36" i="23" s="1"/>
  <c r="FC48" i="23"/>
  <c r="FD48" i="23" s="1"/>
  <c r="FG31" i="23"/>
  <c r="FG27" i="23"/>
  <c r="FG23" i="23"/>
  <c r="FG19" i="23"/>
  <c r="FG48" i="23"/>
  <c r="FG15" i="23"/>
  <c r="FG35" i="23"/>
  <c r="FC45" i="23"/>
  <c r="FD45" i="23" s="1"/>
  <c r="FC9" i="23"/>
  <c r="FD9" i="23" s="1"/>
  <c r="FC46" i="23"/>
  <c r="FD46" i="23" s="1"/>
  <c r="FC8" i="23"/>
  <c r="FD8" i="23" s="1"/>
  <c r="FC33" i="23"/>
  <c r="FD33" i="23" s="1"/>
  <c r="FC17" i="23"/>
  <c r="FD17" i="23" s="1"/>
  <c r="FC7" i="23"/>
  <c r="FD7" i="23" s="1"/>
  <c r="FC34" i="23"/>
  <c r="FD34" i="23" s="1"/>
  <c r="FC52" i="23"/>
  <c r="FD52" i="23" s="1"/>
  <c r="FG11" i="23"/>
  <c r="FG40" i="23"/>
  <c r="FC15" i="23"/>
  <c r="FD15" i="23" s="1"/>
  <c r="FC40" i="23"/>
  <c r="FD40" i="23" s="1"/>
  <c r="FC21" i="23"/>
  <c r="FD21" i="23" s="1"/>
  <c r="FC5" i="23"/>
  <c r="FD5" i="23" s="1"/>
  <c r="FC41" i="23"/>
  <c r="FD41" i="23" s="1"/>
  <c r="FC13" i="23"/>
  <c r="FD13" i="23" s="1"/>
  <c r="FC43" i="23"/>
  <c r="FD43" i="23" s="1"/>
  <c r="FC39" i="23"/>
  <c r="FD39" i="23" s="1"/>
  <c r="FC6" i="23"/>
  <c r="FD6" i="23" s="1"/>
  <c r="FC35" i="23"/>
  <c r="FD35" i="23" s="1"/>
  <c r="FC12" i="23"/>
  <c r="FD12" i="23" s="1"/>
  <c r="FC29" i="23"/>
  <c r="FD29" i="23" s="1"/>
  <c r="FC16" i="23"/>
  <c r="FD16" i="23" s="1"/>
  <c r="FC32" i="23"/>
  <c r="FD32" i="23" s="1"/>
  <c r="FG43" i="23"/>
  <c r="FC27" i="23"/>
  <c r="FD27" i="23" s="1"/>
  <c r="FC38" i="23"/>
  <c r="FD38" i="23" s="1"/>
  <c r="FC44" i="23"/>
  <c r="FD44" i="23" s="1"/>
  <c r="FC49" i="23"/>
  <c r="FD49" i="23" s="1"/>
  <c r="FC23" i="23"/>
  <c r="FD23" i="23" s="1"/>
  <c r="FC50" i="23"/>
  <c r="FD50" i="23" s="1"/>
  <c r="FG32" i="23"/>
  <c r="FG52" i="23"/>
  <c r="FC42" i="23"/>
  <c r="FD42" i="23" s="1"/>
  <c r="FC31" i="23"/>
  <c r="FD31" i="23" s="1"/>
  <c r="FC51" i="23"/>
  <c r="FD51" i="23" s="1"/>
  <c r="FC11" i="23"/>
  <c r="FD11" i="23" s="1"/>
  <c r="FC53" i="23"/>
  <c r="FD53" i="23" s="1"/>
  <c r="FC10" i="23"/>
  <c r="FD10" i="23" s="1"/>
  <c r="FC26" i="23"/>
  <c r="FD26" i="23" s="1"/>
  <c r="FG24" i="23"/>
  <c r="FG44" i="23"/>
  <c r="FG36" i="23"/>
  <c r="FG28" i="23"/>
  <c r="FG20" i="23"/>
  <c r="FG12" i="23"/>
  <c r="K61" i="23" l="1"/>
  <c r="K62" i="23"/>
  <c r="K63" i="23"/>
  <c r="L62" i="23"/>
  <c r="L61" i="23"/>
  <c r="L63" i="23"/>
  <c r="N61" i="23"/>
  <c r="N63" i="23"/>
  <c r="N62" i="23"/>
  <c r="Q63" i="23"/>
  <c r="Q61" i="23"/>
  <c r="Q62" i="23"/>
  <c r="P61" i="23"/>
  <c r="P63" i="23"/>
  <c r="P62" i="23"/>
  <c r="M63" i="23"/>
  <c r="M61" i="23"/>
  <c r="M62" i="23"/>
  <c r="O61" i="23"/>
  <c r="O62" i="23"/>
  <c r="O63" i="23"/>
  <c r="J61" i="23"/>
  <c r="J62" i="23"/>
  <c r="J63" i="23"/>
  <c r="FJ4" i="23"/>
  <c r="FJ5" i="23"/>
  <c r="FJ6" i="23"/>
  <c r="FJ7" i="23" l="1"/>
  <c r="FK4" i="23" s="1"/>
  <c r="FK5" i="23" l="1"/>
  <c r="FK6" i="23"/>
</calcChain>
</file>

<file path=xl/sharedStrings.xml><?xml version="1.0" encoding="utf-8"?>
<sst xmlns="http://schemas.openxmlformats.org/spreadsheetml/2006/main" count="8384" uniqueCount="339">
  <si>
    <t>Id</t>
  </si>
  <si>
    <t>Nombre del Producto</t>
  </si>
  <si>
    <t>Fabricante</t>
  </si>
  <si>
    <t>Fecha Elaboración</t>
  </si>
  <si>
    <t>Item_1_0</t>
  </si>
  <si>
    <t>Calidad_1_0</t>
  </si>
  <si>
    <t>Item_1_1</t>
  </si>
  <si>
    <t>Calidad_1_1</t>
  </si>
  <si>
    <t>Item_1_2</t>
  </si>
  <si>
    <t>Calidad_1_2</t>
  </si>
  <si>
    <t>Item_1_3</t>
  </si>
  <si>
    <t>Calidad_1_3</t>
  </si>
  <si>
    <t>Item_1_4</t>
  </si>
  <si>
    <t>Calidad_1_4</t>
  </si>
  <si>
    <t>Item_1_5</t>
  </si>
  <si>
    <t>Calidad_1_5</t>
  </si>
  <si>
    <t>Item_2_0</t>
  </si>
  <si>
    <t>Calidad_2_0</t>
  </si>
  <si>
    <t>Item_2_1</t>
  </si>
  <si>
    <t>Calidad_2_1</t>
  </si>
  <si>
    <t>Item_2_1_1</t>
  </si>
  <si>
    <t>Calidad_2_1_1</t>
  </si>
  <si>
    <t>Item_2_1_2</t>
  </si>
  <si>
    <t>Calidad_2_1_2</t>
  </si>
  <si>
    <t>Item_2_1_3</t>
  </si>
  <si>
    <t>Calidad_2_1_3</t>
  </si>
  <si>
    <t>Item_2_1_4</t>
  </si>
  <si>
    <t>Calidad_2_1_4</t>
  </si>
  <si>
    <t>Item_2_2</t>
  </si>
  <si>
    <t>Calidad_2_2</t>
  </si>
  <si>
    <t>Item_3_0</t>
  </si>
  <si>
    <t>Calidad_3_0</t>
  </si>
  <si>
    <t>Item_3_1_1</t>
  </si>
  <si>
    <t>Calidad_3_1_1</t>
  </si>
  <si>
    <t>Item_3_1_1_1</t>
  </si>
  <si>
    <t>Calidad_3_1_1_1</t>
  </si>
  <si>
    <t>Item_3_1_1_2</t>
  </si>
  <si>
    <t>Calidad_3_1_1_2</t>
  </si>
  <si>
    <t>Item_3_1_1_3</t>
  </si>
  <si>
    <t>Calidad_3_1_1_3</t>
  </si>
  <si>
    <t>Item_3_2_1</t>
  </si>
  <si>
    <t>Calidad_3_2_1</t>
  </si>
  <si>
    <t>Item_3_2_1_1</t>
  </si>
  <si>
    <t>Calidad_3_2_1_1</t>
  </si>
  <si>
    <t>Item_3_2_1_2</t>
  </si>
  <si>
    <t>Calidad_3_2_1_2</t>
  </si>
  <si>
    <t>Calidad_3_5</t>
  </si>
  <si>
    <t>Item_3_2_1_3</t>
  </si>
  <si>
    <t>Calidad_3_2_1_3</t>
  </si>
  <si>
    <t>Item_4_0</t>
  </si>
  <si>
    <t>Calidad_4_0</t>
  </si>
  <si>
    <t>Item_4_1</t>
  </si>
  <si>
    <t>Calidad_4_1</t>
  </si>
  <si>
    <t>Item_4_2</t>
  </si>
  <si>
    <t>Calidad_4_2</t>
  </si>
  <si>
    <t>Item_4_3</t>
  </si>
  <si>
    <t>Calidad_4_3</t>
  </si>
  <si>
    <t>Item_5_0</t>
  </si>
  <si>
    <t>Calidad_5_0</t>
  </si>
  <si>
    <t>Item_5_1</t>
  </si>
  <si>
    <t>Calidad_5_1</t>
  </si>
  <si>
    <t>Item_5_2</t>
  </si>
  <si>
    <t>Calidad_5_2</t>
  </si>
  <si>
    <t>Item_5_3</t>
  </si>
  <si>
    <t>Calidad_5_3</t>
  </si>
  <si>
    <t>Item_6_0</t>
  </si>
  <si>
    <t>Calidad_6_0</t>
  </si>
  <si>
    <t>Item_6_1</t>
  </si>
  <si>
    <t>Calidad_6_1</t>
  </si>
  <si>
    <t>Item_6_2</t>
  </si>
  <si>
    <t>Calidad_6_2</t>
  </si>
  <si>
    <t>Item_6_3</t>
  </si>
  <si>
    <t>Calidad_6_3</t>
  </si>
  <si>
    <t>Item_7_0</t>
  </si>
  <si>
    <t>Calidad_7_0</t>
  </si>
  <si>
    <t>Item_7_1</t>
  </si>
  <si>
    <t>Calidad_7_1</t>
  </si>
  <si>
    <t>Item_7_2</t>
  </si>
  <si>
    <t>Calidad_7_2</t>
  </si>
  <si>
    <t>Item_8_0</t>
  </si>
  <si>
    <t>Calidad_8_0</t>
  </si>
  <si>
    <t>Item_8_1</t>
  </si>
  <si>
    <t>Calidad_8_1</t>
  </si>
  <si>
    <t>Item_8_2</t>
  </si>
  <si>
    <t>Calidad_8_2</t>
  </si>
  <si>
    <t>Item_8_3</t>
  </si>
  <si>
    <t>Calidad_8_3</t>
  </si>
  <si>
    <t>Item_9_0</t>
  </si>
  <si>
    <t>Calidad_9_0</t>
  </si>
  <si>
    <t>Item_9_1</t>
  </si>
  <si>
    <t>Calidad_9_1</t>
  </si>
  <si>
    <t>Item_10_0</t>
  </si>
  <si>
    <t>Calidad_10_0</t>
  </si>
  <si>
    <t>Item_11_0</t>
  </si>
  <si>
    <t>Calidad_11_0</t>
  </si>
  <si>
    <t>Item_11_1</t>
  </si>
  <si>
    <t>Calidad_11_1</t>
  </si>
  <si>
    <t>Item_11_2</t>
  </si>
  <si>
    <t>Calidad_11_2</t>
  </si>
  <si>
    <t>Item_11_3</t>
  </si>
  <si>
    <t>Calidad_11_3</t>
  </si>
  <si>
    <t>Item_11_4</t>
  </si>
  <si>
    <t>Calidad_11_4</t>
  </si>
  <si>
    <t>Item_11_5</t>
  </si>
  <si>
    <t>Calidad_11_5</t>
  </si>
  <si>
    <t>Item_12_0</t>
  </si>
  <si>
    <t>Calidad_12_0</t>
  </si>
  <si>
    <t>Item_12_1</t>
  </si>
  <si>
    <t>Calidad_12_1</t>
  </si>
  <si>
    <t>Item_12_2</t>
  </si>
  <si>
    <t>Calidad_12_2</t>
  </si>
  <si>
    <t>Item_12_3</t>
  </si>
  <si>
    <t>Calidad_12_3</t>
  </si>
  <si>
    <t>Item_12_4</t>
  </si>
  <si>
    <t>Calidad_12_4</t>
  </si>
  <si>
    <t>Item_12_5</t>
  </si>
  <si>
    <t>Calidad_12_5</t>
  </si>
  <si>
    <t>Item_13_0</t>
  </si>
  <si>
    <t>Calidad_13_0</t>
  </si>
  <si>
    <t>Item_13_1</t>
  </si>
  <si>
    <t>Calidad_13_1</t>
  </si>
  <si>
    <t>Item_14_0</t>
  </si>
  <si>
    <t>Calidad_14_0</t>
  </si>
  <si>
    <t>Item_14_1</t>
  </si>
  <si>
    <t>Calidad_14_1</t>
  </si>
  <si>
    <t>Item_14_2</t>
  </si>
  <si>
    <t>Calidad_14_2</t>
  </si>
  <si>
    <t>Item_14_3</t>
  </si>
  <si>
    <t>Calidad_14_3</t>
  </si>
  <si>
    <t>Item_14_4</t>
  </si>
  <si>
    <t>Calidad_14_4</t>
  </si>
  <si>
    <t>Item_14_5</t>
  </si>
  <si>
    <t>Calidad_14_5</t>
  </si>
  <si>
    <t>Item_14_6</t>
  </si>
  <si>
    <t>Calidad_14_6</t>
  </si>
  <si>
    <t>Item_15_0</t>
  </si>
  <si>
    <t>Calidad_15_0</t>
  </si>
  <si>
    <t>Item_15_1</t>
  </si>
  <si>
    <t>Calidad_15_1</t>
  </si>
  <si>
    <t>Item_16_0</t>
  </si>
  <si>
    <t>Calidad_16_0</t>
  </si>
  <si>
    <t>Item_16_1</t>
  </si>
  <si>
    <t>Calidad_16_1</t>
  </si>
  <si>
    <t>Presente</t>
  </si>
  <si>
    <t>Confiable</t>
  </si>
  <si>
    <t>Conf_CR</t>
  </si>
  <si>
    <t>No Present</t>
  </si>
  <si>
    <t>NO_Conf</t>
  </si>
  <si>
    <t>CRC</t>
  </si>
  <si>
    <t>Pintuco</t>
  </si>
  <si>
    <t>Criterios</t>
  </si>
  <si>
    <t>Porcentaje de Cumplimiento del Contenido de los Items</t>
  </si>
  <si>
    <t>Item</t>
  </si>
  <si>
    <t>Calidad</t>
  </si>
  <si>
    <t>%</t>
  </si>
  <si>
    <t xml:space="preserve">Calidad del Contenido de los Items de la Sección </t>
  </si>
  <si>
    <t xml:space="preserve"> de las FDS Analizadas</t>
  </si>
  <si>
    <t xml:space="preserve">Contenido de los Items de la Sección </t>
  </si>
  <si>
    <t xml:space="preserve"> de la FDS</t>
  </si>
  <si>
    <t>Titulo Y</t>
  </si>
  <si>
    <t>Titulo 1/2</t>
  </si>
  <si>
    <t>Titulo 2/2</t>
  </si>
  <si>
    <t>Titulo X 2/2</t>
  </si>
  <si>
    <t>Titulo X 1/2</t>
  </si>
  <si>
    <t>Numero de FDS Con Sección Presente</t>
  </si>
  <si>
    <t>Secciones Presente en las FDS Analizadas</t>
  </si>
  <si>
    <t>Secciones de la FDS</t>
  </si>
  <si>
    <t>KORAZA BLANCO 2650 10015206-10016171</t>
  </si>
  <si>
    <t>KORAZA NEGRO 20380 10016550</t>
  </si>
  <si>
    <t>KORAZA PRO 550 BLANCO 10350789-10289257</t>
  </si>
  <si>
    <t>PINTURA ANTICORROSIVA GRIS 507 10014333</t>
  </si>
  <si>
    <t>PINTUTRAFICO ACRILICO BASE 1 G10115022</t>
  </si>
  <si>
    <t>PINTUTRAFICO ALQUIDICO AMARILLO 659 10012970</t>
  </si>
  <si>
    <t>PINTURA EPOXI POLIAMIDA BLANCO 13243</t>
  </si>
  <si>
    <t>R-O QT 2PK LATAM CHALKED PAINT LINEN WHT</t>
  </si>
  <si>
    <t>RUST-OLEUM CORPORATION</t>
  </si>
  <si>
    <t>R-O QT 2PK LATAM CHALKED PAINT CHARCOAL</t>
  </si>
  <si>
    <t>GrafClean FRONT Premium</t>
  </si>
  <si>
    <t>IEDISA</t>
  </si>
  <si>
    <t>Ecosphere Premium</t>
  </si>
  <si>
    <t>3615SM 19LT CONVERTIDOR UNIVERSAL</t>
  </si>
  <si>
    <t>AXALTA</t>
  </si>
  <si>
    <t>Esmalte Uretano Comp. A</t>
  </si>
  <si>
    <t>SIKA</t>
  </si>
  <si>
    <t>IW140 .750L TRANSPARENTE KRISTALITY</t>
  </si>
  <si>
    <t>R-O QT 2PK LATAM CHALKED PAINT B CORAL</t>
  </si>
  <si>
    <t>TECNIDECOR</t>
  </si>
  <si>
    <t>Industrial</t>
  </si>
  <si>
    <t>Domestica</t>
  </si>
  <si>
    <t>#</t>
  </si>
  <si>
    <t>FABRICANTE 6</t>
  </si>
  <si>
    <t>FABRICANTE 1</t>
  </si>
  <si>
    <t>FABRICANTE 5</t>
  </si>
  <si>
    <t>FABRICANTE 2</t>
  </si>
  <si>
    <t>FABRICANTE 3</t>
  </si>
  <si>
    <t>FABRICANTE 8</t>
  </si>
  <si>
    <t>FABRICANTE 7</t>
  </si>
  <si>
    <t>FABRICANTE 4</t>
  </si>
  <si>
    <t>Uso</t>
  </si>
  <si>
    <t>Producto</t>
  </si>
  <si>
    <t>Cod Prod</t>
  </si>
  <si>
    <t>fehca</t>
  </si>
  <si>
    <t>PINTURA ANTIDESLIZANTE PARA CANCHAS DEPORTIVAS</t>
  </si>
  <si>
    <t>Corlar 2.8 HG Epóxico Alto Brillo - Base Media</t>
  </si>
  <si>
    <t>Tufcote 3.5 HH - Aluminum</t>
  </si>
  <si>
    <t>CATALIZADOR EPOXICO</t>
  </si>
  <si>
    <t>UP ARMOUR YELLOW 10-C 9M02</t>
  </si>
  <si>
    <t>R-O QT 2PK LATAM CHALKED PAINT TIDAL PND</t>
  </si>
  <si>
    <t>ESMALTE POLIURETANO</t>
  </si>
  <si>
    <t>R-O QT 2PK LATAM CHALKED PAINT1 CHARCOAL</t>
  </si>
  <si>
    <t>CATALIZADOR DURAGLASS</t>
  </si>
  <si>
    <t>OXIGEL</t>
  </si>
  <si>
    <t>ESMALTE AROFLEX BLANCO 2901 10012888</t>
  </si>
  <si>
    <t>PINTURA PARA TRAFICO ACRILICO BASE SOLVENTE BLANCO 13722 10017277-10015687</t>
  </si>
  <si>
    <t>PINTURA ANTICORROSIVA GRIS 507 10014333-10012454-10171712</t>
  </si>
  <si>
    <t>Esmalte Alquídico Serie 31</t>
  </si>
  <si>
    <t xml:space="preserve">Esmalte Epóxico Aluminio </t>
  </si>
  <si>
    <t>Epoxi 100HS Serie 300 Comp. A</t>
  </si>
  <si>
    <t xml:space="preserve">SikaWall®-401 Pintura Texturizada </t>
  </si>
  <si>
    <t>AVANTEX FACHADA</t>
  </si>
  <si>
    <t>PINTURA ACRILICA PARA TRÁFICO</t>
  </si>
  <si>
    <t xml:space="preserve">IMPRA </t>
  </si>
  <si>
    <t>SELLADOR NITROCELULOSICO</t>
  </si>
  <si>
    <t xml:space="preserve">INMUNIZANTE UNIVERSAL </t>
  </si>
  <si>
    <t>GCS Exterior Premium</t>
  </si>
  <si>
    <t xml:space="preserve">GCS Exterior Premium - Base Pastel </t>
  </si>
  <si>
    <t xml:space="preserve">GCS Interior Premium - Base Media </t>
  </si>
  <si>
    <t>Rust Proof Enamel Flat Black Spray Paint</t>
  </si>
  <si>
    <t>Pintura para Señalización Invertida – Naranja Fluorescente</t>
  </si>
  <si>
    <t>Rust Proof Enamel Machinery Light Gray Spray Paint</t>
  </si>
  <si>
    <t>Rust Proof Enamel OSHA Yellow Spray Paint</t>
  </si>
  <si>
    <t>INVESA</t>
  </si>
  <si>
    <t>Esmaltes alquídicos de secado al aire</t>
  </si>
  <si>
    <t>PINTURA EN AEROSOL SAPOLIN</t>
  </si>
  <si>
    <t>Pintura tráfico base agua</t>
  </si>
  <si>
    <t>VINICRYL</t>
  </si>
  <si>
    <t>THINNER</t>
  </si>
  <si>
    <t>FAB</t>
  </si>
  <si>
    <t>USO</t>
  </si>
  <si>
    <t>PRODUCTO 1</t>
  </si>
  <si>
    <t>PRODUCTO 2</t>
  </si>
  <si>
    <t>PRODUCTO 3</t>
  </si>
  <si>
    <t>PRODUCTO 4</t>
  </si>
  <si>
    <t>PRODUCTO 5</t>
  </si>
  <si>
    <t>nsimple</t>
  </si>
  <si>
    <t>PRODUCTO 1 - INDUSTRIAL - FABRICANTE 1</t>
  </si>
  <si>
    <t>PRODUCTO 2 - INDUSTRIAL - FABRICANTE 1</t>
  </si>
  <si>
    <t>PRODUCTO 3 - INDUSTRIAL - FABRICANTE 1</t>
  </si>
  <si>
    <t>PRODUCTO 4 - INDUSTRIAL - FABRICANTE 1</t>
  </si>
  <si>
    <t>PRODUCTO 5 - INDUSTRIAL - FABRICANTE 1</t>
  </si>
  <si>
    <t>PRODUCTO 1 - DOMESTICA - FABRICANTE 2</t>
  </si>
  <si>
    <t>PRODUCTO 2 - DOMESTICA - FABRICANTE 2</t>
  </si>
  <si>
    <t>PRODUCTO 3 - DOMESTICA - FABRICANTE 2</t>
  </si>
  <si>
    <t>PRODUCTO 4 - DOMESTICA - FABRICANTE 2</t>
  </si>
  <si>
    <t>PRODUCTO 5 - DOMESTICA - FABRICANTE 2</t>
  </si>
  <si>
    <t>PRODUCTO 1 - DOMESTICA - FABRICANTE 3</t>
  </si>
  <si>
    <t>PRODUCTO 2 - DOMESTICA - FABRICANTE 3</t>
  </si>
  <si>
    <t>PRODUCTO 3 - DOMESTICA - FABRICANTE 3</t>
  </si>
  <si>
    <t>PRODUCTO 4 - DOMESTICA - FABRICANTE 3</t>
  </si>
  <si>
    <t>PRODUCTO 5 - DOMESTICA - FABRICANTE 3</t>
  </si>
  <si>
    <t>PRODUCTO 1 - INDUSTRIAL - FABRICANTE 3</t>
  </si>
  <si>
    <t>PRODUCTO 2 - INDUSTRIAL - FABRICANTE 3</t>
  </si>
  <si>
    <t>PRODUCTO 3 - INDUSTRIAL - FABRICANTE 3</t>
  </si>
  <si>
    <t>PRODUCTO 4 - INDUSTRIAL - FABRICANTE 3</t>
  </si>
  <si>
    <t>PRODUCTO 5 - INDUSTRIAL - FABRICANTE 3</t>
  </si>
  <si>
    <t>PRODUCTO 1 - INDUSTRIAL - FABRICANTE 4</t>
  </si>
  <si>
    <t>PRODUCTO 2 - INDUSTRIAL - FABRICANTE 4</t>
  </si>
  <si>
    <t>PRODUCTO 3 - INDUSTRIAL - FABRICANTE 4</t>
  </si>
  <si>
    <t>PRODUCTO 4 - INDUSTRIAL - FABRICANTE 4</t>
  </si>
  <si>
    <t>PRODUCTO 5 - INDUSTRIAL - FABRICANTE 4</t>
  </si>
  <si>
    <t>PRODUCTO 1 - INDUSTRIAL - FABRICANTE 5</t>
  </si>
  <si>
    <t>PRODUCTO 2 - INDUSTRIAL - FABRICANTE 5</t>
  </si>
  <si>
    <t>PRODUCTO 3 - INDUSTRIAL - FABRICANTE 5</t>
  </si>
  <si>
    <t>PRODUCTO 4 - INDUSTRIAL - FABRICANTE 5</t>
  </si>
  <si>
    <t>PRODUCTO 5 - INDUSTRIAL - FABRICANTE 5</t>
  </si>
  <si>
    <t>PRODUCTO 1 - DOMESTICA - FABRICANTE 6</t>
  </si>
  <si>
    <t>PRODUCTO 2 - DOMESTICA - FABRICANTE 6</t>
  </si>
  <si>
    <t>PRODUCTO 3 - DOMESTICA - FABRICANTE 6</t>
  </si>
  <si>
    <t>PRODUCTO 4 - DOMESTICA - FABRICANTE 6</t>
  </si>
  <si>
    <t>PRODUCTO 5 - DOMESTICA - FABRICANTE 6</t>
  </si>
  <si>
    <t>PRODUCTO 1 - INDUSTRIAL - FABRICANTE 6</t>
  </si>
  <si>
    <t>PRODUCTO 2 - INDUSTRIAL - FABRICANTE 6</t>
  </si>
  <si>
    <t>PRODUCTO 3 - INDUSTRIAL - FABRICANTE 6</t>
  </si>
  <si>
    <t>PRODUCTO 4 - INDUSTRIAL - FABRICANTE 6</t>
  </si>
  <si>
    <t>PRODUCTO 5 - INDUSTRIAL - FABRICANTE 6</t>
  </si>
  <si>
    <t>PRODUCTO 1 - DOMESTICA - FABRICANTE 7</t>
  </si>
  <si>
    <t>PRODUCTO 2 - DOMESTICA - FABRICANTE 7</t>
  </si>
  <si>
    <t>PRODUCTO 3 - DOMESTICA - FABRICANTE 7</t>
  </si>
  <si>
    <t>PRODUCTO 4 - DOMESTICA - FABRICANTE 7</t>
  </si>
  <si>
    <t>PRODUCTO 5 - DOMESTICA - FABRICANTE 7</t>
  </si>
  <si>
    <t>PRODUCTO 1 - DOMESTICA - FABRICANTE 8</t>
  </si>
  <si>
    <t>PRODUCTO 2 - DOMESTICA - FABRICANTE 8</t>
  </si>
  <si>
    <t>PRODUCTO 3 - DOMESTICA - FABRICANTE 8</t>
  </si>
  <si>
    <t>PRODUCTO 4 - DOMESTICA - FABRICANTE 8</t>
  </si>
  <si>
    <t>PRODUCTO 5 - DOMESTICA - FABRICANTE 8</t>
  </si>
  <si>
    <t>All Purpose Enamel Astro Blue Spray Paint</t>
  </si>
  <si>
    <t>FDS</t>
  </si>
  <si>
    <t>Conf Sec 1</t>
  </si>
  <si>
    <t>Conf Sec 2</t>
  </si>
  <si>
    <t>Conf Sec 3</t>
  </si>
  <si>
    <t>Conf Sec 4</t>
  </si>
  <si>
    <t>Conf Sec 5</t>
  </si>
  <si>
    <t>Conf Sec 6</t>
  </si>
  <si>
    <t>Conf Sec 7</t>
  </si>
  <si>
    <t>Conf Sec 8</t>
  </si>
  <si>
    <t>Conf Sec 9</t>
  </si>
  <si>
    <t>Conf Sec 10</t>
  </si>
  <si>
    <t>Conf Sec 11</t>
  </si>
  <si>
    <t>Conf Sec 12</t>
  </si>
  <si>
    <t>Conf Sec 13</t>
  </si>
  <si>
    <t>Conf Sec 14</t>
  </si>
  <si>
    <t>Conf Sec 15</t>
  </si>
  <si>
    <t>Conf Sec 16</t>
  </si>
  <si>
    <t>Confiabilidad</t>
  </si>
  <si>
    <t>Cumplimiento</t>
  </si>
  <si>
    <t>Secciones de las FDS Analizadas</t>
  </si>
  <si>
    <t>Item_10_2_1</t>
  </si>
  <si>
    <t>Calidad_10_2_1</t>
  </si>
  <si>
    <t>Item_10_2_2</t>
  </si>
  <si>
    <t>Calidad_10_2_2</t>
  </si>
  <si>
    <t>Item_10_2_3</t>
  </si>
  <si>
    <t>Calidad_10_2_3</t>
  </si>
  <si>
    <t>Item_10_2_4</t>
  </si>
  <si>
    <t>Calidad_10_2_4</t>
  </si>
  <si>
    <t>Item_10_2_5</t>
  </si>
  <si>
    <t>Calidad_10_2_5</t>
  </si>
  <si>
    <t>Item_10_2_6</t>
  </si>
  <si>
    <t>Calidad_10_2_6</t>
  </si>
  <si>
    <t xml:space="preserve">peligros físicos </t>
  </si>
  <si>
    <t xml:space="preserve">peligros para la salud </t>
  </si>
  <si>
    <t xml:space="preserve">peligros para el medio ambiente </t>
  </si>
  <si>
    <t xml:space="preserve">Clasificación peligro físico </t>
  </si>
  <si>
    <t>clasificación peligro para la salud</t>
  </si>
  <si>
    <t xml:space="preserve"> Clasificación peligro para el medio </t>
  </si>
  <si>
    <t>Líquidos Inflamables : Categoría 3</t>
  </si>
  <si>
    <t>Irritación cutáneas : Categoría 2</t>
  </si>
  <si>
    <t>No aplica</t>
  </si>
  <si>
    <t xml:space="preserve">Palabra de advertencia </t>
  </si>
  <si>
    <t>Peligro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</si>
</sst>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 applyAlignment="1">
      <alignment vertical="center"/>
    </xf>
    <xf numFmtId="0" fontId="0" fillId="0" borderId="1" xfId="0" applyBorder="1"/>
    <xf numFmtId="10" fontId="0" fillId="0" borderId="0" xfId="1" applyNumberFormat="1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4" borderId="0" xfId="0" applyFill="1"/>
    <xf numFmtId="9" fontId="0" fillId="0" borderId="0" xfId="1" applyFont="1"/>
    <xf numFmtId="9" fontId="0" fillId="0" borderId="0" xfId="0" applyNumberFormat="1"/>
    <xf numFmtId="10" fontId="0" fillId="0" borderId="0" xfId="0" applyNumberFormat="1"/>
    <xf numFmtId="0" fontId="0" fillId="2" borderId="1" xfId="0" applyFill="1" applyBorder="1"/>
    <xf numFmtId="164" fontId="0" fillId="0" borderId="0" xfId="1" applyNumberFormat="1" applyFont="1"/>
    <xf numFmtId="0" fontId="0" fillId="5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5.xml"/><Relationship Id="rId18" Type="http://schemas.openxmlformats.org/officeDocument/2006/relationships/chartsheet" Target="chartsheets/sheet10.xml"/><Relationship Id="rId26" Type="http://schemas.openxmlformats.org/officeDocument/2006/relationships/chartsheet" Target="chartsheets/sheet18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4.xml"/><Relationship Id="rId17" Type="http://schemas.openxmlformats.org/officeDocument/2006/relationships/chartsheet" Target="chartsheets/sheet9.xml"/><Relationship Id="rId25" Type="http://schemas.openxmlformats.org/officeDocument/2006/relationships/chartsheet" Target="chartsheets/sheet17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8.xml"/><Relationship Id="rId20" Type="http://schemas.openxmlformats.org/officeDocument/2006/relationships/chartsheet" Target="chartsheets/sheet1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3.xml"/><Relationship Id="rId24" Type="http://schemas.openxmlformats.org/officeDocument/2006/relationships/chartsheet" Target="chartsheets/sheet1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7.xml"/><Relationship Id="rId23" Type="http://schemas.openxmlformats.org/officeDocument/2006/relationships/chartsheet" Target="chartsheets/sheet15.xml"/><Relationship Id="rId28" Type="http://schemas.openxmlformats.org/officeDocument/2006/relationships/chartsheet" Target="chartsheets/sheet20.xml"/><Relationship Id="rId10" Type="http://schemas.openxmlformats.org/officeDocument/2006/relationships/chartsheet" Target="chartsheets/sheet2.xml"/><Relationship Id="rId19" Type="http://schemas.openxmlformats.org/officeDocument/2006/relationships/chartsheet" Target="chartsheets/sheet1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chartsheet" Target="chartsheets/sheet6.xml"/><Relationship Id="rId22" Type="http://schemas.openxmlformats.org/officeDocument/2006/relationships/chartsheet" Target="chartsheets/sheet14.xml"/><Relationship Id="rId27" Type="http://schemas.openxmlformats.org/officeDocument/2006/relationships/chartsheet" Target="chartsheets/sheet19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Datos!$F$8</c:f>
          <c:strCache>
            <c:ptCount val="1"/>
            <c:pt idx="0">
              <c:v>Secciones Presente en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Datos!$E$2</c:f>
              <c:strCache>
                <c:ptCount val="1"/>
                <c:pt idx="0">
                  <c:v>Presente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(Datos!$F$1,Datos!$R$1,Datos!$AF$1,Datos!$AY$1,Datos!$BG$1,Datos!$BO$1,Datos!$BW$1,Datos!$CC$1,Datos!$CK$1,Datos!$CO$1,Datos!$DC$1,Datos!$DO$1,Datos!$EA$1,Datos!$EE$1,Datos!$ES$1,Datos!$EW$1)</c:f>
              <c:strCache>
                <c:ptCount val="16"/>
                <c:pt idx="0">
                  <c:v>Item_1_0</c:v>
                </c:pt>
                <c:pt idx="1">
                  <c:v>Item_2_0</c:v>
                </c:pt>
                <c:pt idx="2">
                  <c:v>Item_3_0</c:v>
                </c:pt>
                <c:pt idx="3">
                  <c:v>Item_4_0</c:v>
                </c:pt>
                <c:pt idx="4">
                  <c:v>Item_5_0</c:v>
                </c:pt>
                <c:pt idx="5">
                  <c:v>Item_6_0</c:v>
                </c:pt>
                <c:pt idx="6">
                  <c:v>Item_7_0</c:v>
                </c:pt>
                <c:pt idx="7">
                  <c:v>Item_8_0</c:v>
                </c:pt>
                <c:pt idx="8">
                  <c:v>Item_9_0</c:v>
                </c:pt>
                <c:pt idx="9">
                  <c:v>Item_10_0</c:v>
                </c:pt>
                <c:pt idx="10">
                  <c:v>Item_11_0</c:v>
                </c:pt>
                <c:pt idx="11">
                  <c:v>Item_12_0</c:v>
                </c:pt>
                <c:pt idx="12">
                  <c:v>Item_13_0</c:v>
                </c:pt>
                <c:pt idx="13">
                  <c:v>Item_14_0</c:v>
                </c:pt>
                <c:pt idx="14">
                  <c:v>Item_15_0</c:v>
                </c:pt>
                <c:pt idx="15">
                  <c:v>Item_16_0</c:v>
                </c:pt>
              </c:strCache>
            </c:strRef>
          </c:cat>
          <c:val>
            <c:numRef>
              <c:f>(Datos!$F$2,Datos!$R$2,Datos!$AF$2,Datos!$AY$2,Datos!$BG$2,Datos!$BO$2,Datos!$BW$2,Datos!$CC$2,Datos!$CK$2,Datos!$CO$2,Datos!$DC$2,Datos!$DO$2,Datos!$EA$2,Datos!$EE$2,Datos!$ES$2,Datos!$EW$2)</c:f>
              <c:numCache>
                <c:formatCode>0.00%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4-44CF-8C55-42C686EEE367}"/>
            </c:ext>
          </c:extLst>
        </c:ser>
        <c:ser>
          <c:idx val="1"/>
          <c:order val="1"/>
          <c:tx>
            <c:strRef>
              <c:f>Datos!$E$3</c:f>
              <c:strCache>
                <c:ptCount val="1"/>
                <c:pt idx="0">
                  <c:v>No Present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(Datos!$F$1,Datos!$R$1,Datos!$AF$1,Datos!$AY$1,Datos!$BG$1,Datos!$BO$1,Datos!$BW$1,Datos!$CC$1,Datos!$CK$1,Datos!$CO$1,Datos!$DC$1,Datos!$DO$1,Datos!$EA$1,Datos!$EE$1,Datos!$ES$1,Datos!$EW$1)</c:f>
              <c:strCache>
                <c:ptCount val="16"/>
                <c:pt idx="0">
                  <c:v>Item_1_0</c:v>
                </c:pt>
                <c:pt idx="1">
                  <c:v>Item_2_0</c:v>
                </c:pt>
                <c:pt idx="2">
                  <c:v>Item_3_0</c:v>
                </c:pt>
                <c:pt idx="3">
                  <c:v>Item_4_0</c:v>
                </c:pt>
                <c:pt idx="4">
                  <c:v>Item_5_0</c:v>
                </c:pt>
                <c:pt idx="5">
                  <c:v>Item_6_0</c:v>
                </c:pt>
                <c:pt idx="6">
                  <c:v>Item_7_0</c:v>
                </c:pt>
                <c:pt idx="7">
                  <c:v>Item_8_0</c:v>
                </c:pt>
                <c:pt idx="8">
                  <c:v>Item_9_0</c:v>
                </c:pt>
                <c:pt idx="9">
                  <c:v>Item_10_0</c:v>
                </c:pt>
                <c:pt idx="10">
                  <c:v>Item_11_0</c:v>
                </c:pt>
                <c:pt idx="11">
                  <c:v>Item_12_0</c:v>
                </c:pt>
                <c:pt idx="12">
                  <c:v>Item_13_0</c:v>
                </c:pt>
                <c:pt idx="13">
                  <c:v>Item_14_0</c:v>
                </c:pt>
                <c:pt idx="14">
                  <c:v>Item_15_0</c:v>
                </c:pt>
                <c:pt idx="15">
                  <c:v>Item_16_0</c:v>
                </c:pt>
              </c:strCache>
            </c:strRef>
          </c:cat>
          <c:val>
            <c:numRef>
              <c:f>(Datos!$F$3,Datos!$R$3,Datos!$AF$3,Datos!$AY$3,Datos!$BG$3,Datos!$BO$3,Datos!$BW$3,Datos!$CC$3,Datos!$CK$3,Datos!$CO$3,Datos!$DC$3,Datos!$DO$3,Datos!$EA$3,Datos!$EE$3,Datos!$ES$3,Datos!$EW$3)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E4-44CF-8C55-42C686EE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516016"/>
        <c:axId val="108852808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Datos!$E$4</c15:sqref>
                        </c15:formulaRef>
                      </c:ext>
                    </c:extLst>
                    <c:strCache>
                      <c:ptCount val="1"/>
                      <c:pt idx="0">
                        <c:v>Confiable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(Datos!$F$1,Datos!$R$1,Datos!$AF$1,Datos!$AY$1,Datos!$BG$1,Datos!$BO$1,Datos!$BW$1,Datos!$CC$1,Datos!$CK$1,Datos!$CO$1,Datos!$DC$1,Datos!$DO$1,Datos!$EA$1,Datos!$EE$1,Datos!$ES$1,Datos!$EW$1)</c15:sqref>
                        </c15:formulaRef>
                      </c:ext>
                    </c:extLst>
                    <c:strCache>
                      <c:ptCount val="16"/>
                      <c:pt idx="0">
                        <c:v>Item_1_0</c:v>
                      </c:pt>
                      <c:pt idx="1">
                        <c:v>Item_2_0</c:v>
                      </c:pt>
                      <c:pt idx="2">
                        <c:v>Item_3_0</c:v>
                      </c:pt>
                      <c:pt idx="3">
                        <c:v>Item_4_0</c:v>
                      </c:pt>
                      <c:pt idx="4">
                        <c:v>Item_5_0</c:v>
                      </c:pt>
                      <c:pt idx="5">
                        <c:v>Item_6_0</c:v>
                      </c:pt>
                      <c:pt idx="6">
                        <c:v>Item_7_0</c:v>
                      </c:pt>
                      <c:pt idx="7">
                        <c:v>Item_8_0</c:v>
                      </c:pt>
                      <c:pt idx="8">
                        <c:v>Item_9_0</c:v>
                      </c:pt>
                      <c:pt idx="9">
                        <c:v>Item_10_0</c:v>
                      </c:pt>
                      <c:pt idx="10">
                        <c:v>Item_11_0</c:v>
                      </c:pt>
                      <c:pt idx="11">
                        <c:v>Item_12_0</c:v>
                      </c:pt>
                      <c:pt idx="12">
                        <c:v>Item_13_0</c:v>
                      </c:pt>
                      <c:pt idx="13">
                        <c:v>Item_14_0</c:v>
                      </c:pt>
                      <c:pt idx="14">
                        <c:v>Item_15_0</c:v>
                      </c:pt>
                      <c:pt idx="15">
                        <c:v>Item_16_0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(Datos!$F$4,Datos!$R$4,Datos!$AF$4,Datos!$AY$4,Datos!$BG$4,Datos!$BO$4,Datos!$BW$4,Datos!$CC$4,Datos!$CK$4,Datos!$CO$4,Datos!$DC$4,Datos!$DO$4,Datos!$EA$4,Datos!$EE$4,Datos!$ES$4,Datos!$EW$4)</c15:sqref>
                        </c15:formulaRef>
                      </c:ext>
                    </c:extLst>
                    <c:numCache>
                      <c:formatCode>0.00%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6E4-44CF-8C55-42C686EEE36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Datos!$E$5</c15:sqref>
                        </c15:formulaRef>
                      </c:ext>
                    </c:extLst>
                    <c:strCache>
                      <c:ptCount val="1"/>
                      <c:pt idx="0">
                        <c:v>Conf_CR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(Datos!$F$1,Datos!$R$1,Datos!$AF$1,Datos!$AY$1,Datos!$BG$1,Datos!$BO$1,Datos!$BW$1,Datos!$CC$1,Datos!$CK$1,Datos!$CO$1,Datos!$DC$1,Datos!$DO$1,Datos!$EA$1,Datos!$EE$1,Datos!$ES$1,Datos!$EW$1)</c15:sqref>
                        </c15:formulaRef>
                      </c:ext>
                    </c:extLst>
                    <c:strCache>
                      <c:ptCount val="16"/>
                      <c:pt idx="0">
                        <c:v>Item_1_0</c:v>
                      </c:pt>
                      <c:pt idx="1">
                        <c:v>Item_2_0</c:v>
                      </c:pt>
                      <c:pt idx="2">
                        <c:v>Item_3_0</c:v>
                      </c:pt>
                      <c:pt idx="3">
                        <c:v>Item_4_0</c:v>
                      </c:pt>
                      <c:pt idx="4">
                        <c:v>Item_5_0</c:v>
                      </c:pt>
                      <c:pt idx="5">
                        <c:v>Item_6_0</c:v>
                      </c:pt>
                      <c:pt idx="6">
                        <c:v>Item_7_0</c:v>
                      </c:pt>
                      <c:pt idx="7">
                        <c:v>Item_8_0</c:v>
                      </c:pt>
                      <c:pt idx="8">
                        <c:v>Item_9_0</c:v>
                      </c:pt>
                      <c:pt idx="9">
                        <c:v>Item_10_0</c:v>
                      </c:pt>
                      <c:pt idx="10">
                        <c:v>Item_11_0</c:v>
                      </c:pt>
                      <c:pt idx="11">
                        <c:v>Item_12_0</c:v>
                      </c:pt>
                      <c:pt idx="12">
                        <c:v>Item_13_0</c:v>
                      </c:pt>
                      <c:pt idx="13">
                        <c:v>Item_14_0</c:v>
                      </c:pt>
                      <c:pt idx="14">
                        <c:v>Item_15_0</c:v>
                      </c:pt>
                      <c:pt idx="15">
                        <c:v>Item_16_0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(Datos!$F$5,Datos!$R$5,Datos!$AF$5,Datos!$AY$5,Datos!$BG$5,Datos!$BO$5,Datos!$BW$5,Datos!$CC$5,Datos!$CK$5,Datos!$CO$5,Datos!$DC$5,Datos!$DO$5,Datos!$EA$5,Datos!$EE$5,Datos!$ES$5,Datos!$EW$5)</c15:sqref>
                        </c15:formulaRef>
                      </c:ext>
                    </c:extLst>
                    <c:numCache>
                      <c:formatCode>0.00%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E4-44CF-8C55-42C686EEE36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Datos!$E$6</c15:sqref>
                        </c15:formulaRef>
                      </c:ext>
                    </c:extLst>
                    <c:strCache>
                      <c:ptCount val="1"/>
                      <c:pt idx="0">
                        <c:v>NO_Conf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(Datos!$F$1,Datos!$R$1,Datos!$AF$1,Datos!$AY$1,Datos!$BG$1,Datos!$BO$1,Datos!$BW$1,Datos!$CC$1,Datos!$CK$1,Datos!$CO$1,Datos!$DC$1,Datos!$DO$1,Datos!$EA$1,Datos!$EE$1,Datos!$ES$1,Datos!$EW$1)</c15:sqref>
                        </c15:formulaRef>
                      </c:ext>
                    </c:extLst>
                    <c:strCache>
                      <c:ptCount val="16"/>
                      <c:pt idx="0">
                        <c:v>Item_1_0</c:v>
                      </c:pt>
                      <c:pt idx="1">
                        <c:v>Item_2_0</c:v>
                      </c:pt>
                      <c:pt idx="2">
                        <c:v>Item_3_0</c:v>
                      </c:pt>
                      <c:pt idx="3">
                        <c:v>Item_4_0</c:v>
                      </c:pt>
                      <c:pt idx="4">
                        <c:v>Item_5_0</c:v>
                      </c:pt>
                      <c:pt idx="5">
                        <c:v>Item_6_0</c:v>
                      </c:pt>
                      <c:pt idx="6">
                        <c:v>Item_7_0</c:v>
                      </c:pt>
                      <c:pt idx="7">
                        <c:v>Item_8_0</c:v>
                      </c:pt>
                      <c:pt idx="8">
                        <c:v>Item_9_0</c:v>
                      </c:pt>
                      <c:pt idx="9">
                        <c:v>Item_10_0</c:v>
                      </c:pt>
                      <c:pt idx="10">
                        <c:v>Item_11_0</c:v>
                      </c:pt>
                      <c:pt idx="11">
                        <c:v>Item_12_0</c:v>
                      </c:pt>
                      <c:pt idx="12">
                        <c:v>Item_13_0</c:v>
                      </c:pt>
                      <c:pt idx="13">
                        <c:v>Item_14_0</c:v>
                      </c:pt>
                      <c:pt idx="14">
                        <c:v>Item_15_0</c:v>
                      </c:pt>
                      <c:pt idx="15">
                        <c:v>Item_16_0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(Datos!$F$6,Datos!$R$6,Datos!$AF$6,Datos!$AY$6,Datos!$BG$6,Datos!$BO$6,Datos!$BW$6,Datos!$CC$6,Datos!$CK$6,Datos!$CO$6,Datos!$DC$6,Datos!$DO$6,Datos!$EA$6,Datos!$EE$6,Datos!$ES$6,Datos!$EW$6)</c15:sqref>
                        </c15:formulaRef>
                      </c:ext>
                    </c:extLst>
                    <c:numCache>
                      <c:formatCode>0.00%</c:formatCode>
                      <c:ptCount val="1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6E4-44CF-8C55-42C686EEE367}"/>
                  </c:ext>
                </c:extLst>
              </c15:ser>
            </c15:filteredBarSeries>
          </c:ext>
        </c:extLst>
      </c:barChart>
      <c:catAx>
        <c:axId val="1088516016"/>
        <c:scaling>
          <c:orientation val="minMax"/>
        </c:scaling>
        <c:delete val="0"/>
        <c:axPos val="b"/>
        <c:title>
          <c:tx>
            <c:strRef>
              <c:f>Datos!$F$10</c:f>
              <c:strCache>
                <c:ptCount val="1"/>
                <c:pt idx="0">
                  <c:v>Secciones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8080"/>
        <c:crosses val="autoZero"/>
        <c:auto val="1"/>
        <c:lblAlgn val="ctr"/>
        <c:lblOffset val="100"/>
        <c:noMultiLvlLbl val="0"/>
      </c:catAx>
      <c:valAx>
        <c:axId val="1088528080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Datos!$F$9</c:f>
              <c:strCache>
                <c:ptCount val="1"/>
                <c:pt idx="0">
                  <c:v>Numero de FDS Con Sección Presente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16016"/>
        <c:crosses val="autoZero"/>
        <c:crossBetween val="between"/>
        <c:minorUnit val="2.0000000000000004E-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Datos!$G$8</c:f>
          <c:strCache>
            <c:ptCount val="1"/>
            <c:pt idx="0">
              <c:v>Calidad del Contenido de los Items de la Sección 1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(Datos!$G$1,Datos!$I$1,Datos!$K$1,Datos!$M$1,Datos!$O$1,Datos!$Q$1)</c:f>
              <c:strCache>
                <c:ptCount val="6"/>
                <c:pt idx="0">
                  <c:v>Calidad_1_0</c:v>
                </c:pt>
                <c:pt idx="1">
                  <c:v>Calidad_1_1</c:v>
                </c:pt>
                <c:pt idx="2">
                  <c:v>Calidad_1_2</c:v>
                </c:pt>
                <c:pt idx="3">
                  <c:v>Calidad_1_3</c:v>
                </c:pt>
                <c:pt idx="4">
                  <c:v>Calidad_1_4</c:v>
                </c:pt>
                <c:pt idx="5">
                  <c:v>Calidad_1_5</c:v>
                </c:pt>
              </c:strCache>
            </c:strRef>
          </c:cat>
          <c:val>
            <c:numRef>
              <c:f>(Datos!$G$4,Datos!$I$4,Datos!$K$4,Datos!$M$4,Datos!$O$4,Datos!$Q$4)</c:f>
              <c:numCache>
                <c:formatCode>0.00%</c:formatCode>
                <c:ptCount val="6"/>
                <c:pt idx="0">
                  <c:v>0.84</c:v>
                </c:pt>
                <c:pt idx="1">
                  <c:v>0.3</c:v>
                </c:pt>
                <c:pt idx="2">
                  <c:v>0.22</c:v>
                </c:pt>
                <c:pt idx="3">
                  <c:v>0.82</c:v>
                </c:pt>
                <c:pt idx="4">
                  <c:v>0.8</c:v>
                </c:pt>
                <c:pt idx="5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2-41FC-981B-4B586D4BB0BB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(Datos!$G$1,Datos!$I$1,Datos!$K$1,Datos!$M$1,Datos!$O$1,Datos!$Q$1)</c:f>
              <c:strCache>
                <c:ptCount val="6"/>
                <c:pt idx="0">
                  <c:v>Calidad_1_0</c:v>
                </c:pt>
                <c:pt idx="1">
                  <c:v>Calidad_1_1</c:v>
                </c:pt>
                <c:pt idx="2">
                  <c:v>Calidad_1_2</c:v>
                </c:pt>
                <c:pt idx="3">
                  <c:v>Calidad_1_3</c:v>
                </c:pt>
                <c:pt idx="4">
                  <c:v>Calidad_1_4</c:v>
                </c:pt>
                <c:pt idx="5">
                  <c:v>Calidad_1_5</c:v>
                </c:pt>
              </c:strCache>
            </c:strRef>
          </c:cat>
          <c:val>
            <c:numRef>
              <c:f>(Datos!$G$5,Datos!$I$5,Datos!$K$5,Datos!$M$5,Datos!$O$5,Datos!$Q$5)</c:f>
              <c:numCache>
                <c:formatCode>0.00%</c:formatCode>
                <c:ptCount val="6"/>
                <c:pt idx="0">
                  <c:v>0.04</c:v>
                </c:pt>
                <c:pt idx="1">
                  <c:v>0.14000000000000001</c:v>
                </c:pt>
                <c:pt idx="2">
                  <c:v>0.28000000000000003</c:v>
                </c:pt>
                <c:pt idx="3">
                  <c:v>0.18</c:v>
                </c:pt>
                <c:pt idx="4">
                  <c:v>0.2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02-41FC-981B-4B586D4BB0BB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(Datos!$G$1,Datos!$I$1,Datos!$K$1,Datos!$M$1,Datos!$O$1,Datos!$Q$1)</c:f>
              <c:strCache>
                <c:ptCount val="6"/>
                <c:pt idx="0">
                  <c:v>Calidad_1_0</c:v>
                </c:pt>
                <c:pt idx="1">
                  <c:v>Calidad_1_1</c:v>
                </c:pt>
                <c:pt idx="2">
                  <c:v>Calidad_1_2</c:v>
                </c:pt>
                <c:pt idx="3">
                  <c:v>Calidad_1_3</c:v>
                </c:pt>
                <c:pt idx="4">
                  <c:v>Calidad_1_4</c:v>
                </c:pt>
                <c:pt idx="5">
                  <c:v>Calidad_1_5</c:v>
                </c:pt>
              </c:strCache>
            </c:strRef>
          </c:cat>
          <c:val>
            <c:numRef>
              <c:f>(Datos!$G$6,Datos!$I$6,Datos!$K$6,Datos!$M$6,Datos!$O$6,Datos!$Q$6)</c:f>
              <c:numCache>
                <c:formatCode>0.00%</c:formatCode>
                <c:ptCount val="6"/>
                <c:pt idx="0">
                  <c:v>0.12</c:v>
                </c:pt>
                <c:pt idx="1">
                  <c:v>0.56000000000000005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02-41FC-981B-4B586D4BB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5671776"/>
        <c:axId val="15456767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(Datos!$G$1,Datos!$I$1,Datos!$K$1,Datos!$M$1,Datos!$O$1,Datos!$Q$1)</c15:sqref>
                        </c15:formulaRef>
                      </c:ext>
                    </c:extLst>
                    <c:strCache>
                      <c:ptCount val="6"/>
                      <c:pt idx="0">
                        <c:v>Calidad_1_0</c:v>
                      </c:pt>
                      <c:pt idx="1">
                        <c:v>Calidad_1_1</c:v>
                      </c:pt>
                      <c:pt idx="2">
                        <c:v>Calidad_1_2</c:v>
                      </c:pt>
                      <c:pt idx="3">
                        <c:v>Calidad_1_3</c:v>
                      </c:pt>
                      <c:pt idx="4">
                        <c:v>Calidad_1_4</c:v>
                      </c:pt>
                      <c:pt idx="5">
                        <c:v>Calidad_1_5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(Datos!$G$2,Datos!$I$2,Datos!$K$2,Datos!$M$2,Datos!$O$2,Datos!$Q$2)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D02-41FC-981B-4B586D4BB0B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(Datos!$G$1,Datos!$I$1,Datos!$K$1,Datos!$M$1,Datos!$O$1,Datos!$Q$1)</c15:sqref>
                        </c15:formulaRef>
                      </c:ext>
                    </c:extLst>
                    <c:strCache>
                      <c:ptCount val="6"/>
                      <c:pt idx="0">
                        <c:v>Calidad_1_0</c:v>
                      </c:pt>
                      <c:pt idx="1">
                        <c:v>Calidad_1_1</c:v>
                      </c:pt>
                      <c:pt idx="2">
                        <c:v>Calidad_1_2</c:v>
                      </c:pt>
                      <c:pt idx="3">
                        <c:v>Calidad_1_3</c:v>
                      </c:pt>
                      <c:pt idx="4">
                        <c:v>Calidad_1_4</c:v>
                      </c:pt>
                      <c:pt idx="5">
                        <c:v>Calidad_1_5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(Datos!$G$3,Datos!$I$3,Datos!$K$3,Datos!$M$3,Datos!$O$3,Datos!$Q$3)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D02-41FC-981B-4B586D4BB0BB}"/>
                  </c:ext>
                </c:extLst>
              </c15:ser>
            </c15:filteredBarSeries>
          </c:ext>
        </c:extLst>
      </c:barChart>
      <c:catAx>
        <c:axId val="1545671776"/>
        <c:scaling>
          <c:orientation val="minMax"/>
        </c:scaling>
        <c:delete val="0"/>
        <c:axPos val="b"/>
        <c:title>
          <c:tx>
            <c:strRef>
              <c:f>Datos!$G$10</c:f>
              <c:strCache>
                <c:ptCount val="1"/>
                <c:pt idx="0">
                  <c:v>Contenido de los Items de la Sección 1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5676768"/>
        <c:crosses val="autoZero"/>
        <c:auto val="1"/>
        <c:lblAlgn val="ctr"/>
        <c:lblOffset val="100"/>
        <c:noMultiLvlLbl val="0"/>
      </c:catAx>
      <c:valAx>
        <c:axId val="154567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Datos!$G$9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5671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Datos!$S$8</c:f>
          <c:strCache>
            <c:ptCount val="1"/>
            <c:pt idx="0">
              <c:v>Calidad del Contenido de los Items de la Sección 2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(Datos!$S$1,Datos!$U$1,Datos!$W$1,Datos!$Y$1,Datos!$AA$1,Datos!$AC$1,Datos!$AE$1)</c:f>
              <c:strCache>
                <c:ptCount val="7"/>
                <c:pt idx="0">
                  <c:v>Calidad_2_0</c:v>
                </c:pt>
                <c:pt idx="1">
                  <c:v>Calidad_2_1</c:v>
                </c:pt>
                <c:pt idx="2">
                  <c:v>Calidad_2_1_1</c:v>
                </c:pt>
                <c:pt idx="3">
                  <c:v>Calidad_2_1_2</c:v>
                </c:pt>
                <c:pt idx="4">
                  <c:v>Calidad_2_1_3</c:v>
                </c:pt>
                <c:pt idx="5">
                  <c:v>Calidad_2_1_4</c:v>
                </c:pt>
                <c:pt idx="6">
                  <c:v>Calidad_2_2</c:v>
                </c:pt>
              </c:strCache>
            </c:strRef>
          </c:cat>
          <c:val>
            <c:numRef>
              <c:f>(Datos!$S$4,Datos!$U$4,Datos!$W$4,Datos!$Y$4,Datos!$AA$4,Datos!$AC$4,Datos!$AE$4)</c:f>
              <c:numCache>
                <c:formatCode>0.00%</c:formatCode>
                <c:ptCount val="7"/>
                <c:pt idx="0">
                  <c:v>0.8</c:v>
                </c:pt>
                <c:pt idx="1">
                  <c:v>0.64</c:v>
                </c:pt>
                <c:pt idx="2">
                  <c:v>0.66</c:v>
                </c:pt>
                <c:pt idx="3">
                  <c:v>0.64</c:v>
                </c:pt>
                <c:pt idx="4">
                  <c:v>0.66</c:v>
                </c:pt>
                <c:pt idx="5">
                  <c:v>0.64</c:v>
                </c:pt>
                <c:pt idx="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20-4CC4-BA71-06502E2C1D58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(Datos!$S$1,Datos!$U$1,Datos!$W$1,Datos!$Y$1,Datos!$AA$1,Datos!$AC$1,Datos!$AE$1)</c:f>
              <c:strCache>
                <c:ptCount val="7"/>
                <c:pt idx="0">
                  <c:v>Calidad_2_0</c:v>
                </c:pt>
                <c:pt idx="1">
                  <c:v>Calidad_2_1</c:v>
                </c:pt>
                <c:pt idx="2">
                  <c:v>Calidad_2_1_1</c:v>
                </c:pt>
                <c:pt idx="3">
                  <c:v>Calidad_2_1_2</c:v>
                </c:pt>
                <c:pt idx="4">
                  <c:v>Calidad_2_1_3</c:v>
                </c:pt>
                <c:pt idx="5">
                  <c:v>Calidad_2_1_4</c:v>
                </c:pt>
                <c:pt idx="6">
                  <c:v>Calidad_2_2</c:v>
                </c:pt>
              </c:strCache>
            </c:strRef>
          </c:cat>
          <c:val>
            <c:numRef>
              <c:f>(Datos!$S$5,Datos!$U$5,Datos!$W$5,Datos!$Y$5,Datos!$AA$5,Datos!$AC$5,Datos!$AE$5)</c:f>
              <c:numCache>
                <c:formatCode>0.00%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20-4CC4-BA71-06502E2C1D58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(Datos!$S$1,Datos!$U$1,Datos!$W$1,Datos!$Y$1,Datos!$AA$1,Datos!$AC$1,Datos!$AE$1)</c:f>
              <c:strCache>
                <c:ptCount val="7"/>
                <c:pt idx="0">
                  <c:v>Calidad_2_0</c:v>
                </c:pt>
                <c:pt idx="1">
                  <c:v>Calidad_2_1</c:v>
                </c:pt>
                <c:pt idx="2">
                  <c:v>Calidad_2_1_1</c:v>
                </c:pt>
                <c:pt idx="3">
                  <c:v>Calidad_2_1_2</c:v>
                </c:pt>
                <c:pt idx="4">
                  <c:v>Calidad_2_1_3</c:v>
                </c:pt>
                <c:pt idx="5">
                  <c:v>Calidad_2_1_4</c:v>
                </c:pt>
                <c:pt idx="6">
                  <c:v>Calidad_2_2</c:v>
                </c:pt>
              </c:strCache>
            </c:strRef>
          </c:cat>
          <c:val>
            <c:numRef>
              <c:f>(Datos!$S$6,Datos!$U$6,Datos!$W$6,Datos!$Y$6,Datos!$AA$6,Datos!$AC$6,Datos!$AE$6)</c:f>
              <c:numCache>
                <c:formatCode>0.00%</c:formatCode>
                <c:ptCount val="7"/>
                <c:pt idx="0">
                  <c:v>0.2</c:v>
                </c:pt>
                <c:pt idx="1">
                  <c:v>0.36</c:v>
                </c:pt>
                <c:pt idx="2">
                  <c:v>0.34</c:v>
                </c:pt>
                <c:pt idx="3">
                  <c:v>0.36</c:v>
                </c:pt>
                <c:pt idx="4">
                  <c:v>0.34</c:v>
                </c:pt>
                <c:pt idx="5">
                  <c:v>0.36</c:v>
                </c:pt>
                <c:pt idx="6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20-4CC4-BA71-06502E2C1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520592"/>
        <c:axId val="10885239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(Datos!$S$1,Datos!$U$1,Datos!$W$1,Datos!$Y$1,Datos!$AA$1,Datos!$AC$1,Datos!$AE$1)</c15:sqref>
                        </c15:formulaRef>
                      </c:ext>
                    </c:extLst>
                    <c:strCache>
                      <c:ptCount val="7"/>
                      <c:pt idx="0">
                        <c:v>Calidad_2_0</c:v>
                      </c:pt>
                      <c:pt idx="1">
                        <c:v>Calidad_2_1</c:v>
                      </c:pt>
                      <c:pt idx="2">
                        <c:v>Calidad_2_1_1</c:v>
                      </c:pt>
                      <c:pt idx="3">
                        <c:v>Calidad_2_1_2</c:v>
                      </c:pt>
                      <c:pt idx="4">
                        <c:v>Calidad_2_1_3</c:v>
                      </c:pt>
                      <c:pt idx="5">
                        <c:v>Calidad_2_1_4</c:v>
                      </c:pt>
                      <c:pt idx="6">
                        <c:v>Calidad_2_2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(Datos!$S$2,Datos!$U$2,Datos!$W$2,Datos!$Y$2,Datos!$AA$2,Datos!$AC$2,Datos!$AE$2)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920-4CC4-BA71-06502E2C1D5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(Datos!$S$1,Datos!$U$1,Datos!$W$1,Datos!$Y$1,Datos!$AA$1,Datos!$AC$1,Datos!$AE$1)</c15:sqref>
                        </c15:formulaRef>
                      </c:ext>
                    </c:extLst>
                    <c:strCache>
                      <c:ptCount val="7"/>
                      <c:pt idx="0">
                        <c:v>Calidad_2_0</c:v>
                      </c:pt>
                      <c:pt idx="1">
                        <c:v>Calidad_2_1</c:v>
                      </c:pt>
                      <c:pt idx="2">
                        <c:v>Calidad_2_1_1</c:v>
                      </c:pt>
                      <c:pt idx="3">
                        <c:v>Calidad_2_1_2</c:v>
                      </c:pt>
                      <c:pt idx="4">
                        <c:v>Calidad_2_1_3</c:v>
                      </c:pt>
                      <c:pt idx="5">
                        <c:v>Calidad_2_1_4</c:v>
                      </c:pt>
                      <c:pt idx="6">
                        <c:v>Calidad_2_2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(Datos!$S$3,Datos!$U$3,Datos!$W$3,Datos!$Y$3,Datos!$AA$3,Datos!$AC$3,Datos!$AE$3)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920-4CC4-BA71-06502E2C1D58}"/>
                  </c:ext>
                </c:extLst>
              </c15:ser>
            </c15:filteredBarSeries>
          </c:ext>
        </c:extLst>
      </c:barChart>
      <c:catAx>
        <c:axId val="1088520592"/>
        <c:scaling>
          <c:orientation val="minMax"/>
        </c:scaling>
        <c:delete val="0"/>
        <c:axPos val="b"/>
        <c:title>
          <c:tx>
            <c:strRef>
              <c:f>Datos!$S$10</c:f>
              <c:strCache>
                <c:ptCount val="1"/>
                <c:pt idx="0">
                  <c:v>Contenido de los Items de la Sección 2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3920"/>
        <c:crosses val="autoZero"/>
        <c:auto val="1"/>
        <c:lblAlgn val="ctr"/>
        <c:lblOffset val="100"/>
        <c:noMultiLvlLbl val="0"/>
      </c:catAx>
      <c:valAx>
        <c:axId val="108852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Datos!$S$9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0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Datos!$AF$8</c:f>
          <c:strCache>
            <c:ptCount val="1"/>
            <c:pt idx="0">
              <c:v>Calidad del Contenido de los Items de la Sección 3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7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(Datos!$AG$1,Datos!$AI$1,Datos!$AK$1,Datos!$AM$1,Datos!$AO$1,Datos!$AQ$1,Datos!$AS$1,Datos!$AU$1,Datos!$AX$1)</c15:sqref>
                  </c15:fullRef>
                </c:ext>
              </c:extLst>
              <c:f>(Datos!$AG$1,Datos!$AQ$1,Datos!$AS$1,Datos!$AU$1,Datos!$AX$1)</c:f>
              <c:strCache>
                <c:ptCount val="5"/>
                <c:pt idx="0">
                  <c:v>Calidad_3_0</c:v>
                </c:pt>
                <c:pt idx="1">
                  <c:v>Calidad_3_2_1</c:v>
                </c:pt>
                <c:pt idx="2">
                  <c:v>Calidad_3_2_1_1</c:v>
                </c:pt>
                <c:pt idx="3">
                  <c:v>Calidad_3_2_1_2</c:v>
                </c:pt>
                <c:pt idx="4">
                  <c:v>Calidad_3_2_1_3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(Datos!$AG$4,Datos!$AI$4,Datos!$AK$4,Datos!$AM$4,Datos!$AO$4,Datos!$AQ$4,Datos!$AS$4,Datos!$AU$4,Datos!$AX$4)</c15:sqref>
                  </c15:fullRef>
                </c:ext>
              </c:extLst>
              <c:f>(Datos!$AG$4,Datos!$AQ$4,Datos!$AS$4,Datos!$AU$4,Datos!$AX$4)</c:f>
              <c:numCache>
                <c:formatCode>0.00%</c:formatCode>
                <c:ptCount val="5"/>
                <c:pt idx="0">
                  <c:v>0.8</c:v>
                </c:pt>
                <c:pt idx="1">
                  <c:v>0.26</c:v>
                </c:pt>
                <c:pt idx="2">
                  <c:v>0.12</c:v>
                </c:pt>
                <c:pt idx="3">
                  <c:v>0.64</c:v>
                </c:pt>
                <c:pt idx="4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72-4304-A213-21AA727F890F}"/>
            </c:ext>
          </c:extLst>
        </c:ser>
        <c:ser>
          <c:idx val="8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(Datos!$AG$1,Datos!$AI$1,Datos!$AK$1,Datos!$AM$1,Datos!$AO$1,Datos!$AQ$1,Datos!$AS$1,Datos!$AU$1,Datos!$AX$1)</c15:sqref>
                  </c15:fullRef>
                </c:ext>
              </c:extLst>
              <c:f>(Datos!$AG$1,Datos!$AQ$1,Datos!$AS$1,Datos!$AU$1,Datos!$AX$1)</c:f>
              <c:strCache>
                <c:ptCount val="5"/>
                <c:pt idx="0">
                  <c:v>Calidad_3_0</c:v>
                </c:pt>
                <c:pt idx="1">
                  <c:v>Calidad_3_2_1</c:v>
                </c:pt>
                <c:pt idx="2">
                  <c:v>Calidad_3_2_1_1</c:v>
                </c:pt>
                <c:pt idx="3">
                  <c:v>Calidad_3_2_1_2</c:v>
                </c:pt>
                <c:pt idx="4">
                  <c:v>Calidad_3_2_1_3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(Datos!$AG$5,Datos!$AI$5,Datos!$AK$5,Datos!$AM$5,Datos!$AO$5,Datos!$AQ$5,Datos!$AS$5,Datos!$AU$5,Datos!$AX$5)</c15:sqref>
                  </c15:fullRef>
                </c:ext>
              </c:extLst>
              <c:f>(Datos!$AG$5,Datos!$AQ$5,Datos!$AS$5,Datos!$AU$5,Datos!$AX$5)</c:f>
              <c:numCache>
                <c:formatCode>0.00%</c:formatCode>
                <c:ptCount val="5"/>
                <c:pt idx="0">
                  <c:v>0</c:v>
                </c:pt>
                <c:pt idx="1">
                  <c:v>0.74</c:v>
                </c:pt>
                <c:pt idx="2">
                  <c:v>0.1</c:v>
                </c:pt>
                <c:pt idx="3">
                  <c:v>0.32</c:v>
                </c:pt>
                <c:pt idx="4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72-4304-A213-21AA727F890F}"/>
            </c:ext>
          </c:extLst>
        </c:ser>
        <c:ser>
          <c:idx val="9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(Datos!$AG$1,Datos!$AI$1,Datos!$AK$1,Datos!$AM$1,Datos!$AO$1,Datos!$AQ$1,Datos!$AS$1,Datos!$AU$1,Datos!$AX$1)</c15:sqref>
                  </c15:fullRef>
                </c:ext>
              </c:extLst>
              <c:f>(Datos!$AG$1,Datos!$AQ$1,Datos!$AS$1,Datos!$AU$1,Datos!$AX$1)</c:f>
              <c:strCache>
                <c:ptCount val="5"/>
                <c:pt idx="0">
                  <c:v>Calidad_3_0</c:v>
                </c:pt>
                <c:pt idx="1">
                  <c:v>Calidad_3_2_1</c:v>
                </c:pt>
                <c:pt idx="2">
                  <c:v>Calidad_3_2_1_1</c:v>
                </c:pt>
                <c:pt idx="3">
                  <c:v>Calidad_3_2_1_2</c:v>
                </c:pt>
                <c:pt idx="4">
                  <c:v>Calidad_3_2_1_3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(Datos!$AG$6,Datos!$AI$6,Datos!$AK$6,Datos!$AM$6,Datos!$AO$6,Datos!$AQ$6,Datos!$AS$6,Datos!$AU$6,Datos!$AX$6)</c15:sqref>
                  </c15:fullRef>
                </c:ext>
              </c:extLst>
              <c:f>(Datos!$AG$6,Datos!$AQ$6,Datos!$AS$6,Datos!$AU$6,Datos!$AX$6)</c:f>
              <c:numCache>
                <c:formatCode>0.00%</c:formatCode>
                <c:ptCount val="5"/>
                <c:pt idx="0">
                  <c:v>0.2</c:v>
                </c:pt>
                <c:pt idx="1">
                  <c:v>0</c:v>
                </c:pt>
                <c:pt idx="2">
                  <c:v>0.78</c:v>
                </c:pt>
                <c:pt idx="3">
                  <c:v>0.04</c:v>
                </c:pt>
                <c:pt idx="4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72-4304-A213-21AA727F8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520592"/>
        <c:axId val="1088523920"/>
        <c:extLst>
          <c:ext xmlns:c15="http://schemas.microsoft.com/office/drawing/2012/chart" uri="{02D57815-91ED-43cb-92C2-25804820EDAC}">
            <c15:filteredBarSeries>
              <c15:ser>
                <c:idx val="5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(Datos!$AG$1,Datos!$AI$1,Datos!$AK$1,Datos!$AM$1,Datos!$AO$1,Datos!$AQ$1,Datos!$AS$1,Datos!$AU$1,Datos!$AX$1)</c15:sqref>
                        </c15:fullRef>
                        <c15:formulaRef>
                          <c15:sqref>(Datos!$AG$1,Datos!$AQ$1,Datos!$AS$1,Datos!$AU$1,Datos!$AX$1)</c15:sqref>
                        </c15:formulaRef>
                      </c:ext>
                    </c:extLst>
                    <c:strCache>
                      <c:ptCount val="5"/>
                      <c:pt idx="0">
                        <c:v>Calidad_3_0</c:v>
                      </c:pt>
                      <c:pt idx="1">
                        <c:v>Calidad_3_2_1</c:v>
                      </c:pt>
                      <c:pt idx="2">
                        <c:v>Calidad_3_2_1_1</c:v>
                      </c:pt>
                      <c:pt idx="3">
                        <c:v>Calidad_3_2_1_2</c:v>
                      </c:pt>
                      <c:pt idx="4">
                        <c:v>Calidad_3_2_1_3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(Datos!$AG$2,Datos!$AI$2,Datos!$AK$2,Datos!$AM$2,Datos!$AO$2,Datos!$AQ$2,Datos!$AS$2,Datos!$AU$2,Datos!$AX$2)</c15:sqref>
                        </c15:fullRef>
                        <c15:formulaRef>
                          <c15:sqref>(Datos!$AG$2,Datos!$AQ$2,Datos!$AS$2,Datos!$AU$2,Datos!$AX$2)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C72-4304-A213-21AA727F890F}"/>
                  </c:ext>
                </c:extLst>
              </c15:ser>
            </c15:filteredBarSeries>
            <c15:filteredBarSeries>
              <c15:ser>
                <c:idx val="6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(Datos!$AG$1,Datos!$AI$1,Datos!$AK$1,Datos!$AM$1,Datos!$AO$1,Datos!$AQ$1,Datos!$AS$1,Datos!$AU$1,Datos!$AX$1)</c15:sqref>
                        </c15:fullRef>
                        <c15:formulaRef>
                          <c15:sqref>(Datos!$AG$1,Datos!$AQ$1,Datos!$AS$1,Datos!$AU$1,Datos!$AX$1)</c15:sqref>
                        </c15:formulaRef>
                      </c:ext>
                    </c:extLst>
                    <c:strCache>
                      <c:ptCount val="5"/>
                      <c:pt idx="0">
                        <c:v>Calidad_3_0</c:v>
                      </c:pt>
                      <c:pt idx="1">
                        <c:v>Calidad_3_2_1</c:v>
                      </c:pt>
                      <c:pt idx="2">
                        <c:v>Calidad_3_2_1_1</c:v>
                      </c:pt>
                      <c:pt idx="3">
                        <c:v>Calidad_3_2_1_2</c:v>
                      </c:pt>
                      <c:pt idx="4">
                        <c:v>Calidad_3_2_1_3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(Datos!$AG$3,Datos!$AI$3,Datos!$AK$3,Datos!$AM$3,Datos!$AO$3,Datos!$AQ$3,Datos!$AS$3,Datos!$AU$3,Datos!$AX$3)</c15:sqref>
                        </c15:fullRef>
                        <c15:formulaRef>
                          <c15:sqref>(Datos!$AG$3,Datos!$AQ$3,Datos!$AS$3,Datos!$AU$3,Datos!$AX$3)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C72-4304-A213-21AA727F890F}"/>
                  </c:ext>
                </c:extLst>
              </c15:ser>
            </c15:filteredBarSeries>
            <c15:filteredBarSeries>
              <c15:ser>
                <c:idx val="0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(Datos!$S$1,Datos!$U$1,Datos!$W$1,Datos!$Y$1,Datos!$AA$1,Datos!$AC$1,Datos!$AE$1)</c15:sqref>
                        </c15:fullRef>
                        <c15:formulaRef>
                          <c15:sqref>(Datos!$S$1,Datos!$AC$1,Datos!$AE$1)</c15:sqref>
                        </c15:formulaRef>
                      </c:ext>
                    </c:extLst>
                    <c:strCache>
                      <c:ptCount val="3"/>
                      <c:pt idx="0">
                        <c:v>Calidad_2_0</c:v>
                      </c:pt>
                      <c:pt idx="1">
                        <c:v>Calidad_2_1_4</c:v>
                      </c:pt>
                      <c:pt idx="2">
                        <c:v>Calidad_2_2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(Datos!$S$2,Datos!$U$2,Datos!$W$2,Datos!$Y$2,Datos!$AA$2,Datos!$AC$2,Datos!$AE$2)</c15:sqref>
                        </c15:fullRef>
                        <c15:formulaRef>
                          <c15:sqref>(Datos!$S$2,Datos!$AC$2,Datos!$AE$2)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C72-4304-A213-21AA727F890F}"/>
                  </c:ext>
                </c:extLst>
              </c15:ser>
            </c15:filteredBarSeries>
            <c15:filteredBarSeries>
              <c15:ser>
                <c:idx val="1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(Datos!$S$1,Datos!$U$1,Datos!$W$1,Datos!$Y$1,Datos!$AA$1,Datos!$AC$1,Datos!$AE$1)</c15:sqref>
                        </c15:fullRef>
                        <c15:formulaRef>
                          <c15:sqref>(Datos!$S$1,Datos!$AC$1,Datos!$AE$1)</c15:sqref>
                        </c15:formulaRef>
                      </c:ext>
                    </c:extLst>
                    <c:strCache>
                      <c:ptCount val="3"/>
                      <c:pt idx="0">
                        <c:v>Calidad_2_0</c:v>
                      </c:pt>
                      <c:pt idx="1">
                        <c:v>Calidad_2_1_4</c:v>
                      </c:pt>
                      <c:pt idx="2">
                        <c:v>Calidad_2_2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(Datos!$S$3,Datos!$U$3,Datos!$W$3,Datos!$Y$3,Datos!$AA$3,Datos!$AC$3,Datos!$AE$3)</c15:sqref>
                        </c15:fullRef>
                        <c15:formulaRef>
                          <c15:sqref>(Datos!$S$3,Datos!$AC$3,Datos!$AE$3)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C72-4304-A213-21AA727F890F}"/>
                  </c:ext>
                </c:extLst>
              </c15:ser>
            </c15:filteredBarSeries>
            <c15:filteredBarSeries>
              <c15:ser>
                <c:idx val="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Datos!$E$4</c15:sqref>
                        </c15:formulaRef>
                      </c:ext>
                    </c:extLst>
                    <c:strCache>
                      <c:ptCount val="1"/>
                      <c:pt idx="0">
                        <c:v>Confiable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(Datos!$S$1,Datos!$U$1,Datos!$W$1,Datos!$Y$1,Datos!$AA$1,Datos!$AC$1,Datos!$AE$1)</c15:sqref>
                        </c15:fullRef>
                        <c15:formulaRef>
                          <c15:sqref>(Datos!$S$1,Datos!$AC$1,Datos!$AE$1)</c15:sqref>
                        </c15:formulaRef>
                      </c:ext>
                    </c:extLst>
                    <c:strCache>
                      <c:ptCount val="3"/>
                      <c:pt idx="0">
                        <c:v>Calidad_2_0</c:v>
                      </c:pt>
                      <c:pt idx="1">
                        <c:v>Calidad_2_1_4</c:v>
                      </c:pt>
                      <c:pt idx="2">
                        <c:v>Calidad_2_2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(Datos!$S$4,Datos!$U$4,Datos!$W$4,Datos!$Y$4,Datos!$AA$4,Datos!$AC$4,Datos!$AE$4)</c15:sqref>
                        </c15:fullRef>
                        <c15:formulaRef>
                          <c15:sqref>(Datos!$S$4,Datos!$AC$4,Datos!$AE$4)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0.8</c:v>
                      </c:pt>
                      <c:pt idx="1">
                        <c:v>0.64</c:v>
                      </c:pt>
                      <c:pt idx="2">
                        <c:v>0.3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C72-4304-A213-21AA727F890F}"/>
                  </c:ext>
                </c:extLst>
              </c15:ser>
            </c15:filteredBarSeries>
            <c15:filteredBarSeries>
              <c15:ser>
                <c:idx val="3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Datos!$E$5</c15:sqref>
                        </c15:formulaRef>
                      </c:ext>
                    </c:extLst>
                    <c:strCache>
                      <c:ptCount val="1"/>
                      <c:pt idx="0">
                        <c:v>Conf_CR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(Datos!$S$1,Datos!$U$1,Datos!$W$1,Datos!$Y$1,Datos!$AA$1,Datos!$AC$1,Datos!$AE$1)</c15:sqref>
                        </c15:fullRef>
                        <c15:formulaRef>
                          <c15:sqref>(Datos!$S$1,Datos!$AC$1,Datos!$AE$1)</c15:sqref>
                        </c15:formulaRef>
                      </c:ext>
                    </c:extLst>
                    <c:strCache>
                      <c:ptCount val="3"/>
                      <c:pt idx="0">
                        <c:v>Calidad_2_0</c:v>
                      </c:pt>
                      <c:pt idx="1">
                        <c:v>Calidad_2_1_4</c:v>
                      </c:pt>
                      <c:pt idx="2">
                        <c:v>Calidad_2_2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(Datos!$S$5,Datos!$U$5,Datos!$W$5,Datos!$Y$5,Datos!$AA$5,Datos!$AC$5,Datos!$AE$5)</c15:sqref>
                        </c15:fullRef>
                        <c15:formulaRef>
                          <c15:sqref>(Datos!$S$5,Datos!$AC$5,Datos!$AE$5)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C72-4304-A213-21AA727F890F}"/>
                  </c:ext>
                </c:extLst>
              </c15:ser>
            </c15:filteredBarSeries>
            <c15:filteredBarSeries>
              <c15:ser>
                <c:idx val="4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Datos!$E$6</c15:sqref>
                        </c15:formulaRef>
                      </c:ext>
                    </c:extLst>
                    <c:strCache>
                      <c:ptCount val="1"/>
                      <c:pt idx="0">
                        <c:v>NO_Conf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(Datos!$S$1,Datos!$U$1,Datos!$W$1,Datos!$Y$1,Datos!$AA$1,Datos!$AC$1,Datos!$AE$1)</c15:sqref>
                        </c15:fullRef>
                        <c15:formulaRef>
                          <c15:sqref>(Datos!$S$1,Datos!$AC$1,Datos!$AE$1)</c15:sqref>
                        </c15:formulaRef>
                      </c:ext>
                    </c:extLst>
                    <c:strCache>
                      <c:ptCount val="3"/>
                      <c:pt idx="0">
                        <c:v>Calidad_2_0</c:v>
                      </c:pt>
                      <c:pt idx="1">
                        <c:v>Calidad_2_1_4</c:v>
                      </c:pt>
                      <c:pt idx="2">
                        <c:v>Calidad_2_2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(Datos!$S$6,Datos!$U$6,Datos!$W$6,Datos!$Y$6,Datos!$AA$6,Datos!$AC$6,Datos!$AE$6)</c15:sqref>
                        </c15:fullRef>
                        <c15:formulaRef>
                          <c15:sqref>(Datos!$S$6,Datos!$AC$6,Datos!$AE$6)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0.2</c:v>
                      </c:pt>
                      <c:pt idx="1">
                        <c:v>0.36</c:v>
                      </c:pt>
                      <c:pt idx="2">
                        <c:v>0.16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C72-4304-A213-21AA727F890F}"/>
                  </c:ext>
                </c:extLst>
              </c15:ser>
            </c15:filteredBarSeries>
          </c:ext>
        </c:extLst>
      </c:barChart>
      <c:catAx>
        <c:axId val="1088520592"/>
        <c:scaling>
          <c:orientation val="minMax"/>
        </c:scaling>
        <c:delete val="0"/>
        <c:axPos val="b"/>
        <c:title>
          <c:tx>
            <c:strRef>
              <c:f>Datos!$AF$10</c:f>
              <c:strCache>
                <c:ptCount val="1"/>
                <c:pt idx="0">
                  <c:v>Contenido de los Items de la Sección 3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3920"/>
        <c:crosses val="autoZero"/>
        <c:auto val="1"/>
        <c:lblAlgn val="ctr"/>
        <c:lblOffset val="100"/>
        <c:noMultiLvlLbl val="0"/>
      </c:catAx>
      <c:valAx>
        <c:axId val="108852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Datos!$AF$9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059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/>
      </a:pPr>
      <a:endParaRPr lang="es-CO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Datos!$AZ$8</c:f>
          <c:strCache>
            <c:ptCount val="1"/>
            <c:pt idx="0">
              <c:v>Calidad del Contenido de los Items de la Sección 4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(Datos!$AZ$1,Datos!$BB$1,Datos!$BD$1,Datos!$BF$1)</c:f>
              <c:strCache>
                <c:ptCount val="4"/>
                <c:pt idx="0">
                  <c:v>Calidad_4_0</c:v>
                </c:pt>
                <c:pt idx="1">
                  <c:v>Calidad_4_1</c:v>
                </c:pt>
                <c:pt idx="2">
                  <c:v>Calidad_4_2</c:v>
                </c:pt>
                <c:pt idx="3">
                  <c:v>Calidad_4_3</c:v>
                </c:pt>
              </c:strCache>
            </c:strRef>
          </c:cat>
          <c:val>
            <c:numRef>
              <c:f>(Datos!$AZ$4,Datos!$BB$4,Datos!$BD$4,Datos!$BF$4)</c:f>
              <c:numCache>
                <c:formatCode>0.00%</c:formatCode>
                <c:ptCount val="4"/>
                <c:pt idx="0">
                  <c:v>0.9</c:v>
                </c:pt>
                <c:pt idx="1">
                  <c:v>1</c:v>
                </c:pt>
                <c:pt idx="2">
                  <c:v>0.26</c:v>
                </c:pt>
                <c:pt idx="3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3-4AE5-9B88-C92A5C28F1C5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(Datos!$AZ$1,Datos!$BB$1,Datos!$BD$1,Datos!$BF$1)</c:f>
              <c:strCache>
                <c:ptCount val="4"/>
                <c:pt idx="0">
                  <c:v>Calidad_4_0</c:v>
                </c:pt>
                <c:pt idx="1">
                  <c:v>Calidad_4_1</c:v>
                </c:pt>
                <c:pt idx="2">
                  <c:v>Calidad_4_2</c:v>
                </c:pt>
                <c:pt idx="3">
                  <c:v>Calidad_4_3</c:v>
                </c:pt>
              </c:strCache>
            </c:strRef>
          </c:cat>
          <c:val>
            <c:numRef>
              <c:f>(Datos!$AZ$5,Datos!$BB$5,Datos!$BD$5,Datos!$BF$5)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3-4AE5-9B88-C92A5C28F1C5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(Datos!$AZ$1,Datos!$BB$1,Datos!$BD$1,Datos!$BF$1)</c:f>
              <c:strCache>
                <c:ptCount val="4"/>
                <c:pt idx="0">
                  <c:v>Calidad_4_0</c:v>
                </c:pt>
                <c:pt idx="1">
                  <c:v>Calidad_4_1</c:v>
                </c:pt>
                <c:pt idx="2">
                  <c:v>Calidad_4_2</c:v>
                </c:pt>
                <c:pt idx="3">
                  <c:v>Calidad_4_3</c:v>
                </c:pt>
              </c:strCache>
            </c:strRef>
          </c:cat>
          <c:val>
            <c:numRef>
              <c:f>(Datos!$AZ$6,Datos!$BB$6,Datos!$BD$6,Datos!$BF$6)</c:f>
              <c:numCache>
                <c:formatCode>0.00%</c:formatCode>
                <c:ptCount val="4"/>
                <c:pt idx="0">
                  <c:v>0.1</c:v>
                </c:pt>
                <c:pt idx="1">
                  <c:v>0</c:v>
                </c:pt>
                <c:pt idx="2">
                  <c:v>0.72</c:v>
                </c:pt>
                <c:pt idx="3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3-4AE5-9B88-C92A5C28F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521008"/>
        <c:axId val="1088522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(Datos!$AZ$1,Datos!$BB$1,Datos!$BD$1,Datos!$BF$1)</c15:sqref>
                        </c15:formulaRef>
                      </c:ext>
                    </c:extLst>
                    <c:strCache>
                      <c:ptCount val="4"/>
                      <c:pt idx="0">
                        <c:v>Calidad_4_0</c:v>
                      </c:pt>
                      <c:pt idx="1">
                        <c:v>Calidad_4_1</c:v>
                      </c:pt>
                      <c:pt idx="2">
                        <c:v>Calidad_4_2</c:v>
                      </c:pt>
                      <c:pt idx="3">
                        <c:v>Calidad_4_3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(Datos!$AZ$2,Datos!$BB$2,Datos!$BD$2,Datos!$BF$2)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203-4AE5-9B88-C92A5C28F1C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(Datos!$AZ$1,Datos!$BB$1,Datos!$BD$1,Datos!$BF$1)</c15:sqref>
                        </c15:formulaRef>
                      </c:ext>
                    </c:extLst>
                    <c:strCache>
                      <c:ptCount val="4"/>
                      <c:pt idx="0">
                        <c:v>Calidad_4_0</c:v>
                      </c:pt>
                      <c:pt idx="1">
                        <c:v>Calidad_4_1</c:v>
                      </c:pt>
                      <c:pt idx="2">
                        <c:v>Calidad_4_2</c:v>
                      </c:pt>
                      <c:pt idx="3">
                        <c:v>Calidad_4_3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(Datos!$AZ$3,Datos!$BB$3,Datos!$BD$3,Datos!$BF$3)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03-4AE5-9B88-C92A5C28F1C5}"/>
                  </c:ext>
                </c:extLst>
              </c15:ser>
            </c15:filteredBarSeries>
          </c:ext>
        </c:extLst>
      </c:barChart>
      <c:catAx>
        <c:axId val="1088521008"/>
        <c:scaling>
          <c:orientation val="minMax"/>
        </c:scaling>
        <c:delete val="0"/>
        <c:axPos val="b"/>
        <c:title>
          <c:tx>
            <c:strRef>
              <c:f>Datos!$AZ$10</c:f>
              <c:strCache>
                <c:ptCount val="1"/>
                <c:pt idx="0">
                  <c:v>Contenido de los Items de la Sección 4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2672"/>
        <c:crosses val="autoZero"/>
        <c:auto val="1"/>
        <c:lblAlgn val="ctr"/>
        <c:lblOffset val="100"/>
        <c:noMultiLvlLbl val="0"/>
      </c:catAx>
      <c:valAx>
        <c:axId val="10885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Datos!$AZ$9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1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Datos!$BH$8</c:f>
          <c:strCache>
            <c:ptCount val="1"/>
            <c:pt idx="0">
              <c:v>Calidad del Contenido de los Items de la Sección 5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(Datos!$BH$1,Datos!$BJ$1,Datos!$BL$1,Datos!$BN$1)</c:f>
              <c:strCache>
                <c:ptCount val="4"/>
                <c:pt idx="0">
                  <c:v>Calidad_5_0</c:v>
                </c:pt>
                <c:pt idx="1">
                  <c:v>Calidad_5_1</c:v>
                </c:pt>
                <c:pt idx="2">
                  <c:v>Calidad_5_2</c:v>
                </c:pt>
                <c:pt idx="3">
                  <c:v>Calidad_5_3</c:v>
                </c:pt>
              </c:strCache>
            </c:strRef>
          </c:cat>
          <c:val>
            <c:numRef>
              <c:f>(Datos!$BH$4,Datos!$BJ$4,Datos!$BL$4,Datos!$BN$4)</c:f>
              <c:numCache>
                <c:formatCode>0.00%</c:formatCode>
                <c:ptCount val="4"/>
                <c:pt idx="0">
                  <c:v>1</c:v>
                </c:pt>
                <c:pt idx="1">
                  <c:v>0.7</c:v>
                </c:pt>
                <c:pt idx="2">
                  <c:v>0.57999999999999996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7-43A2-B654-895D2B4A3871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(Datos!$BH$1,Datos!$BJ$1,Datos!$BL$1,Datos!$BN$1)</c:f>
              <c:strCache>
                <c:ptCount val="4"/>
                <c:pt idx="0">
                  <c:v>Calidad_5_0</c:v>
                </c:pt>
                <c:pt idx="1">
                  <c:v>Calidad_5_1</c:v>
                </c:pt>
                <c:pt idx="2">
                  <c:v>Calidad_5_2</c:v>
                </c:pt>
                <c:pt idx="3">
                  <c:v>Calidad_5_3</c:v>
                </c:pt>
              </c:strCache>
            </c:strRef>
          </c:cat>
          <c:val>
            <c:numRef>
              <c:f>(Datos!$BH$5,Datos!$BJ$5,Datos!$BL$5,Datos!$BN$5)</c:f>
              <c:numCache>
                <c:formatCode>0.00%</c:formatCode>
                <c:ptCount val="4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E7-43A2-B654-895D2B4A3871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(Datos!$BH$1,Datos!$BJ$1,Datos!$BL$1,Datos!$BN$1)</c:f>
              <c:strCache>
                <c:ptCount val="4"/>
                <c:pt idx="0">
                  <c:v>Calidad_5_0</c:v>
                </c:pt>
                <c:pt idx="1">
                  <c:v>Calidad_5_1</c:v>
                </c:pt>
                <c:pt idx="2">
                  <c:v>Calidad_5_2</c:v>
                </c:pt>
                <c:pt idx="3">
                  <c:v>Calidad_5_3</c:v>
                </c:pt>
              </c:strCache>
            </c:strRef>
          </c:cat>
          <c:val>
            <c:numRef>
              <c:f>(Datos!$BH$6,Datos!$BJ$6,Datos!$BL$6,Datos!$BN$6)</c:f>
              <c:numCache>
                <c:formatCode>0.00%</c:formatCode>
                <c:ptCount val="4"/>
                <c:pt idx="0">
                  <c:v>0</c:v>
                </c:pt>
                <c:pt idx="1">
                  <c:v>0.28000000000000003</c:v>
                </c:pt>
                <c:pt idx="2">
                  <c:v>0.4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E7-43A2-B654-895D2B4A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5683840"/>
        <c:axId val="2345571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(Datos!$BH$1,Datos!$BJ$1,Datos!$BL$1,Datos!$BN$1)</c15:sqref>
                        </c15:formulaRef>
                      </c:ext>
                    </c:extLst>
                    <c:strCache>
                      <c:ptCount val="4"/>
                      <c:pt idx="0">
                        <c:v>Calidad_5_0</c:v>
                      </c:pt>
                      <c:pt idx="1">
                        <c:v>Calidad_5_1</c:v>
                      </c:pt>
                      <c:pt idx="2">
                        <c:v>Calidad_5_2</c:v>
                      </c:pt>
                      <c:pt idx="3">
                        <c:v>Calidad_5_3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(Datos!$BH$2,Datos!$BJ$2,Datos!$BL$2,Datos!$BN$2)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9E7-43A2-B654-895D2B4A387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(Datos!$BH$1,Datos!$BJ$1,Datos!$BL$1,Datos!$BN$1)</c15:sqref>
                        </c15:formulaRef>
                      </c:ext>
                    </c:extLst>
                    <c:strCache>
                      <c:ptCount val="4"/>
                      <c:pt idx="0">
                        <c:v>Calidad_5_0</c:v>
                      </c:pt>
                      <c:pt idx="1">
                        <c:v>Calidad_5_1</c:v>
                      </c:pt>
                      <c:pt idx="2">
                        <c:v>Calidad_5_2</c:v>
                      </c:pt>
                      <c:pt idx="3">
                        <c:v>Calidad_5_3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(Datos!$BH$3,Datos!$BJ$3,Datos!$BL$3,Datos!$BN$3)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9E7-43A2-B654-895D2B4A387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(Datos!$BH$1,Datos!$BJ$1,Datos!$BL$1,Datos!$BN$1)</c15:sqref>
                        </c15:formulaRef>
                      </c:ext>
                    </c:extLst>
                    <c:strCache>
                      <c:ptCount val="4"/>
                      <c:pt idx="0">
                        <c:v>Calidad_5_0</c:v>
                      </c:pt>
                      <c:pt idx="1">
                        <c:v>Calidad_5_1</c:v>
                      </c:pt>
                      <c:pt idx="2">
                        <c:v>Calidad_5_2</c:v>
                      </c:pt>
                      <c:pt idx="3">
                        <c:v>Calidad_5_3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(Datos!$BH$8,Datos!$BJ$8,Datos!$BL$8,Datos!$BN$8)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9E7-43A2-B654-895D2B4A387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(Datos!$BH$1,Datos!$BJ$1,Datos!$BL$1,Datos!$BN$1)</c15:sqref>
                        </c15:formulaRef>
                      </c:ext>
                    </c:extLst>
                    <c:strCache>
                      <c:ptCount val="4"/>
                      <c:pt idx="0">
                        <c:v>Calidad_5_0</c:v>
                      </c:pt>
                      <c:pt idx="1">
                        <c:v>Calidad_5_1</c:v>
                      </c:pt>
                      <c:pt idx="2">
                        <c:v>Calidad_5_2</c:v>
                      </c:pt>
                      <c:pt idx="3">
                        <c:v>Calidad_5_3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(Datos!$BH$9,Datos!$BJ$9,Datos!$BL$9,Datos!$BN$9)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9E7-43A2-B654-895D2B4A387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(Datos!$BH$1,Datos!$BJ$1,Datos!$BL$1,Datos!$BN$1)</c15:sqref>
                        </c15:formulaRef>
                      </c:ext>
                    </c:extLst>
                    <c:strCache>
                      <c:ptCount val="4"/>
                      <c:pt idx="0">
                        <c:v>Calidad_5_0</c:v>
                      </c:pt>
                      <c:pt idx="1">
                        <c:v>Calidad_5_1</c:v>
                      </c:pt>
                      <c:pt idx="2">
                        <c:v>Calidad_5_2</c:v>
                      </c:pt>
                      <c:pt idx="3">
                        <c:v>Calidad_5_3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(Datos!$BH$10,Datos!$BJ$10,Datos!$BL$10,Datos!$BN$10)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9E7-43A2-B654-895D2B4A387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(Datos!$BH$1,Datos!$BJ$1,Datos!$BL$1,Datos!$BN$1)</c15:sqref>
                        </c15:formulaRef>
                      </c:ext>
                    </c:extLst>
                    <c:strCache>
                      <c:ptCount val="4"/>
                      <c:pt idx="0">
                        <c:v>Calidad_5_0</c:v>
                      </c:pt>
                      <c:pt idx="1">
                        <c:v>Calidad_5_1</c:v>
                      </c:pt>
                      <c:pt idx="2">
                        <c:v>Calidad_5_2</c:v>
                      </c:pt>
                      <c:pt idx="3">
                        <c:v>Calidad_5_3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(Datos!$BH$11,Datos!$BJ$11,Datos!$BL$11,Datos!$BN$11)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9E7-43A2-B654-895D2B4A3871}"/>
                  </c:ext>
                </c:extLst>
              </c15:ser>
            </c15:filteredBarSeries>
          </c:ext>
        </c:extLst>
      </c:barChart>
      <c:catAx>
        <c:axId val="1545683840"/>
        <c:scaling>
          <c:orientation val="minMax"/>
        </c:scaling>
        <c:delete val="0"/>
        <c:axPos val="b"/>
        <c:title>
          <c:tx>
            <c:strRef>
              <c:f>Datos!$BH$10</c:f>
              <c:strCache>
                <c:ptCount val="1"/>
                <c:pt idx="0">
                  <c:v>Contenido de los Items de la Sección 5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4557136"/>
        <c:crosses val="autoZero"/>
        <c:auto val="1"/>
        <c:lblAlgn val="ctr"/>
        <c:lblOffset val="100"/>
        <c:noMultiLvlLbl val="0"/>
      </c:catAx>
      <c:valAx>
        <c:axId val="2345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Datos!$BH$9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5683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Datos!$BP$8</c:f>
          <c:strCache>
            <c:ptCount val="1"/>
            <c:pt idx="0">
              <c:v>Calidad del Contenido de los Items de la Sección 6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(Datos!$BP$1,Datos!$BR$1,Datos!$BT$1,Datos!$BV$1)</c:f>
              <c:strCache>
                <c:ptCount val="4"/>
                <c:pt idx="0">
                  <c:v>Calidad_6_0</c:v>
                </c:pt>
                <c:pt idx="1">
                  <c:v>Calidad_6_1</c:v>
                </c:pt>
                <c:pt idx="2">
                  <c:v>Calidad_6_2</c:v>
                </c:pt>
                <c:pt idx="3">
                  <c:v>Calidad_6_3</c:v>
                </c:pt>
              </c:strCache>
            </c:strRef>
          </c:cat>
          <c:val>
            <c:numRef>
              <c:f>(Datos!$BP$4,Datos!$BR$4,Datos!$BT$4,Datos!$BV$4)</c:f>
              <c:numCache>
                <c:formatCode>0.00%</c:formatCode>
                <c:ptCount val="4"/>
                <c:pt idx="0">
                  <c:v>0.9</c:v>
                </c:pt>
                <c:pt idx="1">
                  <c:v>0.32</c:v>
                </c:pt>
                <c:pt idx="2">
                  <c:v>0.24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D-435D-9934-1B7BF19E18A9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(Datos!$BP$1,Datos!$BR$1,Datos!$BT$1,Datos!$BV$1)</c:f>
              <c:strCache>
                <c:ptCount val="4"/>
                <c:pt idx="0">
                  <c:v>Calidad_6_0</c:v>
                </c:pt>
                <c:pt idx="1">
                  <c:v>Calidad_6_1</c:v>
                </c:pt>
                <c:pt idx="2">
                  <c:v>Calidad_6_2</c:v>
                </c:pt>
                <c:pt idx="3">
                  <c:v>Calidad_6_3</c:v>
                </c:pt>
              </c:strCache>
            </c:strRef>
          </c:cat>
          <c:val>
            <c:numRef>
              <c:f>(Datos!$BP$5,Datos!$BR$5,Datos!$BT$5,Datos!$BV$5)</c:f>
              <c:numCache>
                <c:formatCode>0.00%</c:formatCode>
                <c:ptCount val="4"/>
                <c:pt idx="0">
                  <c:v>0</c:v>
                </c:pt>
                <c:pt idx="1">
                  <c:v>0.26</c:v>
                </c:pt>
                <c:pt idx="2">
                  <c:v>0.24</c:v>
                </c:pt>
                <c:pt idx="3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D-435D-9934-1B7BF19E18A9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(Datos!$BP$1,Datos!$BR$1,Datos!$BT$1,Datos!$BV$1)</c:f>
              <c:strCache>
                <c:ptCount val="4"/>
                <c:pt idx="0">
                  <c:v>Calidad_6_0</c:v>
                </c:pt>
                <c:pt idx="1">
                  <c:v>Calidad_6_1</c:v>
                </c:pt>
                <c:pt idx="2">
                  <c:v>Calidad_6_2</c:v>
                </c:pt>
                <c:pt idx="3">
                  <c:v>Calidad_6_3</c:v>
                </c:pt>
              </c:strCache>
            </c:strRef>
          </c:cat>
          <c:val>
            <c:numRef>
              <c:f>(Datos!$BP$6,Datos!$BR$6,Datos!$BT$6,Datos!$BV$6)</c:f>
              <c:numCache>
                <c:formatCode>0.00%</c:formatCode>
                <c:ptCount val="4"/>
                <c:pt idx="0">
                  <c:v>0.1</c:v>
                </c:pt>
                <c:pt idx="1">
                  <c:v>0.42</c:v>
                </c:pt>
                <c:pt idx="2">
                  <c:v>0.52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D-435D-9934-1B7BF19E1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515600"/>
        <c:axId val="10885193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(Datos!$BP$1,Datos!$BR$1,Datos!$BT$1,Datos!$BV$1)</c15:sqref>
                        </c15:formulaRef>
                      </c:ext>
                    </c:extLst>
                    <c:strCache>
                      <c:ptCount val="4"/>
                      <c:pt idx="0">
                        <c:v>Calidad_6_0</c:v>
                      </c:pt>
                      <c:pt idx="1">
                        <c:v>Calidad_6_1</c:v>
                      </c:pt>
                      <c:pt idx="2">
                        <c:v>Calidad_6_2</c:v>
                      </c:pt>
                      <c:pt idx="3">
                        <c:v>Calidad_6_3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(Datos!$BP$2,Datos!$BR$2,Datos!$BT$2,Datos!$BV$2)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88D-435D-9934-1B7BF19E18A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(Datos!$BP$1,Datos!$BR$1,Datos!$BT$1,Datos!$BV$1)</c15:sqref>
                        </c15:formulaRef>
                      </c:ext>
                    </c:extLst>
                    <c:strCache>
                      <c:ptCount val="4"/>
                      <c:pt idx="0">
                        <c:v>Calidad_6_0</c:v>
                      </c:pt>
                      <c:pt idx="1">
                        <c:v>Calidad_6_1</c:v>
                      </c:pt>
                      <c:pt idx="2">
                        <c:v>Calidad_6_2</c:v>
                      </c:pt>
                      <c:pt idx="3">
                        <c:v>Calidad_6_3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(Datos!$BP$3,Datos!$BR$3,Datos!$BT$3,Datos!$BV$3)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88D-435D-9934-1B7BF19E18A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(Datos!$BP$1,Datos!$BR$1,Datos!$BT$1,Datos!$BV$1)</c15:sqref>
                        </c15:formulaRef>
                      </c:ext>
                    </c:extLst>
                    <c:strCache>
                      <c:ptCount val="4"/>
                      <c:pt idx="0">
                        <c:v>Calidad_6_0</c:v>
                      </c:pt>
                      <c:pt idx="1">
                        <c:v>Calidad_6_1</c:v>
                      </c:pt>
                      <c:pt idx="2">
                        <c:v>Calidad_6_2</c:v>
                      </c:pt>
                      <c:pt idx="3">
                        <c:v>Calidad_6_3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(Datos!$BP$8,Datos!$BR$8,Datos!$BT$8,Datos!$BV$8)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88D-435D-9934-1B7BF19E18A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(Datos!$BP$1,Datos!$BR$1,Datos!$BT$1,Datos!$BV$1)</c15:sqref>
                        </c15:formulaRef>
                      </c:ext>
                    </c:extLst>
                    <c:strCache>
                      <c:ptCount val="4"/>
                      <c:pt idx="0">
                        <c:v>Calidad_6_0</c:v>
                      </c:pt>
                      <c:pt idx="1">
                        <c:v>Calidad_6_1</c:v>
                      </c:pt>
                      <c:pt idx="2">
                        <c:v>Calidad_6_2</c:v>
                      </c:pt>
                      <c:pt idx="3">
                        <c:v>Calidad_6_3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(Datos!$BP$9,Datos!$BR$9,Datos!$BT$9,Datos!$BV$9)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88D-435D-9934-1B7BF19E18A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(Datos!$BP$1,Datos!$BR$1,Datos!$BT$1,Datos!$BV$1)</c15:sqref>
                        </c15:formulaRef>
                      </c:ext>
                    </c:extLst>
                    <c:strCache>
                      <c:ptCount val="4"/>
                      <c:pt idx="0">
                        <c:v>Calidad_6_0</c:v>
                      </c:pt>
                      <c:pt idx="1">
                        <c:v>Calidad_6_1</c:v>
                      </c:pt>
                      <c:pt idx="2">
                        <c:v>Calidad_6_2</c:v>
                      </c:pt>
                      <c:pt idx="3">
                        <c:v>Calidad_6_3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(Datos!$BP$10,Datos!$BR$10,Datos!$BT$10,Datos!$BV$10)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88D-435D-9934-1B7BF19E18A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(Datos!$BP$1,Datos!$BR$1,Datos!$BT$1,Datos!$BV$1)</c15:sqref>
                        </c15:formulaRef>
                      </c:ext>
                    </c:extLst>
                    <c:strCache>
                      <c:ptCount val="4"/>
                      <c:pt idx="0">
                        <c:v>Calidad_6_0</c:v>
                      </c:pt>
                      <c:pt idx="1">
                        <c:v>Calidad_6_1</c:v>
                      </c:pt>
                      <c:pt idx="2">
                        <c:v>Calidad_6_2</c:v>
                      </c:pt>
                      <c:pt idx="3">
                        <c:v>Calidad_6_3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(Datos!$BP$11,Datos!$BR$11,Datos!$BT$11,Datos!$BV$11)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88D-435D-9934-1B7BF19E18A9}"/>
                  </c:ext>
                </c:extLst>
              </c15:ser>
            </c15:filteredBarSeries>
          </c:ext>
        </c:extLst>
      </c:barChart>
      <c:catAx>
        <c:axId val="1088515600"/>
        <c:scaling>
          <c:orientation val="minMax"/>
        </c:scaling>
        <c:delete val="0"/>
        <c:axPos val="b"/>
        <c:title>
          <c:tx>
            <c:strRef>
              <c:f>Datos!$BP$10</c:f>
              <c:strCache>
                <c:ptCount val="1"/>
                <c:pt idx="0">
                  <c:v>Contenido de los Items de la Sección 6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19344"/>
        <c:crosses val="autoZero"/>
        <c:auto val="1"/>
        <c:lblAlgn val="ctr"/>
        <c:lblOffset val="100"/>
        <c:noMultiLvlLbl val="0"/>
      </c:catAx>
      <c:valAx>
        <c:axId val="108851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Datos!$BP$9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156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Datos!$BX$8</c:f>
          <c:strCache>
            <c:ptCount val="1"/>
            <c:pt idx="0">
              <c:v>Calidad del Contenido de los Items de la Sección 7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(Datos!$BX$1,Datos!$BZ$1,Datos!$CB$1)</c:f>
              <c:strCache>
                <c:ptCount val="3"/>
                <c:pt idx="0">
                  <c:v>Calidad_7_0</c:v>
                </c:pt>
                <c:pt idx="1">
                  <c:v>Calidad_7_1</c:v>
                </c:pt>
                <c:pt idx="2">
                  <c:v>Calidad_7_2</c:v>
                </c:pt>
              </c:strCache>
            </c:strRef>
          </c:cat>
          <c:val>
            <c:numRef>
              <c:f>(Datos!$BX$4,Datos!$BZ$4,Datos!$CB$4)</c:f>
              <c:numCache>
                <c:formatCode>0.00%</c:formatCode>
                <c:ptCount val="3"/>
                <c:pt idx="0">
                  <c:v>0.9</c:v>
                </c:pt>
                <c:pt idx="1">
                  <c:v>0.7</c:v>
                </c:pt>
                <c:pt idx="2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2-446B-9B1B-9B1B2947039F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(Datos!$BX$1,Datos!$BZ$1,Datos!$CB$1)</c:f>
              <c:strCache>
                <c:ptCount val="3"/>
                <c:pt idx="0">
                  <c:v>Calidad_7_0</c:v>
                </c:pt>
                <c:pt idx="1">
                  <c:v>Calidad_7_1</c:v>
                </c:pt>
                <c:pt idx="2">
                  <c:v>Calidad_7_2</c:v>
                </c:pt>
              </c:strCache>
            </c:strRef>
          </c:cat>
          <c:val>
            <c:numRef>
              <c:f>(Datos!$BX$5,Datos!$BZ$5,Datos!$CB$5)</c:f>
              <c:numCache>
                <c:formatCode>0.00%</c:formatCode>
                <c:ptCount val="3"/>
                <c:pt idx="0">
                  <c:v>0.1</c:v>
                </c:pt>
                <c:pt idx="1">
                  <c:v>0</c:v>
                </c:pt>
                <c:pt idx="2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02-446B-9B1B-9B1B2947039F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(Datos!$BX$1,Datos!$BZ$1,Datos!$CB$1)</c:f>
              <c:strCache>
                <c:ptCount val="3"/>
                <c:pt idx="0">
                  <c:v>Calidad_7_0</c:v>
                </c:pt>
                <c:pt idx="1">
                  <c:v>Calidad_7_1</c:v>
                </c:pt>
                <c:pt idx="2">
                  <c:v>Calidad_7_2</c:v>
                </c:pt>
              </c:strCache>
            </c:strRef>
          </c:cat>
          <c:val>
            <c:numRef>
              <c:f>(Datos!$BX$6,Datos!$BZ$6,Datos!$CB$6)</c:f>
              <c:numCache>
                <c:formatCode>0.00%</c:formatCode>
                <c:ptCount val="3"/>
                <c:pt idx="0">
                  <c:v>0</c:v>
                </c:pt>
                <c:pt idx="1">
                  <c:v>0.3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02-446B-9B1B-9B1B29470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6754736"/>
        <c:axId val="1556755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(Datos!$BX$1,Datos!$BZ$1,Datos!$CB$1)</c15:sqref>
                        </c15:formulaRef>
                      </c:ext>
                    </c:extLst>
                    <c:strCache>
                      <c:ptCount val="3"/>
                      <c:pt idx="0">
                        <c:v>Calidad_7_0</c:v>
                      </c:pt>
                      <c:pt idx="1">
                        <c:v>Calidad_7_1</c:v>
                      </c:pt>
                      <c:pt idx="2">
                        <c:v>Calidad_7_2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(Datos!$BX$2,Datos!$BZ$2,Datos!$CB$2)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C02-446B-9B1B-9B1B2947039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(Datos!$BX$1,Datos!$BZ$1,Datos!$CB$1)</c15:sqref>
                        </c15:formulaRef>
                      </c:ext>
                    </c:extLst>
                    <c:strCache>
                      <c:ptCount val="3"/>
                      <c:pt idx="0">
                        <c:v>Calidad_7_0</c:v>
                      </c:pt>
                      <c:pt idx="1">
                        <c:v>Calidad_7_1</c:v>
                      </c:pt>
                      <c:pt idx="2">
                        <c:v>Calidad_7_2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(Datos!$BX$3,Datos!$BZ$3,Datos!$CB$3)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02-446B-9B1B-9B1B2947039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(Datos!$BX$1,Datos!$BZ$1,Datos!$CB$1)</c15:sqref>
                        </c15:formulaRef>
                      </c:ext>
                    </c:extLst>
                    <c:strCache>
                      <c:ptCount val="3"/>
                      <c:pt idx="0">
                        <c:v>Calidad_7_0</c:v>
                      </c:pt>
                      <c:pt idx="1">
                        <c:v>Calidad_7_1</c:v>
                      </c:pt>
                      <c:pt idx="2">
                        <c:v>Calidad_7_2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(Datos!$BX$8,Datos!$BZ$8,Datos!$CB$8)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C02-446B-9B1B-9B1B2947039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(Datos!$BX$1,Datos!$BZ$1,Datos!$CB$1)</c15:sqref>
                        </c15:formulaRef>
                      </c:ext>
                    </c:extLst>
                    <c:strCache>
                      <c:ptCount val="3"/>
                      <c:pt idx="0">
                        <c:v>Calidad_7_0</c:v>
                      </c:pt>
                      <c:pt idx="1">
                        <c:v>Calidad_7_1</c:v>
                      </c:pt>
                      <c:pt idx="2">
                        <c:v>Calidad_7_2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(Datos!$BX$9,Datos!$BZ$9,Datos!$CB$9)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C02-446B-9B1B-9B1B2947039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(Datos!$BX$1,Datos!$BZ$1,Datos!$CB$1)</c15:sqref>
                        </c15:formulaRef>
                      </c:ext>
                    </c:extLst>
                    <c:strCache>
                      <c:ptCount val="3"/>
                      <c:pt idx="0">
                        <c:v>Calidad_7_0</c:v>
                      </c:pt>
                      <c:pt idx="1">
                        <c:v>Calidad_7_1</c:v>
                      </c:pt>
                      <c:pt idx="2">
                        <c:v>Calidad_7_2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(Datos!$BX$10,Datos!$BZ$10,Datos!$CB$10)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C02-446B-9B1B-9B1B2947039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(Datos!$BX$1,Datos!$BZ$1,Datos!$CB$1)</c15:sqref>
                        </c15:formulaRef>
                      </c:ext>
                    </c:extLst>
                    <c:strCache>
                      <c:ptCount val="3"/>
                      <c:pt idx="0">
                        <c:v>Calidad_7_0</c:v>
                      </c:pt>
                      <c:pt idx="1">
                        <c:v>Calidad_7_1</c:v>
                      </c:pt>
                      <c:pt idx="2">
                        <c:v>Calidad_7_2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(Datos!$BX$11,Datos!$BZ$11,Datos!$CB$11)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C02-446B-9B1B-9B1B2947039F}"/>
                  </c:ext>
                </c:extLst>
              </c15:ser>
            </c15:filteredBarSeries>
          </c:ext>
        </c:extLst>
      </c:barChart>
      <c:catAx>
        <c:axId val="1556754736"/>
        <c:scaling>
          <c:orientation val="minMax"/>
        </c:scaling>
        <c:delete val="0"/>
        <c:axPos val="b"/>
        <c:title>
          <c:tx>
            <c:strRef>
              <c:f>Datos!$BX$10</c:f>
              <c:strCache>
                <c:ptCount val="1"/>
                <c:pt idx="0">
                  <c:v>Contenido de los Items de la Sección 7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55568"/>
        <c:crosses val="autoZero"/>
        <c:auto val="1"/>
        <c:lblAlgn val="ctr"/>
        <c:lblOffset val="100"/>
        <c:noMultiLvlLbl val="0"/>
      </c:catAx>
      <c:valAx>
        <c:axId val="15567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Datos!$BX$9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54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Datos!$CD$8</c:f>
          <c:strCache>
            <c:ptCount val="1"/>
            <c:pt idx="0">
              <c:v>Calidad del Contenido de los Items de la Sección 8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(Datos!$CD$1,Datos!$CF$1,Datos!$CH$1,Datos!$CJ$1)</c:f>
              <c:strCache>
                <c:ptCount val="4"/>
                <c:pt idx="0">
                  <c:v>Calidad_8_0</c:v>
                </c:pt>
                <c:pt idx="1">
                  <c:v>Calidad_8_1</c:v>
                </c:pt>
                <c:pt idx="2">
                  <c:v>Calidad_8_2</c:v>
                </c:pt>
                <c:pt idx="3">
                  <c:v>Calidad_8_3</c:v>
                </c:pt>
              </c:strCache>
            </c:strRef>
          </c:cat>
          <c:val>
            <c:numRef>
              <c:f>(Datos!$CD$4,Datos!$CF$4,Datos!$CH$4,Datos!$CJ$4)</c:f>
              <c:numCache>
                <c:formatCode>0.00%</c:formatCode>
                <c:ptCount val="4"/>
                <c:pt idx="0">
                  <c:v>0.9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0-41AE-AC15-DA4A0E64FB28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(Datos!$CD$1,Datos!$CF$1,Datos!$CH$1,Datos!$CJ$1)</c:f>
              <c:strCache>
                <c:ptCount val="4"/>
                <c:pt idx="0">
                  <c:v>Calidad_8_0</c:v>
                </c:pt>
                <c:pt idx="1">
                  <c:v>Calidad_8_1</c:v>
                </c:pt>
                <c:pt idx="2">
                  <c:v>Calidad_8_2</c:v>
                </c:pt>
                <c:pt idx="3">
                  <c:v>Calidad_8_3</c:v>
                </c:pt>
              </c:strCache>
            </c:strRef>
          </c:cat>
          <c:val>
            <c:numRef>
              <c:f>(Datos!$CD$5,Datos!$CF$5,Datos!$CH$5,Datos!$CJ$5)</c:f>
              <c:numCache>
                <c:formatCode>0.00%</c:formatCode>
                <c:ptCount val="4"/>
                <c:pt idx="0">
                  <c:v>0.1</c:v>
                </c:pt>
                <c:pt idx="1">
                  <c:v>0.64</c:v>
                </c:pt>
                <c:pt idx="2">
                  <c:v>0.26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C0-41AE-AC15-DA4A0E64FB28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(Datos!$CD$1,Datos!$CF$1,Datos!$CH$1,Datos!$CJ$1)</c:f>
              <c:strCache>
                <c:ptCount val="4"/>
                <c:pt idx="0">
                  <c:v>Calidad_8_0</c:v>
                </c:pt>
                <c:pt idx="1">
                  <c:v>Calidad_8_1</c:v>
                </c:pt>
                <c:pt idx="2">
                  <c:v>Calidad_8_2</c:v>
                </c:pt>
                <c:pt idx="3">
                  <c:v>Calidad_8_3</c:v>
                </c:pt>
              </c:strCache>
            </c:strRef>
          </c:cat>
          <c:val>
            <c:numRef>
              <c:f>(Datos!$CD$6,Datos!$CF$6,Datos!$CH$6,Datos!$CJ$6)</c:f>
              <c:numCache>
                <c:formatCode>0.00%</c:formatCode>
                <c:ptCount val="4"/>
                <c:pt idx="0">
                  <c:v>0</c:v>
                </c:pt>
                <c:pt idx="1">
                  <c:v>0.2</c:v>
                </c:pt>
                <c:pt idx="2">
                  <c:v>0.6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C0-41AE-AC15-DA4A0E64F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5826624"/>
        <c:axId val="2345504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(Datos!$CD$1,Datos!$CF$1,Datos!$CH$1,Datos!$CJ$1)</c15:sqref>
                        </c15:formulaRef>
                      </c:ext>
                    </c:extLst>
                    <c:strCache>
                      <c:ptCount val="4"/>
                      <c:pt idx="0">
                        <c:v>Calidad_8_0</c:v>
                      </c:pt>
                      <c:pt idx="1">
                        <c:v>Calidad_8_1</c:v>
                      </c:pt>
                      <c:pt idx="2">
                        <c:v>Calidad_8_2</c:v>
                      </c:pt>
                      <c:pt idx="3">
                        <c:v>Calidad_8_3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(Datos!$CD$2,Datos!$CF$2,Datos!$CH$2,Datos!$CJ$2)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0C0-41AE-AC15-DA4A0E64FB2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(Datos!$CD$1,Datos!$CF$1,Datos!$CH$1,Datos!$CJ$1)</c15:sqref>
                        </c15:formulaRef>
                      </c:ext>
                    </c:extLst>
                    <c:strCache>
                      <c:ptCount val="4"/>
                      <c:pt idx="0">
                        <c:v>Calidad_8_0</c:v>
                      </c:pt>
                      <c:pt idx="1">
                        <c:v>Calidad_8_1</c:v>
                      </c:pt>
                      <c:pt idx="2">
                        <c:v>Calidad_8_2</c:v>
                      </c:pt>
                      <c:pt idx="3">
                        <c:v>Calidad_8_3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(Datos!$CD$3,Datos!$CF$3,Datos!$CH$3,Datos!$CJ$3)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C0-41AE-AC15-DA4A0E64FB2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(Datos!$CD$1,Datos!$CF$1,Datos!$CH$1,Datos!$CJ$1)</c15:sqref>
                        </c15:formulaRef>
                      </c:ext>
                    </c:extLst>
                    <c:strCache>
                      <c:ptCount val="4"/>
                      <c:pt idx="0">
                        <c:v>Calidad_8_0</c:v>
                      </c:pt>
                      <c:pt idx="1">
                        <c:v>Calidad_8_1</c:v>
                      </c:pt>
                      <c:pt idx="2">
                        <c:v>Calidad_8_2</c:v>
                      </c:pt>
                      <c:pt idx="3">
                        <c:v>Calidad_8_3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(Datos!$CD$8,Datos!$CF$8,Datos!$CH$8,Datos!$CJ$8)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C0-41AE-AC15-DA4A0E64FB2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(Datos!$CD$1,Datos!$CF$1,Datos!$CH$1,Datos!$CJ$1)</c15:sqref>
                        </c15:formulaRef>
                      </c:ext>
                    </c:extLst>
                    <c:strCache>
                      <c:ptCount val="4"/>
                      <c:pt idx="0">
                        <c:v>Calidad_8_0</c:v>
                      </c:pt>
                      <c:pt idx="1">
                        <c:v>Calidad_8_1</c:v>
                      </c:pt>
                      <c:pt idx="2">
                        <c:v>Calidad_8_2</c:v>
                      </c:pt>
                      <c:pt idx="3">
                        <c:v>Calidad_8_3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(Datos!$CD$9,Datos!$CF$9,Datos!$CH$9,Datos!$CJ$9)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C0-41AE-AC15-DA4A0E64FB2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(Datos!$CD$1,Datos!$CF$1,Datos!$CH$1,Datos!$CJ$1)</c15:sqref>
                        </c15:formulaRef>
                      </c:ext>
                    </c:extLst>
                    <c:strCache>
                      <c:ptCount val="4"/>
                      <c:pt idx="0">
                        <c:v>Calidad_8_0</c:v>
                      </c:pt>
                      <c:pt idx="1">
                        <c:v>Calidad_8_1</c:v>
                      </c:pt>
                      <c:pt idx="2">
                        <c:v>Calidad_8_2</c:v>
                      </c:pt>
                      <c:pt idx="3">
                        <c:v>Calidad_8_3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(Datos!$CD$10,Datos!$CF$10,Datos!$CH$10,Datos!$CJ$10)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C0-41AE-AC15-DA4A0E64FB2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(Datos!$CD$1,Datos!$CF$1,Datos!$CH$1,Datos!$CJ$1)</c15:sqref>
                        </c15:formulaRef>
                      </c:ext>
                    </c:extLst>
                    <c:strCache>
                      <c:ptCount val="4"/>
                      <c:pt idx="0">
                        <c:v>Calidad_8_0</c:v>
                      </c:pt>
                      <c:pt idx="1">
                        <c:v>Calidad_8_1</c:v>
                      </c:pt>
                      <c:pt idx="2">
                        <c:v>Calidad_8_2</c:v>
                      </c:pt>
                      <c:pt idx="3">
                        <c:v>Calidad_8_3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(Datos!$CD$11,Datos!$CF$11,Datos!$CH$11,Datos!$CJ$11)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0C0-41AE-AC15-DA4A0E64FB28}"/>
                  </c:ext>
                </c:extLst>
              </c15:ser>
            </c15:filteredBarSeries>
          </c:ext>
        </c:extLst>
      </c:barChart>
      <c:catAx>
        <c:axId val="1555826624"/>
        <c:scaling>
          <c:orientation val="minMax"/>
        </c:scaling>
        <c:delete val="0"/>
        <c:axPos val="b"/>
        <c:title>
          <c:tx>
            <c:strRef>
              <c:f>Datos!$CD$10</c:f>
              <c:strCache>
                <c:ptCount val="1"/>
                <c:pt idx="0">
                  <c:v>Contenido de los Items de la Sección 8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4550480"/>
        <c:crosses val="autoZero"/>
        <c:auto val="1"/>
        <c:lblAlgn val="ctr"/>
        <c:lblOffset val="100"/>
        <c:noMultiLvlLbl val="0"/>
      </c:catAx>
      <c:valAx>
        <c:axId val="23455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Datos!$CD$9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5826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Datos!$CL$8</c:f>
          <c:strCache>
            <c:ptCount val="1"/>
            <c:pt idx="0">
              <c:v>Calidad del Contenido de los Items de la Sección 9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(Datos!$CL$1,Datos!$CN$1)</c:f>
              <c:strCache>
                <c:ptCount val="2"/>
                <c:pt idx="0">
                  <c:v>Calidad_9_0</c:v>
                </c:pt>
                <c:pt idx="1">
                  <c:v>Calidad_9_1</c:v>
                </c:pt>
              </c:strCache>
            </c:strRef>
          </c:cat>
          <c:val>
            <c:numRef>
              <c:f>(Datos!$CL$4,Datos!$CN$4)</c:f>
              <c:numCache>
                <c:formatCode>0.00%</c:formatCode>
                <c:ptCount val="2"/>
                <c:pt idx="0">
                  <c:v>0.9</c:v>
                </c:pt>
                <c:pt idx="1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1-466A-B840-4E4367C9DB79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(Datos!$CL$1,Datos!$CN$1)</c:f>
              <c:strCache>
                <c:ptCount val="2"/>
                <c:pt idx="0">
                  <c:v>Calidad_9_0</c:v>
                </c:pt>
                <c:pt idx="1">
                  <c:v>Calidad_9_1</c:v>
                </c:pt>
              </c:strCache>
            </c:strRef>
          </c:cat>
          <c:val>
            <c:numRef>
              <c:f>(Datos!$CL$5,Datos!$CN$5)</c:f>
              <c:numCache>
                <c:formatCode>0.00%</c:formatCode>
                <c:ptCount val="2"/>
                <c:pt idx="0">
                  <c:v>0</c:v>
                </c:pt>
                <c:pt idx="1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1-466A-B840-4E4367C9DB79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(Datos!$CL$1,Datos!$CN$1)</c:f>
              <c:strCache>
                <c:ptCount val="2"/>
                <c:pt idx="0">
                  <c:v>Calidad_9_0</c:v>
                </c:pt>
                <c:pt idx="1">
                  <c:v>Calidad_9_1</c:v>
                </c:pt>
              </c:strCache>
            </c:strRef>
          </c:cat>
          <c:val>
            <c:numRef>
              <c:f>(Datos!$CL$6,Datos!$CN$6)</c:f>
              <c:numCache>
                <c:formatCode>0.00%</c:formatCode>
                <c:ptCount val="2"/>
                <c:pt idx="0">
                  <c:v>0.1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1-466A-B840-4E4367C9D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6757648"/>
        <c:axId val="155675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(Datos!$CL$1,Datos!$CN$1)</c15:sqref>
                        </c15:formulaRef>
                      </c:ext>
                    </c:extLst>
                    <c:strCache>
                      <c:ptCount val="2"/>
                      <c:pt idx="0">
                        <c:v>Calidad_9_0</c:v>
                      </c:pt>
                      <c:pt idx="1">
                        <c:v>Calidad_9_1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(Datos!$CL$2,Datos!$CN$2)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431-466A-B840-4E4367C9DB7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(Datos!$CL$1,Datos!$CN$1)</c15:sqref>
                        </c15:formulaRef>
                      </c:ext>
                    </c:extLst>
                    <c:strCache>
                      <c:ptCount val="2"/>
                      <c:pt idx="0">
                        <c:v>Calidad_9_0</c:v>
                      </c:pt>
                      <c:pt idx="1">
                        <c:v>Calidad_9_1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(Datos!$CL$3,Datos!$CN$3)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431-466A-B840-4E4367C9DB7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(Datos!$CL$1,Datos!$CN$1)</c15:sqref>
                        </c15:formulaRef>
                      </c:ext>
                    </c:extLst>
                    <c:strCache>
                      <c:ptCount val="2"/>
                      <c:pt idx="0">
                        <c:v>Calidad_9_0</c:v>
                      </c:pt>
                      <c:pt idx="1">
                        <c:v>Calidad_9_1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(Datos!$CL$8,Datos!$CN$8)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431-466A-B840-4E4367C9DB7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(Datos!$CL$1,Datos!$CN$1)</c15:sqref>
                        </c15:formulaRef>
                      </c:ext>
                    </c:extLst>
                    <c:strCache>
                      <c:ptCount val="2"/>
                      <c:pt idx="0">
                        <c:v>Calidad_9_0</c:v>
                      </c:pt>
                      <c:pt idx="1">
                        <c:v>Calidad_9_1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(Datos!$CL$9,Datos!$CN$9)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431-466A-B840-4E4367C9DB7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(Datos!$CL$1,Datos!$CN$1)</c15:sqref>
                        </c15:formulaRef>
                      </c:ext>
                    </c:extLst>
                    <c:strCache>
                      <c:ptCount val="2"/>
                      <c:pt idx="0">
                        <c:v>Calidad_9_0</c:v>
                      </c:pt>
                      <c:pt idx="1">
                        <c:v>Calidad_9_1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(Datos!$CL$10,Datos!$CN$10)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431-466A-B840-4E4367C9DB7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(Datos!$CL$1,Datos!$CN$1)</c15:sqref>
                        </c15:formulaRef>
                      </c:ext>
                    </c:extLst>
                    <c:strCache>
                      <c:ptCount val="2"/>
                      <c:pt idx="0">
                        <c:v>Calidad_9_0</c:v>
                      </c:pt>
                      <c:pt idx="1">
                        <c:v>Calidad_9_1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(Datos!$CL$11,Datos!$CN$11)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431-466A-B840-4E4367C9DB79}"/>
                  </c:ext>
                </c:extLst>
              </c15:ser>
            </c15:filteredBarSeries>
          </c:ext>
        </c:extLst>
      </c:barChart>
      <c:catAx>
        <c:axId val="1556757648"/>
        <c:scaling>
          <c:orientation val="minMax"/>
        </c:scaling>
        <c:delete val="0"/>
        <c:axPos val="b"/>
        <c:title>
          <c:tx>
            <c:strRef>
              <c:f>Datos!$CL$10</c:f>
              <c:strCache>
                <c:ptCount val="1"/>
                <c:pt idx="0">
                  <c:v>Contenido de los Items de la Sección 9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58896"/>
        <c:crosses val="autoZero"/>
        <c:auto val="1"/>
        <c:lblAlgn val="ctr"/>
        <c:lblOffset val="100"/>
        <c:noMultiLvlLbl val="0"/>
      </c:catAx>
      <c:valAx>
        <c:axId val="15567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Datos!$CL$9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57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Datos!$CP$8</c:f>
          <c:strCache>
            <c:ptCount val="1"/>
            <c:pt idx="0">
              <c:v>Calidad del Contenido de los Items de la Sección 10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(Datos!$CP$1,Datos!$CR$1,Datos!$CT$1,Datos!$CV$1,Datos!$CX$1,Datos!$CZ$1,Datos!$DB$1)</c:f>
              <c:strCache>
                <c:ptCount val="7"/>
                <c:pt idx="0">
                  <c:v>Calidad_10_0</c:v>
                </c:pt>
                <c:pt idx="1">
                  <c:v>Calidad_10_2_1</c:v>
                </c:pt>
                <c:pt idx="2">
                  <c:v>Calidad_10_2_2</c:v>
                </c:pt>
                <c:pt idx="3">
                  <c:v>Calidad_10_2_3</c:v>
                </c:pt>
                <c:pt idx="4">
                  <c:v>Calidad_10_2_4</c:v>
                </c:pt>
                <c:pt idx="5">
                  <c:v>Calidad_10_2_5</c:v>
                </c:pt>
                <c:pt idx="6">
                  <c:v>Calidad_10_2_6</c:v>
                </c:pt>
              </c:strCache>
            </c:strRef>
          </c:cat>
          <c:val>
            <c:numRef>
              <c:f>(Datos!$CP$4,Datos!$CR$4,Datos!$CT$4,Datos!$CV$4,Datos!$CX$4,Datos!$CZ$4,Datos!$DB$4)</c:f>
              <c:numCache>
                <c:formatCode>0.00%</c:formatCode>
                <c:ptCount val="7"/>
                <c:pt idx="0">
                  <c:v>1</c:v>
                </c:pt>
                <c:pt idx="1">
                  <c:v>0.12</c:v>
                </c:pt>
                <c:pt idx="2">
                  <c:v>0.24</c:v>
                </c:pt>
                <c:pt idx="3">
                  <c:v>0.12</c:v>
                </c:pt>
                <c:pt idx="4">
                  <c:v>0.26</c:v>
                </c:pt>
                <c:pt idx="5">
                  <c:v>0.26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6-49EF-AF10-6D968E921D25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(Datos!$CP$1,Datos!$CR$1,Datos!$CT$1,Datos!$CV$1,Datos!$CX$1,Datos!$CZ$1,Datos!$DB$1)</c:f>
              <c:strCache>
                <c:ptCount val="7"/>
                <c:pt idx="0">
                  <c:v>Calidad_10_0</c:v>
                </c:pt>
                <c:pt idx="1">
                  <c:v>Calidad_10_2_1</c:v>
                </c:pt>
                <c:pt idx="2">
                  <c:v>Calidad_10_2_2</c:v>
                </c:pt>
                <c:pt idx="3">
                  <c:v>Calidad_10_2_3</c:v>
                </c:pt>
                <c:pt idx="4">
                  <c:v>Calidad_10_2_4</c:v>
                </c:pt>
                <c:pt idx="5">
                  <c:v>Calidad_10_2_5</c:v>
                </c:pt>
                <c:pt idx="6">
                  <c:v>Calidad_10_2_6</c:v>
                </c:pt>
              </c:strCache>
            </c:strRef>
          </c:cat>
          <c:val>
            <c:numRef>
              <c:f>(Datos!$CP$5,Datos!$CR$5,Datos!$CT$5,Datos!$CV$5,Datos!$CX$5,Datos!$CZ$5,Datos!$DB$5)</c:f>
              <c:numCache>
                <c:formatCode>0.00%</c:formatCode>
                <c:ptCount val="7"/>
                <c:pt idx="0">
                  <c:v>0</c:v>
                </c:pt>
                <c:pt idx="1">
                  <c:v>0.4</c:v>
                </c:pt>
                <c:pt idx="2">
                  <c:v>0.48</c:v>
                </c:pt>
                <c:pt idx="3">
                  <c:v>0.48</c:v>
                </c:pt>
                <c:pt idx="4">
                  <c:v>0.64</c:v>
                </c:pt>
                <c:pt idx="5">
                  <c:v>0.64</c:v>
                </c:pt>
                <c:pt idx="6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76-49EF-AF10-6D968E921D25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(Datos!$CP$1,Datos!$CR$1,Datos!$CT$1,Datos!$CV$1,Datos!$CX$1,Datos!$CZ$1,Datos!$DB$1)</c:f>
              <c:strCache>
                <c:ptCount val="7"/>
                <c:pt idx="0">
                  <c:v>Calidad_10_0</c:v>
                </c:pt>
                <c:pt idx="1">
                  <c:v>Calidad_10_2_1</c:v>
                </c:pt>
                <c:pt idx="2">
                  <c:v>Calidad_10_2_2</c:v>
                </c:pt>
                <c:pt idx="3">
                  <c:v>Calidad_10_2_3</c:v>
                </c:pt>
                <c:pt idx="4">
                  <c:v>Calidad_10_2_4</c:v>
                </c:pt>
                <c:pt idx="5">
                  <c:v>Calidad_10_2_5</c:v>
                </c:pt>
                <c:pt idx="6">
                  <c:v>Calidad_10_2_6</c:v>
                </c:pt>
              </c:strCache>
            </c:strRef>
          </c:cat>
          <c:val>
            <c:numRef>
              <c:f>(Datos!$CP$6,Datos!$CR$6,Datos!$CT$6,Datos!$CV$6,Datos!$CX$6,Datos!$CZ$6,Datos!$DB$6)</c:f>
              <c:numCache>
                <c:formatCode>0.00%</c:formatCode>
                <c:ptCount val="7"/>
                <c:pt idx="0">
                  <c:v>0</c:v>
                </c:pt>
                <c:pt idx="1">
                  <c:v>0.48</c:v>
                </c:pt>
                <c:pt idx="2">
                  <c:v>0.28000000000000003</c:v>
                </c:pt>
                <c:pt idx="3">
                  <c:v>0.4</c:v>
                </c:pt>
                <c:pt idx="4">
                  <c:v>0.1</c:v>
                </c:pt>
                <c:pt idx="5">
                  <c:v>0.1</c:v>
                </c:pt>
                <c:pt idx="6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76-49EF-AF10-6D968E921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6755568"/>
        <c:axId val="15567559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(Datos!$CP$1,Datos!$CR$1,Datos!$CT$1,Datos!$CV$1,Datos!$CX$1,Datos!$CZ$1,Datos!$DB$1)</c15:sqref>
                        </c15:formulaRef>
                      </c:ext>
                    </c:extLst>
                    <c:strCache>
                      <c:ptCount val="7"/>
                      <c:pt idx="0">
                        <c:v>Calidad_10_0</c:v>
                      </c:pt>
                      <c:pt idx="1">
                        <c:v>Calidad_10_2_1</c:v>
                      </c:pt>
                      <c:pt idx="2">
                        <c:v>Calidad_10_2_2</c:v>
                      </c:pt>
                      <c:pt idx="3">
                        <c:v>Calidad_10_2_3</c:v>
                      </c:pt>
                      <c:pt idx="4">
                        <c:v>Calidad_10_2_4</c:v>
                      </c:pt>
                      <c:pt idx="5">
                        <c:v>Calidad_10_2_5</c:v>
                      </c:pt>
                      <c:pt idx="6">
                        <c:v>Calidad_10_2_6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(Datos!$CP$2,Datos!$CR$2,Datos!$CT$2,Datos!$CV$2,Datos!$CX$2,Datos!$CZ$2,Datos!$DB$2)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576-49EF-AF10-6D968E921D2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(Datos!$CP$1,Datos!$CR$1,Datos!$CT$1,Datos!$CV$1,Datos!$CX$1,Datos!$CZ$1,Datos!$DB$1)</c15:sqref>
                        </c15:formulaRef>
                      </c:ext>
                    </c:extLst>
                    <c:strCache>
                      <c:ptCount val="7"/>
                      <c:pt idx="0">
                        <c:v>Calidad_10_0</c:v>
                      </c:pt>
                      <c:pt idx="1">
                        <c:v>Calidad_10_2_1</c:v>
                      </c:pt>
                      <c:pt idx="2">
                        <c:v>Calidad_10_2_2</c:v>
                      </c:pt>
                      <c:pt idx="3">
                        <c:v>Calidad_10_2_3</c:v>
                      </c:pt>
                      <c:pt idx="4">
                        <c:v>Calidad_10_2_4</c:v>
                      </c:pt>
                      <c:pt idx="5">
                        <c:v>Calidad_10_2_5</c:v>
                      </c:pt>
                      <c:pt idx="6">
                        <c:v>Calidad_10_2_6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(Datos!$CP$3,Datos!$CR$3,Datos!$CT$3,Datos!$CV$3,Datos!$CX$3,Datos!$CZ$3,Datos!$DB$3)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576-49EF-AF10-6D968E921D2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(Datos!$CP$1,Datos!$CR$1,Datos!$CT$1,Datos!$CV$1,Datos!$CX$1,Datos!$CZ$1,Datos!$DB$1)</c15:sqref>
                        </c15:formulaRef>
                      </c:ext>
                    </c:extLst>
                    <c:strCache>
                      <c:ptCount val="7"/>
                      <c:pt idx="0">
                        <c:v>Calidad_10_0</c:v>
                      </c:pt>
                      <c:pt idx="1">
                        <c:v>Calidad_10_2_1</c:v>
                      </c:pt>
                      <c:pt idx="2">
                        <c:v>Calidad_10_2_2</c:v>
                      </c:pt>
                      <c:pt idx="3">
                        <c:v>Calidad_10_2_3</c:v>
                      </c:pt>
                      <c:pt idx="4">
                        <c:v>Calidad_10_2_4</c:v>
                      </c:pt>
                      <c:pt idx="5">
                        <c:v>Calidad_10_2_5</c:v>
                      </c:pt>
                      <c:pt idx="6">
                        <c:v>Calidad_10_2_6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(Datos!$CP$8,Datos!$CR$8,Datos!$CT$8,Datos!$CV$8,Datos!$CX$8,Datos!$CZ$8,Datos!$DB$8)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576-49EF-AF10-6D968E921D2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(Datos!$CP$1,Datos!$CR$1,Datos!$CT$1,Datos!$CV$1,Datos!$CX$1,Datos!$CZ$1,Datos!$DB$1)</c15:sqref>
                        </c15:formulaRef>
                      </c:ext>
                    </c:extLst>
                    <c:strCache>
                      <c:ptCount val="7"/>
                      <c:pt idx="0">
                        <c:v>Calidad_10_0</c:v>
                      </c:pt>
                      <c:pt idx="1">
                        <c:v>Calidad_10_2_1</c:v>
                      </c:pt>
                      <c:pt idx="2">
                        <c:v>Calidad_10_2_2</c:v>
                      </c:pt>
                      <c:pt idx="3">
                        <c:v>Calidad_10_2_3</c:v>
                      </c:pt>
                      <c:pt idx="4">
                        <c:v>Calidad_10_2_4</c:v>
                      </c:pt>
                      <c:pt idx="5">
                        <c:v>Calidad_10_2_5</c:v>
                      </c:pt>
                      <c:pt idx="6">
                        <c:v>Calidad_10_2_6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(Datos!$CP$9,Datos!$CR$9,Datos!$CT$9,Datos!$CV$9,Datos!$CX$9,Datos!$CZ$9,Datos!$DB$9)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576-49EF-AF10-6D968E921D2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(Datos!$CP$1,Datos!$CR$1,Datos!$CT$1,Datos!$CV$1,Datos!$CX$1,Datos!$CZ$1,Datos!$DB$1)</c15:sqref>
                        </c15:formulaRef>
                      </c:ext>
                    </c:extLst>
                    <c:strCache>
                      <c:ptCount val="7"/>
                      <c:pt idx="0">
                        <c:v>Calidad_10_0</c:v>
                      </c:pt>
                      <c:pt idx="1">
                        <c:v>Calidad_10_2_1</c:v>
                      </c:pt>
                      <c:pt idx="2">
                        <c:v>Calidad_10_2_2</c:v>
                      </c:pt>
                      <c:pt idx="3">
                        <c:v>Calidad_10_2_3</c:v>
                      </c:pt>
                      <c:pt idx="4">
                        <c:v>Calidad_10_2_4</c:v>
                      </c:pt>
                      <c:pt idx="5">
                        <c:v>Calidad_10_2_5</c:v>
                      </c:pt>
                      <c:pt idx="6">
                        <c:v>Calidad_10_2_6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(Datos!$CP$10,Datos!$CR$10,Datos!$CT$10,Datos!$CV$10,Datos!$CX$10,Datos!$CZ$10,Datos!$DB$10)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76-49EF-AF10-6D968E921D2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(Datos!$CP$1,Datos!$CR$1,Datos!$CT$1,Datos!$CV$1,Datos!$CX$1,Datos!$CZ$1,Datos!$DB$1)</c15:sqref>
                        </c15:formulaRef>
                      </c:ext>
                    </c:extLst>
                    <c:strCache>
                      <c:ptCount val="7"/>
                      <c:pt idx="0">
                        <c:v>Calidad_10_0</c:v>
                      </c:pt>
                      <c:pt idx="1">
                        <c:v>Calidad_10_2_1</c:v>
                      </c:pt>
                      <c:pt idx="2">
                        <c:v>Calidad_10_2_2</c:v>
                      </c:pt>
                      <c:pt idx="3">
                        <c:v>Calidad_10_2_3</c:v>
                      </c:pt>
                      <c:pt idx="4">
                        <c:v>Calidad_10_2_4</c:v>
                      </c:pt>
                      <c:pt idx="5">
                        <c:v>Calidad_10_2_5</c:v>
                      </c:pt>
                      <c:pt idx="6">
                        <c:v>Calidad_10_2_6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(Datos!$CP$11,Datos!$CR$11,Datos!$CT$11,Datos!$CV$11,Datos!$CX$11,Datos!$CZ$11,Datos!$DB$11)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576-49EF-AF10-6D968E921D25}"/>
                  </c:ext>
                </c:extLst>
              </c15:ser>
            </c15:filteredBarSeries>
          </c:ext>
        </c:extLst>
      </c:barChart>
      <c:catAx>
        <c:axId val="1556755568"/>
        <c:scaling>
          <c:orientation val="minMax"/>
        </c:scaling>
        <c:delete val="0"/>
        <c:axPos val="b"/>
        <c:title>
          <c:tx>
            <c:strRef>
              <c:f>Datos!$CP$10</c:f>
              <c:strCache>
                <c:ptCount val="1"/>
                <c:pt idx="0">
                  <c:v>Contenido de los Items de la Sección 10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55984"/>
        <c:crosses val="autoZero"/>
        <c:auto val="1"/>
        <c:lblAlgn val="ctr"/>
        <c:lblOffset val="100"/>
        <c:noMultiLvlLbl val="0"/>
      </c:catAx>
      <c:valAx>
        <c:axId val="15567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Datos!$CP$9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55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Datos!$DD$8</c:f>
          <c:strCache>
            <c:ptCount val="1"/>
            <c:pt idx="0">
              <c:v>Calidad del Contenido de los Items de la Sección 11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(Datos!$DD$1,Datos!$DF$1,Datos!$DH$1,Datos!$DJ$1,Datos!$DL$1,Datos!$DN$1)</c:f>
              <c:strCache>
                <c:ptCount val="6"/>
                <c:pt idx="0">
                  <c:v>Calidad_11_0</c:v>
                </c:pt>
                <c:pt idx="1">
                  <c:v>Calidad_11_1</c:v>
                </c:pt>
                <c:pt idx="2">
                  <c:v>Calidad_11_2</c:v>
                </c:pt>
                <c:pt idx="3">
                  <c:v>Calidad_11_3</c:v>
                </c:pt>
                <c:pt idx="4">
                  <c:v>Calidad_11_4</c:v>
                </c:pt>
                <c:pt idx="5">
                  <c:v>Calidad_11_5</c:v>
                </c:pt>
              </c:strCache>
            </c:strRef>
          </c:cat>
          <c:val>
            <c:numRef>
              <c:f>(Datos!$DD$4,Datos!$DF$4,Datos!$DH$4,Datos!$DJ$4,Datos!$DL$4,Datos!$DN$4)</c:f>
              <c:numCache>
                <c:formatCode>0.00%</c:formatCode>
                <c:ptCount val="6"/>
                <c:pt idx="0">
                  <c:v>0.9</c:v>
                </c:pt>
                <c:pt idx="1">
                  <c:v>0.1</c:v>
                </c:pt>
                <c:pt idx="2">
                  <c:v>0.62</c:v>
                </c:pt>
                <c:pt idx="3">
                  <c:v>0.26</c:v>
                </c:pt>
                <c:pt idx="4">
                  <c:v>0.24</c:v>
                </c:pt>
                <c:pt idx="5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4-44CD-B36C-BDC374EDBDEF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(Datos!$DD$1,Datos!$DF$1,Datos!$DH$1,Datos!$DJ$1,Datos!$DL$1,Datos!$DN$1)</c:f>
              <c:strCache>
                <c:ptCount val="6"/>
                <c:pt idx="0">
                  <c:v>Calidad_11_0</c:v>
                </c:pt>
                <c:pt idx="1">
                  <c:v>Calidad_11_1</c:v>
                </c:pt>
                <c:pt idx="2">
                  <c:v>Calidad_11_2</c:v>
                </c:pt>
                <c:pt idx="3">
                  <c:v>Calidad_11_3</c:v>
                </c:pt>
                <c:pt idx="4">
                  <c:v>Calidad_11_4</c:v>
                </c:pt>
                <c:pt idx="5">
                  <c:v>Calidad_11_5</c:v>
                </c:pt>
              </c:strCache>
            </c:strRef>
          </c:cat>
          <c:val>
            <c:numRef>
              <c:f>(Datos!$DD$5,Datos!$DF$5,Datos!$DH$5,Datos!$DJ$5,Datos!$DL$5,Datos!$DN$5)</c:f>
              <c:numCache>
                <c:formatCode>0.00%</c:formatCode>
                <c:ptCount val="6"/>
                <c:pt idx="0">
                  <c:v>0</c:v>
                </c:pt>
                <c:pt idx="1">
                  <c:v>0.14000000000000001</c:v>
                </c:pt>
                <c:pt idx="2">
                  <c:v>0.36</c:v>
                </c:pt>
                <c:pt idx="3">
                  <c:v>0</c:v>
                </c:pt>
                <c:pt idx="4">
                  <c:v>0.08</c:v>
                </c:pt>
                <c:pt idx="5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4-44CD-B36C-BDC374EDBDEF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(Datos!$DD$1,Datos!$DF$1,Datos!$DH$1,Datos!$DJ$1,Datos!$DL$1,Datos!$DN$1)</c:f>
              <c:strCache>
                <c:ptCount val="6"/>
                <c:pt idx="0">
                  <c:v>Calidad_11_0</c:v>
                </c:pt>
                <c:pt idx="1">
                  <c:v>Calidad_11_1</c:v>
                </c:pt>
                <c:pt idx="2">
                  <c:v>Calidad_11_2</c:v>
                </c:pt>
                <c:pt idx="3">
                  <c:v>Calidad_11_3</c:v>
                </c:pt>
                <c:pt idx="4">
                  <c:v>Calidad_11_4</c:v>
                </c:pt>
                <c:pt idx="5">
                  <c:v>Calidad_11_5</c:v>
                </c:pt>
              </c:strCache>
            </c:strRef>
          </c:cat>
          <c:val>
            <c:numRef>
              <c:f>(Datos!$DD$6,Datos!$DF$6,Datos!$DH$6,Datos!$DJ$6,Datos!$DL$6,Datos!$DN$6)</c:f>
              <c:numCache>
                <c:formatCode>0.00%</c:formatCode>
                <c:ptCount val="6"/>
                <c:pt idx="0">
                  <c:v>0.1</c:v>
                </c:pt>
                <c:pt idx="1">
                  <c:v>0.76</c:v>
                </c:pt>
                <c:pt idx="2">
                  <c:v>0.02</c:v>
                </c:pt>
                <c:pt idx="3">
                  <c:v>0.74</c:v>
                </c:pt>
                <c:pt idx="4">
                  <c:v>0.68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4-44CD-B36C-BDC374EDB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527248"/>
        <c:axId val="10885276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(Datos!$DD$1,Datos!$DF$1,Datos!$DH$1,Datos!$DJ$1,Datos!$DL$1,Datos!$DN$1)</c15:sqref>
                        </c15:formulaRef>
                      </c:ext>
                    </c:extLst>
                    <c:strCache>
                      <c:ptCount val="6"/>
                      <c:pt idx="0">
                        <c:v>Calidad_11_0</c:v>
                      </c:pt>
                      <c:pt idx="1">
                        <c:v>Calidad_11_1</c:v>
                      </c:pt>
                      <c:pt idx="2">
                        <c:v>Calidad_11_2</c:v>
                      </c:pt>
                      <c:pt idx="3">
                        <c:v>Calidad_11_3</c:v>
                      </c:pt>
                      <c:pt idx="4">
                        <c:v>Calidad_11_4</c:v>
                      </c:pt>
                      <c:pt idx="5">
                        <c:v>Calidad_11_5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(Datos!$DD$2,Datos!$DF$2,Datos!$DH$2,Datos!$DJ$2,Datos!$DL$2,Datos!$DN$2)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0B4-44CD-B36C-BDC374EDBDE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(Datos!$DD$1,Datos!$DF$1,Datos!$DH$1,Datos!$DJ$1,Datos!$DL$1,Datos!$DN$1)</c15:sqref>
                        </c15:formulaRef>
                      </c:ext>
                    </c:extLst>
                    <c:strCache>
                      <c:ptCount val="6"/>
                      <c:pt idx="0">
                        <c:v>Calidad_11_0</c:v>
                      </c:pt>
                      <c:pt idx="1">
                        <c:v>Calidad_11_1</c:v>
                      </c:pt>
                      <c:pt idx="2">
                        <c:v>Calidad_11_2</c:v>
                      </c:pt>
                      <c:pt idx="3">
                        <c:v>Calidad_11_3</c:v>
                      </c:pt>
                      <c:pt idx="4">
                        <c:v>Calidad_11_4</c:v>
                      </c:pt>
                      <c:pt idx="5">
                        <c:v>Calidad_11_5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(Datos!$DD$3,Datos!$DF$3,Datos!$DH$3,Datos!$DJ$3,Datos!$DL$3,Datos!$DN$3)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0B4-44CD-B36C-BDC374EDBDE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(Datos!$DD$1,Datos!$DF$1,Datos!$DH$1,Datos!$DJ$1,Datos!$DL$1,Datos!$DN$1)</c15:sqref>
                        </c15:formulaRef>
                      </c:ext>
                    </c:extLst>
                    <c:strCache>
                      <c:ptCount val="6"/>
                      <c:pt idx="0">
                        <c:v>Calidad_11_0</c:v>
                      </c:pt>
                      <c:pt idx="1">
                        <c:v>Calidad_11_1</c:v>
                      </c:pt>
                      <c:pt idx="2">
                        <c:v>Calidad_11_2</c:v>
                      </c:pt>
                      <c:pt idx="3">
                        <c:v>Calidad_11_3</c:v>
                      </c:pt>
                      <c:pt idx="4">
                        <c:v>Calidad_11_4</c:v>
                      </c:pt>
                      <c:pt idx="5">
                        <c:v>Calidad_11_5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(Datos!$DD$8,Datos!$DF$8,Datos!$DH$8,Datos!$DJ$8,Datos!$DL$8,Datos!$DN$8)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0B4-44CD-B36C-BDC374EDBDE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(Datos!$DD$1,Datos!$DF$1,Datos!$DH$1,Datos!$DJ$1,Datos!$DL$1,Datos!$DN$1)</c15:sqref>
                        </c15:formulaRef>
                      </c:ext>
                    </c:extLst>
                    <c:strCache>
                      <c:ptCount val="6"/>
                      <c:pt idx="0">
                        <c:v>Calidad_11_0</c:v>
                      </c:pt>
                      <c:pt idx="1">
                        <c:v>Calidad_11_1</c:v>
                      </c:pt>
                      <c:pt idx="2">
                        <c:v>Calidad_11_2</c:v>
                      </c:pt>
                      <c:pt idx="3">
                        <c:v>Calidad_11_3</c:v>
                      </c:pt>
                      <c:pt idx="4">
                        <c:v>Calidad_11_4</c:v>
                      </c:pt>
                      <c:pt idx="5">
                        <c:v>Calidad_11_5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(Datos!$DD$9,Datos!$DF$9,Datos!$DH$9,Datos!$DJ$9,Datos!$DL$9,Datos!$DN$9)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0B4-44CD-B36C-BDC374EDBDE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(Datos!$DD$1,Datos!$DF$1,Datos!$DH$1,Datos!$DJ$1,Datos!$DL$1,Datos!$DN$1)</c15:sqref>
                        </c15:formulaRef>
                      </c:ext>
                    </c:extLst>
                    <c:strCache>
                      <c:ptCount val="6"/>
                      <c:pt idx="0">
                        <c:v>Calidad_11_0</c:v>
                      </c:pt>
                      <c:pt idx="1">
                        <c:v>Calidad_11_1</c:v>
                      </c:pt>
                      <c:pt idx="2">
                        <c:v>Calidad_11_2</c:v>
                      </c:pt>
                      <c:pt idx="3">
                        <c:v>Calidad_11_3</c:v>
                      </c:pt>
                      <c:pt idx="4">
                        <c:v>Calidad_11_4</c:v>
                      </c:pt>
                      <c:pt idx="5">
                        <c:v>Calidad_11_5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(Datos!$DD$10,Datos!$DF$10,Datos!$DH$10,Datos!$DJ$10,Datos!$DL$10,Datos!$DN$10)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0B4-44CD-B36C-BDC374EDBDE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(Datos!$DD$1,Datos!$DF$1,Datos!$DH$1,Datos!$DJ$1,Datos!$DL$1,Datos!$DN$1)</c15:sqref>
                        </c15:formulaRef>
                      </c:ext>
                    </c:extLst>
                    <c:strCache>
                      <c:ptCount val="6"/>
                      <c:pt idx="0">
                        <c:v>Calidad_11_0</c:v>
                      </c:pt>
                      <c:pt idx="1">
                        <c:v>Calidad_11_1</c:v>
                      </c:pt>
                      <c:pt idx="2">
                        <c:v>Calidad_11_2</c:v>
                      </c:pt>
                      <c:pt idx="3">
                        <c:v>Calidad_11_3</c:v>
                      </c:pt>
                      <c:pt idx="4">
                        <c:v>Calidad_11_4</c:v>
                      </c:pt>
                      <c:pt idx="5">
                        <c:v>Calidad_11_5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(Datos!$DD$11,Datos!$DF$11,Datos!$DH$11,Datos!$DJ$11,Datos!$DL$11,Datos!$DN$11)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0B4-44CD-B36C-BDC374EDBDEF}"/>
                  </c:ext>
                </c:extLst>
              </c15:ser>
            </c15:filteredBarSeries>
          </c:ext>
        </c:extLst>
      </c:barChart>
      <c:catAx>
        <c:axId val="1088527248"/>
        <c:scaling>
          <c:orientation val="minMax"/>
        </c:scaling>
        <c:delete val="0"/>
        <c:axPos val="b"/>
        <c:title>
          <c:tx>
            <c:strRef>
              <c:f>Datos!$DD$10</c:f>
              <c:strCache>
                <c:ptCount val="1"/>
                <c:pt idx="0">
                  <c:v>Contenido de los Items de la Sección 11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7664"/>
        <c:crosses val="autoZero"/>
        <c:auto val="1"/>
        <c:lblAlgn val="ctr"/>
        <c:lblOffset val="100"/>
        <c:noMultiLvlLbl val="0"/>
      </c:catAx>
      <c:valAx>
        <c:axId val="108852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Datos!$DD$9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7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Datos!$DP$8</c:f>
          <c:strCache>
            <c:ptCount val="1"/>
            <c:pt idx="0">
              <c:v>Calidad del Contenido de los Items de la Sección 12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(Datos!$DP$1,Datos!$DR$1,Datos!$DT$1,Datos!$DV$1,Datos!$DX$1,Datos!$DZ$1)</c:f>
              <c:strCache>
                <c:ptCount val="6"/>
                <c:pt idx="0">
                  <c:v>Calidad_12_0</c:v>
                </c:pt>
                <c:pt idx="1">
                  <c:v>Calidad_12_1</c:v>
                </c:pt>
                <c:pt idx="2">
                  <c:v>Calidad_12_2</c:v>
                </c:pt>
                <c:pt idx="3">
                  <c:v>Calidad_12_3</c:v>
                </c:pt>
                <c:pt idx="4">
                  <c:v>Calidad_12_4</c:v>
                </c:pt>
                <c:pt idx="5">
                  <c:v>Calidad_12_5</c:v>
                </c:pt>
              </c:strCache>
            </c:strRef>
          </c:cat>
          <c:val>
            <c:numRef>
              <c:f>(Datos!$DP$4,Datos!$DR$4,Datos!$DT$4,Datos!$DV$4,Datos!$DX$4,Datos!$DZ$4)</c:f>
              <c:numCache>
                <c:formatCode>0.00%</c:formatCode>
                <c:ptCount val="6"/>
                <c:pt idx="0">
                  <c:v>0.57999999999999996</c:v>
                </c:pt>
                <c:pt idx="1">
                  <c:v>0.18</c:v>
                </c:pt>
                <c:pt idx="2">
                  <c:v>0.12</c:v>
                </c:pt>
                <c:pt idx="3">
                  <c:v>0.34</c:v>
                </c:pt>
                <c:pt idx="4">
                  <c:v>0.32</c:v>
                </c:pt>
                <c:pt idx="5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8-4FB0-B4B8-6DDB19738C8D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(Datos!$DP$1,Datos!$DR$1,Datos!$DT$1,Datos!$DV$1,Datos!$DX$1,Datos!$DZ$1)</c:f>
              <c:strCache>
                <c:ptCount val="6"/>
                <c:pt idx="0">
                  <c:v>Calidad_12_0</c:v>
                </c:pt>
                <c:pt idx="1">
                  <c:v>Calidad_12_1</c:v>
                </c:pt>
                <c:pt idx="2">
                  <c:v>Calidad_12_2</c:v>
                </c:pt>
                <c:pt idx="3">
                  <c:v>Calidad_12_3</c:v>
                </c:pt>
                <c:pt idx="4">
                  <c:v>Calidad_12_4</c:v>
                </c:pt>
                <c:pt idx="5">
                  <c:v>Calidad_12_5</c:v>
                </c:pt>
              </c:strCache>
            </c:strRef>
          </c:cat>
          <c:val>
            <c:numRef>
              <c:f>(Datos!$DP$5,Datos!$DR$5,Datos!$DT$5,Datos!$DV$5,Datos!$DX$5,Datos!$DZ$5)</c:f>
              <c:numCache>
                <c:formatCode>0.00%</c:formatCode>
                <c:ptCount val="6"/>
                <c:pt idx="0">
                  <c:v>0</c:v>
                </c:pt>
                <c:pt idx="1">
                  <c:v>0.56000000000000005</c:v>
                </c:pt>
                <c:pt idx="2">
                  <c:v>0.42</c:v>
                </c:pt>
                <c:pt idx="3">
                  <c:v>0.4</c:v>
                </c:pt>
                <c:pt idx="4">
                  <c:v>0.22</c:v>
                </c:pt>
                <c:pt idx="5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8-4FB0-B4B8-6DDB19738C8D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(Datos!$DP$1,Datos!$DR$1,Datos!$DT$1,Datos!$DV$1,Datos!$DX$1,Datos!$DZ$1)</c:f>
              <c:strCache>
                <c:ptCount val="6"/>
                <c:pt idx="0">
                  <c:v>Calidad_12_0</c:v>
                </c:pt>
                <c:pt idx="1">
                  <c:v>Calidad_12_1</c:v>
                </c:pt>
                <c:pt idx="2">
                  <c:v>Calidad_12_2</c:v>
                </c:pt>
                <c:pt idx="3">
                  <c:v>Calidad_12_3</c:v>
                </c:pt>
                <c:pt idx="4">
                  <c:v>Calidad_12_4</c:v>
                </c:pt>
                <c:pt idx="5">
                  <c:v>Calidad_12_5</c:v>
                </c:pt>
              </c:strCache>
            </c:strRef>
          </c:cat>
          <c:val>
            <c:numRef>
              <c:f>(Datos!$DP$6,Datos!$DR$6,Datos!$DT$6,Datos!$DV$6,Datos!$DX$6,Datos!$DZ$6)</c:f>
              <c:numCache>
                <c:formatCode>0.00%</c:formatCode>
                <c:ptCount val="6"/>
                <c:pt idx="0">
                  <c:v>0.42</c:v>
                </c:pt>
                <c:pt idx="1">
                  <c:v>0.26</c:v>
                </c:pt>
                <c:pt idx="2">
                  <c:v>0.46</c:v>
                </c:pt>
                <c:pt idx="3">
                  <c:v>0.26</c:v>
                </c:pt>
                <c:pt idx="4">
                  <c:v>0.46</c:v>
                </c:pt>
                <c:pt idx="5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8-4FB0-B4B8-6DDB19738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9709040"/>
        <c:axId val="2297098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(Datos!$DP$1,Datos!$DR$1,Datos!$DT$1,Datos!$DV$1,Datos!$DX$1,Datos!$DZ$1)</c15:sqref>
                        </c15:formulaRef>
                      </c:ext>
                    </c:extLst>
                    <c:strCache>
                      <c:ptCount val="6"/>
                      <c:pt idx="0">
                        <c:v>Calidad_12_0</c:v>
                      </c:pt>
                      <c:pt idx="1">
                        <c:v>Calidad_12_1</c:v>
                      </c:pt>
                      <c:pt idx="2">
                        <c:v>Calidad_12_2</c:v>
                      </c:pt>
                      <c:pt idx="3">
                        <c:v>Calidad_12_3</c:v>
                      </c:pt>
                      <c:pt idx="4">
                        <c:v>Calidad_12_4</c:v>
                      </c:pt>
                      <c:pt idx="5">
                        <c:v>Calidad_12_5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(Datos!$DP$2,Datos!$DR$2,Datos!$DT$2,Datos!$DV$2,Datos!$DX$2,Datos!$DZ$2)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738-4FB0-B4B8-6DDB19738C8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(Datos!$DP$1,Datos!$DR$1,Datos!$DT$1,Datos!$DV$1,Datos!$DX$1,Datos!$DZ$1)</c15:sqref>
                        </c15:formulaRef>
                      </c:ext>
                    </c:extLst>
                    <c:strCache>
                      <c:ptCount val="6"/>
                      <c:pt idx="0">
                        <c:v>Calidad_12_0</c:v>
                      </c:pt>
                      <c:pt idx="1">
                        <c:v>Calidad_12_1</c:v>
                      </c:pt>
                      <c:pt idx="2">
                        <c:v>Calidad_12_2</c:v>
                      </c:pt>
                      <c:pt idx="3">
                        <c:v>Calidad_12_3</c:v>
                      </c:pt>
                      <c:pt idx="4">
                        <c:v>Calidad_12_4</c:v>
                      </c:pt>
                      <c:pt idx="5">
                        <c:v>Calidad_12_5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(Datos!$DP$3,Datos!$DR$3,Datos!$DT$3,Datos!$DV$3,Datos!$DX$3,Datos!$DZ$3)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738-4FB0-B4B8-6DDB19738C8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(Datos!$DP$1,Datos!$DR$1,Datos!$DT$1,Datos!$DV$1,Datos!$DX$1,Datos!$DZ$1)</c15:sqref>
                        </c15:formulaRef>
                      </c:ext>
                    </c:extLst>
                    <c:strCache>
                      <c:ptCount val="6"/>
                      <c:pt idx="0">
                        <c:v>Calidad_12_0</c:v>
                      </c:pt>
                      <c:pt idx="1">
                        <c:v>Calidad_12_1</c:v>
                      </c:pt>
                      <c:pt idx="2">
                        <c:v>Calidad_12_2</c:v>
                      </c:pt>
                      <c:pt idx="3">
                        <c:v>Calidad_12_3</c:v>
                      </c:pt>
                      <c:pt idx="4">
                        <c:v>Calidad_12_4</c:v>
                      </c:pt>
                      <c:pt idx="5">
                        <c:v>Calidad_12_5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(Datos!$DP$8,Datos!$DR$8,Datos!$DT$8,Datos!$DV$8,Datos!$DX$8,Datos!$DZ$8)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738-4FB0-B4B8-6DDB19738C8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(Datos!$DP$1,Datos!$DR$1,Datos!$DT$1,Datos!$DV$1,Datos!$DX$1,Datos!$DZ$1)</c15:sqref>
                        </c15:formulaRef>
                      </c:ext>
                    </c:extLst>
                    <c:strCache>
                      <c:ptCount val="6"/>
                      <c:pt idx="0">
                        <c:v>Calidad_12_0</c:v>
                      </c:pt>
                      <c:pt idx="1">
                        <c:v>Calidad_12_1</c:v>
                      </c:pt>
                      <c:pt idx="2">
                        <c:v>Calidad_12_2</c:v>
                      </c:pt>
                      <c:pt idx="3">
                        <c:v>Calidad_12_3</c:v>
                      </c:pt>
                      <c:pt idx="4">
                        <c:v>Calidad_12_4</c:v>
                      </c:pt>
                      <c:pt idx="5">
                        <c:v>Calidad_12_5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(Datos!$DP$9,Datos!$DR$9,Datos!$DT$9,Datos!$DV$9,Datos!$DX$9,Datos!$DZ$9)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738-4FB0-B4B8-6DDB19738C8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(Datos!$DP$1,Datos!$DR$1,Datos!$DT$1,Datos!$DV$1,Datos!$DX$1,Datos!$DZ$1)</c15:sqref>
                        </c15:formulaRef>
                      </c:ext>
                    </c:extLst>
                    <c:strCache>
                      <c:ptCount val="6"/>
                      <c:pt idx="0">
                        <c:v>Calidad_12_0</c:v>
                      </c:pt>
                      <c:pt idx="1">
                        <c:v>Calidad_12_1</c:v>
                      </c:pt>
                      <c:pt idx="2">
                        <c:v>Calidad_12_2</c:v>
                      </c:pt>
                      <c:pt idx="3">
                        <c:v>Calidad_12_3</c:v>
                      </c:pt>
                      <c:pt idx="4">
                        <c:v>Calidad_12_4</c:v>
                      </c:pt>
                      <c:pt idx="5">
                        <c:v>Calidad_12_5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(Datos!$DP$10,Datos!$DR$10,Datos!$DT$10,Datos!$DV$10,Datos!$DX$10,Datos!$DZ$10)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738-4FB0-B4B8-6DDB19738C8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(Datos!$DP$1,Datos!$DR$1,Datos!$DT$1,Datos!$DV$1,Datos!$DX$1,Datos!$DZ$1)</c15:sqref>
                        </c15:formulaRef>
                      </c:ext>
                    </c:extLst>
                    <c:strCache>
                      <c:ptCount val="6"/>
                      <c:pt idx="0">
                        <c:v>Calidad_12_0</c:v>
                      </c:pt>
                      <c:pt idx="1">
                        <c:v>Calidad_12_1</c:v>
                      </c:pt>
                      <c:pt idx="2">
                        <c:v>Calidad_12_2</c:v>
                      </c:pt>
                      <c:pt idx="3">
                        <c:v>Calidad_12_3</c:v>
                      </c:pt>
                      <c:pt idx="4">
                        <c:v>Calidad_12_4</c:v>
                      </c:pt>
                      <c:pt idx="5">
                        <c:v>Calidad_12_5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(Datos!$DP$11,Datos!$DR$11,Datos!$DT$11,Datos!$DV$11,Datos!$DX$11,Datos!$DZ$11)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738-4FB0-B4B8-6DDB19738C8D}"/>
                  </c:ext>
                </c:extLst>
              </c15:ser>
            </c15:filteredBarSeries>
          </c:ext>
        </c:extLst>
      </c:barChart>
      <c:catAx>
        <c:axId val="229709040"/>
        <c:scaling>
          <c:orientation val="minMax"/>
        </c:scaling>
        <c:delete val="0"/>
        <c:axPos val="b"/>
        <c:title>
          <c:tx>
            <c:strRef>
              <c:f>Datos!$DP$10</c:f>
              <c:strCache>
                <c:ptCount val="1"/>
                <c:pt idx="0">
                  <c:v>Contenido de los Items de la Sección 12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709872"/>
        <c:crosses val="autoZero"/>
        <c:auto val="1"/>
        <c:lblAlgn val="ctr"/>
        <c:lblOffset val="100"/>
        <c:noMultiLvlLbl val="0"/>
      </c:catAx>
      <c:valAx>
        <c:axId val="2297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Datos!$DP$9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7090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Datos!$EB$8</c:f>
          <c:strCache>
            <c:ptCount val="1"/>
            <c:pt idx="0">
              <c:v>Calidad del Contenido de los Items de la Sección 13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(Datos!$EB$1,Datos!$ED$1)</c:f>
              <c:strCache>
                <c:ptCount val="2"/>
                <c:pt idx="0">
                  <c:v>Calidad_13_0</c:v>
                </c:pt>
                <c:pt idx="1">
                  <c:v>Calidad_13_1</c:v>
                </c:pt>
              </c:strCache>
            </c:strRef>
          </c:cat>
          <c:val>
            <c:numRef>
              <c:f>(Datos!$EB$4,Datos!$ED$4)</c:f>
              <c:numCache>
                <c:formatCode>0.00%</c:formatCode>
                <c:ptCount val="2"/>
                <c:pt idx="0">
                  <c:v>0.8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B-4524-ADC4-506B075A950A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(Datos!$EB$1,Datos!$ED$1)</c:f>
              <c:strCache>
                <c:ptCount val="2"/>
                <c:pt idx="0">
                  <c:v>Calidad_13_0</c:v>
                </c:pt>
                <c:pt idx="1">
                  <c:v>Calidad_13_1</c:v>
                </c:pt>
              </c:strCache>
            </c:strRef>
          </c:cat>
          <c:val>
            <c:numRef>
              <c:f>(Datos!$EB$5,Datos!$ED$5)</c:f>
              <c:numCache>
                <c:formatCode>0.00%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B-4524-ADC4-506B075A950A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(Datos!$EB$1,Datos!$ED$1)</c:f>
              <c:strCache>
                <c:ptCount val="2"/>
                <c:pt idx="0">
                  <c:v>Calidad_13_0</c:v>
                </c:pt>
                <c:pt idx="1">
                  <c:v>Calidad_13_1</c:v>
                </c:pt>
              </c:strCache>
            </c:strRef>
          </c:cat>
          <c:val>
            <c:numRef>
              <c:f>(Datos!$EB$6,Datos!$ED$6)</c:f>
              <c:numCache>
                <c:formatCode>0.00%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B-4524-ADC4-506B075A9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9711120"/>
        <c:axId val="2297119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(Datos!$EB$1,Datos!$ED$1)</c15:sqref>
                        </c15:formulaRef>
                      </c:ext>
                    </c:extLst>
                    <c:strCache>
                      <c:ptCount val="2"/>
                      <c:pt idx="0">
                        <c:v>Calidad_13_0</c:v>
                      </c:pt>
                      <c:pt idx="1">
                        <c:v>Calidad_13_1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(Datos!$EB$2,Datos!$ED$2)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B7B-4524-ADC4-506B075A950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(Datos!$EB$1,Datos!$ED$1)</c15:sqref>
                        </c15:formulaRef>
                      </c:ext>
                    </c:extLst>
                    <c:strCache>
                      <c:ptCount val="2"/>
                      <c:pt idx="0">
                        <c:v>Calidad_13_0</c:v>
                      </c:pt>
                      <c:pt idx="1">
                        <c:v>Calidad_13_1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(Datos!$EB$3,Datos!$ED$3)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B7B-4524-ADC4-506B075A950A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(Datos!$EB$1,Datos!$ED$1)</c15:sqref>
                        </c15:formulaRef>
                      </c:ext>
                    </c:extLst>
                    <c:strCache>
                      <c:ptCount val="2"/>
                      <c:pt idx="0">
                        <c:v>Calidad_13_0</c:v>
                      </c:pt>
                      <c:pt idx="1">
                        <c:v>Calidad_13_1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(Datos!$EB$8,Datos!$ED$8)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B7B-4524-ADC4-506B075A950A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(Datos!$EB$1,Datos!$ED$1)</c15:sqref>
                        </c15:formulaRef>
                      </c:ext>
                    </c:extLst>
                    <c:strCache>
                      <c:ptCount val="2"/>
                      <c:pt idx="0">
                        <c:v>Calidad_13_0</c:v>
                      </c:pt>
                      <c:pt idx="1">
                        <c:v>Calidad_13_1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(Datos!$EB$9,Datos!$ED$9)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B7B-4524-ADC4-506B075A950A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(Datos!$EB$1,Datos!$ED$1)</c15:sqref>
                        </c15:formulaRef>
                      </c:ext>
                    </c:extLst>
                    <c:strCache>
                      <c:ptCount val="2"/>
                      <c:pt idx="0">
                        <c:v>Calidad_13_0</c:v>
                      </c:pt>
                      <c:pt idx="1">
                        <c:v>Calidad_13_1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(Datos!$EB$10,Datos!$ED$10)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B7B-4524-ADC4-506B075A950A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(Datos!$EB$1,Datos!$ED$1)</c15:sqref>
                        </c15:formulaRef>
                      </c:ext>
                    </c:extLst>
                    <c:strCache>
                      <c:ptCount val="2"/>
                      <c:pt idx="0">
                        <c:v>Calidad_13_0</c:v>
                      </c:pt>
                      <c:pt idx="1">
                        <c:v>Calidad_13_1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(Datos!$EB$11,Datos!$ED$11)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B7B-4524-ADC4-506B075A950A}"/>
                  </c:ext>
                </c:extLst>
              </c15:ser>
            </c15:filteredBarSeries>
          </c:ext>
        </c:extLst>
      </c:barChart>
      <c:catAx>
        <c:axId val="229711120"/>
        <c:scaling>
          <c:orientation val="minMax"/>
        </c:scaling>
        <c:delete val="0"/>
        <c:axPos val="b"/>
        <c:title>
          <c:tx>
            <c:strRef>
              <c:f>Datos!$EB$10</c:f>
              <c:strCache>
                <c:ptCount val="1"/>
                <c:pt idx="0">
                  <c:v>Contenido de los Items de la Sección 13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711952"/>
        <c:crosses val="autoZero"/>
        <c:auto val="1"/>
        <c:lblAlgn val="ctr"/>
        <c:lblOffset val="100"/>
        <c:noMultiLvlLbl val="0"/>
      </c:catAx>
      <c:valAx>
        <c:axId val="2297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Datos!$EB$9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711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Datos!$EF$8</c:f>
          <c:strCache>
            <c:ptCount val="1"/>
            <c:pt idx="0">
              <c:v>Calidad del Contenido de los Items de la Sección 14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(Datos!$EF$1,Datos!$EH$1,Datos!$EJ$1,Datos!$EL$1,Datos!$EN$1,Datos!$EP$1,Datos!$ER$1)</c:f>
              <c:strCache>
                <c:ptCount val="7"/>
                <c:pt idx="0">
                  <c:v>Calidad_14_0</c:v>
                </c:pt>
                <c:pt idx="1">
                  <c:v>Calidad_14_1</c:v>
                </c:pt>
                <c:pt idx="2">
                  <c:v>Calidad_14_2</c:v>
                </c:pt>
                <c:pt idx="3">
                  <c:v>Calidad_14_3</c:v>
                </c:pt>
                <c:pt idx="4">
                  <c:v>Calidad_14_4</c:v>
                </c:pt>
                <c:pt idx="5">
                  <c:v>Calidad_14_5</c:v>
                </c:pt>
                <c:pt idx="6">
                  <c:v>Calidad_14_6</c:v>
                </c:pt>
              </c:strCache>
            </c:strRef>
          </c:cat>
          <c:val>
            <c:numRef>
              <c:f>(Datos!$EF$4,Datos!$EH$4,Datos!$EJ$4,Datos!$EL$4,Datos!$EN$4,Datos!$EP$4,Datos!$ER$4)</c:f>
              <c:numCache>
                <c:formatCode>0.00%</c:formatCode>
                <c:ptCount val="7"/>
                <c:pt idx="0">
                  <c:v>0.6</c:v>
                </c:pt>
                <c:pt idx="1">
                  <c:v>0.68</c:v>
                </c:pt>
                <c:pt idx="2">
                  <c:v>0.48</c:v>
                </c:pt>
                <c:pt idx="3">
                  <c:v>0.48</c:v>
                </c:pt>
                <c:pt idx="4">
                  <c:v>0.68</c:v>
                </c:pt>
                <c:pt idx="5">
                  <c:v>0.48</c:v>
                </c:pt>
                <c:pt idx="6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5-4297-9CEF-FD91AD0B7789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(Datos!$EF$1,Datos!$EH$1,Datos!$EJ$1,Datos!$EL$1,Datos!$EN$1,Datos!$EP$1,Datos!$ER$1)</c:f>
              <c:strCache>
                <c:ptCount val="7"/>
                <c:pt idx="0">
                  <c:v>Calidad_14_0</c:v>
                </c:pt>
                <c:pt idx="1">
                  <c:v>Calidad_14_1</c:v>
                </c:pt>
                <c:pt idx="2">
                  <c:v>Calidad_14_2</c:v>
                </c:pt>
                <c:pt idx="3">
                  <c:v>Calidad_14_3</c:v>
                </c:pt>
                <c:pt idx="4">
                  <c:v>Calidad_14_4</c:v>
                </c:pt>
                <c:pt idx="5">
                  <c:v>Calidad_14_5</c:v>
                </c:pt>
                <c:pt idx="6">
                  <c:v>Calidad_14_6</c:v>
                </c:pt>
              </c:strCache>
            </c:strRef>
          </c:cat>
          <c:val>
            <c:numRef>
              <c:f>(Datos!$EF$5,Datos!$EH$5,Datos!$EJ$5,Datos!$EL$5,Datos!$EN$5,Datos!$EP$5,Datos!$ER$5)</c:f>
              <c:numCache>
                <c:formatCode>0.00%</c:formatCode>
                <c:ptCount val="7"/>
                <c:pt idx="0">
                  <c:v>0</c:v>
                </c:pt>
                <c:pt idx="1">
                  <c:v>0.14000000000000001</c:v>
                </c:pt>
                <c:pt idx="2">
                  <c:v>0.04</c:v>
                </c:pt>
                <c:pt idx="3">
                  <c:v>0.12</c:v>
                </c:pt>
                <c:pt idx="4">
                  <c:v>0.12</c:v>
                </c:pt>
                <c:pt idx="5">
                  <c:v>0.06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5-4297-9CEF-FD91AD0B7789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(Datos!$EF$1,Datos!$EH$1,Datos!$EJ$1,Datos!$EL$1,Datos!$EN$1,Datos!$EP$1,Datos!$ER$1)</c:f>
              <c:strCache>
                <c:ptCount val="7"/>
                <c:pt idx="0">
                  <c:v>Calidad_14_0</c:v>
                </c:pt>
                <c:pt idx="1">
                  <c:v>Calidad_14_1</c:v>
                </c:pt>
                <c:pt idx="2">
                  <c:v>Calidad_14_2</c:v>
                </c:pt>
                <c:pt idx="3">
                  <c:v>Calidad_14_3</c:v>
                </c:pt>
                <c:pt idx="4">
                  <c:v>Calidad_14_4</c:v>
                </c:pt>
                <c:pt idx="5">
                  <c:v>Calidad_14_5</c:v>
                </c:pt>
                <c:pt idx="6">
                  <c:v>Calidad_14_6</c:v>
                </c:pt>
              </c:strCache>
            </c:strRef>
          </c:cat>
          <c:val>
            <c:numRef>
              <c:f>(Datos!$EF$6,Datos!$EH$6,Datos!$EJ$6,Datos!$EL$6,Datos!$EN$6,Datos!$EP$6,Datos!$ER$6)</c:f>
              <c:numCache>
                <c:formatCode>0.00%</c:formatCode>
                <c:ptCount val="7"/>
                <c:pt idx="0">
                  <c:v>0.4</c:v>
                </c:pt>
                <c:pt idx="1">
                  <c:v>0.18</c:v>
                </c:pt>
                <c:pt idx="2">
                  <c:v>0.48</c:v>
                </c:pt>
                <c:pt idx="3">
                  <c:v>0.4</c:v>
                </c:pt>
                <c:pt idx="4">
                  <c:v>0.2</c:v>
                </c:pt>
                <c:pt idx="5">
                  <c:v>0.46</c:v>
                </c:pt>
                <c:pt idx="6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45-4297-9CEF-FD91AD0B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9709872"/>
        <c:axId val="2297127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(Datos!$EF$1,Datos!$EH$1,Datos!$EJ$1,Datos!$EL$1,Datos!$EN$1,Datos!$EP$1,Datos!$ER$1)</c15:sqref>
                        </c15:formulaRef>
                      </c:ext>
                    </c:extLst>
                    <c:strCache>
                      <c:ptCount val="7"/>
                      <c:pt idx="0">
                        <c:v>Calidad_14_0</c:v>
                      </c:pt>
                      <c:pt idx="1">
                        <c:v>Calidad_14_1</c:v>
                      </c:pt>
                      <c:pt idx="2">
                        <c:v>Calidad_14_2</c:v>
                      </c:pt>
                      <c:pt idx="3">
                        <c:v>Calidad_14_3</c:v>
                      </c:pt>
                      <c:pt idx="4">
                        <c:v>Calidad_14_4</c:v>
                      </c:pt>
                      <c:pt idx="5">
                        <c:v>Calidad_14_5</c:v>
                      </c:pt>
                      <c:pt idx="6">
                        <c:v>Calidad_14_6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(Datos!$EF$2,Datos!$EH$2,Datos!$EJ$2,Datos!$EL$2,Datos!$EN$2,Datos!$EP$2,Datos!$ER$2)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B45-4297-9CEF-FD91AD0B778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(Datos!$EF$1,Datos!$EH$1,Datos!$EJ$1,Datos!$EL$1,Datos!$EN$1,Datos!$EP$1,Datos!$ER$1)</c15:sqref>
                        </c15:formulaRef>
                      </c:ext>
                    </c:extLst>
                    <c:strCache>
                      <c:ptCount val="7"/>
                      <c:pt idx="0">
                        <c:v>Calidad_14_0</c:v>
                      </c:pt>
                      <c:pt idx="1">
                        <c:v>Calidad_14_1</c:v>
                      </c:pt>
                      <c:pt idx="2">
                        <c:v>Calidad_14_2</c:v>
                      </c:pt>
                      <c:pt idx="3">
                        <c:v>Calidad_14_3</c:v>
                      </c:pt>
                      <c:pt idx="4">
                        <c:v>Calidad_14_4</c:v>
                      </c:pt>
                      <c:pt idx="5">
                        <c:v>Calidad_14_5</c:v>
                      </c:pt>
                      <c:pt idx="6">
                        <c:v>Calidad_14_6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(Datos!$EF$3,Datos!$EH$3,Datos!$EJ$3,Datos!$EL$3,Datos!$EN$3,Datos!$EP$3,Datos!$ER$3)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B45-4297-9CEF-FD91AD0B778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(Datos!$EF$1,Datos!$EH$1,Datos!$EJ$1,Datos!$EL$1,Datos!$EN$1,Datos!$EP$1,Datos!$ER$1)</c15:sqref>
                        </c15:formulaRef>
                      </c:ext>
                    </c:extLst>
                    <c:strCache>
                      <c:ptCount val="7"/>
                      <c:pt idx="0">
                        <c:v>Calidad_14_0</c:v>
                      </c:pt>
                      <c:pt idx="1">
                        <c:v>Calidad_14_1</c:v>
                      </c:pt>
                      <c:pt idx="2">
                        <c:v>Calidad_14_2</c:v>
                      </c:pt>
                      <c:pt idx="3">
                        <c:v>Calidad_14_3</c:v>
                      </c:pt>
                      <c:pt idx="4">
                        <c:v>Calidad_14_4</c:v>
                      </c:pt>
                      <c:pt idx="5">
                        <c:v>Calidad_14_5</c:v>
                      </c:pt>
                      <c:pt idx="6">
                        <c:v>Calidad_14_6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(Datos!$EF$8,Datos!$EH$8,Datos!$EJ$8,Datos!$EL$8,Datos!$EN$8,Datos!$EP$8,Datos!$ER$8)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B45-4297-9CEF-FD91AD0B778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(Datos!$EF$1,Datos!$EH$1,Datos!$EJ$1,Datos!$EL$1,Datos!$EN$1,Datos!$EP$1,Datos!$ER$1)</c15:sqref>
                        </c15:formulaRef>
                      </c:ext>
                    </c:extLst>
                    <c:strCache>
                      <c:ptCount val="7"/>
                      <c:pt idx="0">
                        <c:v>Calidad_14_0</c:v>
                      </c:pt>
                      <c:pt idx="1">
                        <c:v>Calidad_14_1</c:v>
                      </c:pt>
                      <c:pt idx="2">
                        <c:v>Calidad_14_2</c:v>
                      </c:pt>
                      <c:pt idx="3">
                        <c:v>Calidad_14_3</c:v>
                      </c:pt>
                      <c:pt idx="4">
                        <c:v>Calidad_14_4</c:v>
                      </c:pt>
                      <c:pt idx="5">
                        <c:v>Calidad_14_5</c:v>
                      </c:pt>
                      <c:pt idx="6">
                        <c:v>Calidad_14_6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(Datos!$EF$9,Datos!$EH$9,Datos!$EJ$9,Datos!$EL$9,Datos!$EN$9,Datos!$EP$9,Datos!$ER$9)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B45-4297-9CEF-FD91AD0B778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(Datos!$EF$1,Datos!$EH$1,Datos!$EJ$1,Datos!$EL$1,Datos!$EN$1,Datos!$EP$1,Datos!$ER$1)</c15:sqref>
                        </c15:formulaRef>
                      </c:ext>
                    </c:extLst>
                    <c:strCache>
                      <c:ptCount val="7"/>
                      <c:pt idx="0">
                        <c:v>Calidad_14_0</c:v>
                      </c:pt>
                      <c:pt idx="1">
                        <c:v>Calidad_14_1</c:v>
                      </c:pt>
                      <c:pt idx="2">
                        <c:v>Calidad_14_2</c:v>
                      </c:pt>
                      <c:pt idx="3">
                        <c:v>Calidad_14_3</c:v>
                      </c:pt>
                      <c:pt idx="4">
                        <c:v>Calidad_14_4</c:v>
                      </c:pt>
                      <c:pt idx="5">
                        <c:v>Calidad_14_5</c:v>
                      </c:pt>
                      <c:pt idx="6">
                        <c:v>Calidad_14_6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(Datos!$EF$10,Datos!$EH$10,Datos!$EJ$10,Datos!$EL$10,Datos!$EN$10,Datos!$EP$10,Datos!$ER$10)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B45-4297-9CEF-FD91AD0B778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(Datos!$EF$1,Datos!$EH$1,Datos!$EJ$1,Datos!$EL$1,Datos!$EN$1,Datos!$EP$1,Datos!$ER$1)</c15:sqref>
                        </c15:formulaRef>
                      </c:ext>
                    </c:extLst>
                    <c:strCache>
                      <c:ptCount val="7"/>
                      <c:pt idx="0">
                        <c:v>Calidad_14_0</c:v>
                      </c:pt>
                      <c:pt idx="1">
                        <c:v>Calidad_14_1</c:v>
                      </c:pt>
                      <c:pt idx="2">
                        <c:v>Calidad_14_2</c:v>
                      </c:pt>
                      <c:pt idx="3">
                        <c:v>Calidad_14_3</c:v>
                      </c:pt>
                      <c:pt idx="4">
                        <c:v>Calidad_14_4</c:v>
                      </c:pt>
                      <c:pt idx="5">
                        <c:v>Calidad_14_5</c:v>
                      </c:pt>
                      <c:pt idx="6">
                        <c:v>Calidad_14_6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(Datos!$EF$11,Datos!$EH$11,Datos!$EJ$11,Datos!$EL$11,Datos!$EN$11,Datos!$EP$11,Datos!$ER$11)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B45-4297-9CEF-FD91AD0B7789}"/>
                  </c:ext>
                </c:extLst>
              </c15:ser>
            </c15:filteredBarSeries>
          </c:ext>
        </c:extLst>
      </c:barChart>
      <c:catAx>
        <c:axId val="229709872"/>
        <c:scaling>
          <c:orientation val="minMax"/>
        </c:scaling>
        <c:delete val="0"/>
        <c:axPos val="b"/>
        <c:title>
          <c:tx>
            <c:strRef>
              <c:f>Datos!$EF$10</c:f>
              <c:strCache>
                <c:ptCount val="1"/>
                <c:pt idx="0">
                  <c:v>Contenido de los Items de la Sección 14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712784"/>
        <c:crosses val="autoZero"/>
        <c:auto val="1"/>
        <c:lblAlgn val="ctr"/>
        <c:lblOffset val="100"/>
        <c:noMultiLvlLbl val="0"/>
      </c:catAx>
      <c:valAx>
        <c:axId val="2297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Datos!$EF$9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709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Datos!$ET$8</c:f>
          <c:strCache>
            <c:ptCount val="1"/>
            <c:pt idx="0">
              <c:v>Calidad del Contenido de los Items de la Sección 15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(Datos!$ET$1,Datos!$EV$1)</c:f>
              <c:strCache>
                <c:ptCount val="2"/>
                <c:pt idx="0">
                  <c:v>Calidad_15_0</c:v>
                </c:pt>
                <c:pt idx="1">
                  <c:v>Calidad_15_1</c:v>
                </c:pt>
              </c:strCache>
            </c:strRef>
          </c:cat>
          <c:val>
            <c:numRef>
              <c:f>(Datos!$ET$4,Datos!$EV$4)</c:f>
              <c:numCache>
                <c:formatCode>0.00%</c:formatCode>
                <c:ptCount val="2"/>
                <c:pt idx="0">
                  <c:v>0.8</c:v>
                </c:pt>
                <c:pt idx="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9-48A1-92BA-DFB1E39DDAA2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(Datos!$ET$1,Datos!$EV$1)</c:f>
              <c:strCache>
                <c:ptCount val="2"/>
                <c:pt idx="0">
                  <c:v>Calidad_15_0</c:v>
                </c:pt>
                <c:pt idx="1">
                  <c:v>Calidad_15_1</c:v>
                </c:pt>
              </c:strCache>
            </c:strRef>
          </c:cat>
          <c:val>
            <c:numRef>
              <c:f>(Datos!$ET$5,Datos!$EV$5)</c:f>
              <c:numCache>
                <c:formatCode>0.00%</c:formatCode>
                <c:ptCount val="2"/>
                <c:pt idx="0">
                  <c:v>0</c:v>
                </c:pt>
                <c:pt idx="1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9-48A1-92BA-DFB1E39DDAA2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(Datos!$ET$1,Datos!$EV$1)</c:f>
              <c:strCache>
                <c:ptCount val="2"/>
                <c:pt idx="0">
                  <c:v>Calidad_15_0</c:v>
                </c:pt>
                <c:pt idx="1">
                  <c:v>Calidad_15_1</c:v>
                </c:pt>
              </c:strCache>
            </c:strRef>
          </c:cat>
          <c:val>
            <c:numRef>
              <c:f>(Datos!$ET$6,Datos!$EV$6)</c:f>
              <c:numCache>
                <c:formatCode>0.00%</c:formatCode>
                <c:ptCount val="2"/>
                <c:pt idx="0">
                  <c:v>0.2</c:v>
                </c:pt>
                <c:pt idx="1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69-48A1-92BA-DFB1E39DD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2548032"/>
        <c:axId val="15425484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(Datos!$ET$1,Datos!$EV$1)</c15:sqref>
                        </c15:formulaRef>
                      </c:ext>
                    </c:extLst>
                    <c:strCache>
                      <c:ptCount val="2"/>
                      <c:pt idx="0">
                        <c:v>Calidad_15_0</c:v>
                      </c:pt>
                      <c:pt idx="1">
                        <c:v>Calidad_15_1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(Datos!$ET$2,Datos!$EV$2)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E69-48A1-92BA-DFB1E39DDAA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(Datos!$ET$1,Datos!$EV$1)</c15:sqref>
                        </c15:formulaRef>
                      </c:ext>
                    </c:extLst>
                    <c:strCache>
                      <c:ptCount val="2"/>
                      <c:pt idx="0">
                        <c:v>Calidad_15_0</c:v>
                      </c:pt>
                      <c:pt idx="1">
                        <c:v>Calidad_15_1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(Datos!$ET$3,Datos!$EV$3)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69-48A1-92BA-DFB1E39DDAA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(Datos!$ET$1,Datos!$EV$1)</c15:sqref>
                        </c15:formulaRef>
                      </c:ext>
                    </c:extLst>
                    <c:strCache>
                      <c:ptCount val="2"/>
                      <c:pt idx="0">
                        <c:v>Calidad_15_0</c:v>
                      </c:pt>
                      <c:pt idx="1">
                        <c:v>Calidad_15_1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(Datos!$ET$8,Datos!$EV$8)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69-48A1-92BA-DFB1E39DDAA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(Datos!$ET$1,Datos!$EV$1)</c15:sqref>
                        </c15:formulaRef>
                      </c:ext>
                    </c:extLst>
                    <c:strCache>
                      <c:ptCount val="2"/>
                      <c:pt idx="0">
                        <c:v>Calidad_15_0</c:v>
                      </c:pt>
                      <c:pt idx="1">
                        <c:v>Calidad_15_1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(Datos!$ET$9,Datos!$EV$9)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69-48A1-92BA-DFB1E39DDAA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(Datos!$ET$1,Datos!$EV$1)</c15:sqref>
                        </c15:formulaRef>
                      </c:ext>
                    </c:extLst>
                    <c:strCache>
                      <c:ptCount val="2"/>
                      <c:pt idx="0">
                        <c:v>Calidad_15_0</c:v>
                      </c:pt>
                      <c:pt idx="1">
                        <c:v>Calidad_15_1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(Datos!$ET$10,Datos!$EV$10)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69-48A1-92BA-DFB1E39DDAA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(Datos!$ET$1,Datos!$EV$1)</c15:sqref>
                        </c15:formulaRef>
                      </c:ext>
                    </c:extLst>
                    <c:strCache>
                      <c:ptCount val="2"/>
                      <c:pt idx="0">
                        <c:v>Calidad_15_0</c:v>
                      </c:pt>
                      <c:pt idx="1">
                        <c:v>Calidad_15_1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(Datos!$ET$11,Datos!$EV$11)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E69-48A1-92BA-DFB1E39DDAA2}"/>
                  </c:ext>
                </c:extLst>
              </c15:ser>
            </c15:filteredBarSeries>
          </c:ext>
        </c:extLst>
      </c:barChart>
      <c:catAx>
        <c:axId val="1542548032"/>
        <c:scaling>
          <c:orientation val="minMax"/>
        </c:scaling>
        <c:delete val="0"/>
        <c:axPos val="b"/>
        <c:title>
          <c:tx>
            <c:strRef>
              <c:f>Datos!$ET$10</c:f>
              <c:strCache>
                <c:ptCount val="1"/>
                <c:pt idx="0">
                  <c:v>Contenido de los Items de la Sección 15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548448"/>
        <c:crosses val="autoZero"/>
        <c:auto val="1"/>
        <c:lblAlgn val="ctr"/>
        <c:lblOffset val="100"/>
        <c:noMultiLvlLbl val="0"/>
      </c:catAx>
      <c:valAx>
        <c:axId val="154254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Datos!$ET$9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548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Datos!$EX$8</c:f>
          <c:strCache>
            <c:ptCount val="1"/>
            <c:pt idx="0">
              <c:v>Calidad del Contenido de los Items de la Sección 16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2"/>
          <c:order val="2"/>
          <c:tx>
            <c:strRef>
              <c:f>Datos!$E$4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(Datos!$EX$1,Datos!$EZ$1)</c:f>
              <c:strCache>
                <c:ptCount val="2"/>
                <c:pt idx="0">
                  <c:v>Calidad_16_0</c:v>
                </c:pt>
                <c:pt idx="1">
                  <c:v>Calidad_16_1</c:v>
                </c:pt>
              </c:strCache>
            </c:strRef>
          </c:cat>
          <c:val>
            <c:numRef>
              <c:f>(Datos!$EX$4,Datos!$EZ$4)</c:f>
              <c:numCache>
                <c:formatCode>0.00%</c:formatCode>
                <c:ptCount val="2"/>
                <c:pt idx="0">
                  <c:v>1</c:v>
                </c:pt>
                <c:pt idx="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E-4779-A18F-483BF34C64C5}"/>
            </c:ext>
          </c:extLst>
        </c:ser>
        <c:ser>
          <c:idx val="3"/>
          <c:order val="3"/>
          <c:tx>
            <c:strRef>
              <c:f>Datos!$E$5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(Datos!$EX$1,Datos!$EZ$1)</c:f>
              <c:strCache>
                <c:ptCount val="2"/>
                <c:pt idx="0">
                  <c:v>Calidad_16_0</c:v>
                </c:pt>
                <c:pt idx="1">
                  <c:v>Calidad_16_1</c:v>
                </c:pt>
              </c:strCache>
            </c:strRef>
          </c:cat>
          <c:val>
            <c:numRef>
              <c:f>(Datos!$EX$5,Datos!$EZ$5)</c:f>
              <c:numCache>
                <c:formatCode>0.00%</c:formatCode>
                <c:ptCount val="2"/>
                <c:pt idx="0">
                  <c:v>0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2E-4779-A18F-483BF34C64C5}"/>
            </c:ext>
          </c:extLst>
        </c:ser>
        <c:ser>
          <c:idx val="4"/>
          <c:order val="4"/>
          <c:tx>
            <c:strRef>
              <c:f>Datos!$E$6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(Datos!$EX$1,Datos!$EZ$1)</c:f>
              <c:strCache>
                <c:ptCount val="2"/>
                <c:pt idx="0">
                  <c:v>Calidad_16_0</c:v>
                </c:pt>
                <c:pt idx="1">
                  <c:v>Calidad_16_1</c:v>
                </c:pt>
              </c:strCache>
            </c:strRef>
          </c:cat>
          <c:val>
            <c:numRef>
              <c:f>(Datos!$EX$6,Datos!$EZ$6)</c:f>
              <c:numCache>
                <c:formatCode>0.00%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2E-4779-A18F-483BF34C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8525584"/>
        <c:axId val="10885156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Datos!$E$2</c15:sqref>
                        </c15:formulaRef>
                      </c:ext>
                    </c:extLst>
                    <c:strCache>
                      <c:ptCount val="1"/>
                      <c:pt idx="0">
                        <c:v>Presente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(Datos!$EX$1,Datos!$EZ$1)</c15:sqref>
                        </c15:formulaRef>
                      </c:ext>
                    </c:extLst>
                    <c:strCache>
                      <c:ptCount val="2"/>
                      <c:pt idx="0">
                        <c:v>Calidad_16_0</c:v>
                      </c:pt>
                      <c:pt idx="1">
                        <c:v>Calidad_16_1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(Datos!$EX$2,Datos!$EZ$2)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72E-4779-A18F-483BF34C64C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Datos!$E$3</c15:sqref>
                        </c15:formulaRef>
                      </c:ext>
                    </c:extLst>
                    <c:strCache>
                      <c:ptCount val="1"/>
                      <c:pt idx="0">
                        <c:v>No Present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(Datos!$EX$1,Datos!$EZ$1)</c15:sqref>
                        </c15:formulaRef>
                      </c:ext>
                    </c:extLst>
                    <c:strCache>
                      <c:ptCount val="2"/>
                      <c:pt idx="0">
                        <c:v>Calidad_16_0</c:v>
                      </c:pt>
                      <c:pt idx="1">
                        <c:v>Calidad_16_1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(Datos!$EX$3,Datos!$EZ$3)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2E-4779-A18F-483BF34C64C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(Datos!$EX$1,Datos!$EZ$1)</c15:sqref>
                        </c15:formulaRef>
                      </c:ext>
                    </c:extLst>
                    <c:strCache>
                      <c:ptCount val="2"/>
                      <c:pt idx="0">
                        <c:v>Calidad_16_0</c:v>
                      </c:pt>
                      <c:pt idx="1">
                        <c:v>Calidad_16_1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(Datos!$EX$8,Datos!$EZ$8)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72E-4779-A18F-483BF34C64C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(Datos!$EX$1,Datos!$EZ$1)</c15:sqref>
                        </c15:formulaRef>
                      </c:ext>
                    </c:extLst>
                    <c:strCache>
                      <c:ptCount val="2"/>
                      <c:pt idx="0">
                        <c:v>Calidad_16_0</c:v>
                      </c:pt>
                      <c:pt idx="1">
                        <c:v>Calidad_16_1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(Datos!$EX$9,Datos!$EZ$9)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2E-4779-A18F-483BF34C64C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(Datos!$EX$1,Datos!$EZ$1)</c15:sqref>
                        </c15:formulaRef>
                      </c:ext>
                    </c:extLst>
                    <c:strCache>
                      <c:ptCount val="2"/>
                      <c:pt idx="0">
                        <c:v>Calidad_16_0</c:v>
                      </c:pt>
                      <c:pt idx="1">
                        <c:v>Calidad_16_1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(Datos!$EX$10,Datos!$EZ$10)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2E-4779-A18F-483BF34C64C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Datos!$E$11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(Datos!$EX$1,Datos!$EZ$1)</c15:sqref>
                        </c15:formulaRef>
                      </c:ext>
                    </c:extLst>
                    <c:strCache>
                      <c:ptCount val="2"/>
                      <c:pt idx="0">
                        <c:v>Calidad_16_0</c:v>
                      </c:pt>
                      <c:pt idx="1">
                        <c:v>Calidad_16_1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(Datos!$EX$11,Datos!$EZ$11)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2E-4779-A18F-483BF34C64C5}"/>
                  </c:ext>
                </c:extLst>
              </c15:ser>
            </c15:filteredBarSeries>
          </c:ext>
        </c:extLst>
      </c:barChart>
      <c:catAx>
        <c:axId val="1088525584"/>
        <c:scaling>
          <c:orientation val="minMax"/>
        </c:scaling>
        <c:delete val="0"/>
        <c:axPos val="b"/>
        <c:title>
          <c:tx>
            <c:strRef>
              <c:f>Datos!$EX$10</c:f>
              <c:strCache>
                <c:ptCount val="1"/>
                <c:pt idx="0">
                  <c:v>Contenido de los Items de la Sección 16 de la FDS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15600"/>
        <c:crosses val="autoZero"/>
        <c:auto val="1"/>
        <c:lblAlgn val="ctr"/>
        <c:lblOffset val="100"/>
        <c:noMultiLvlLbl val="0"/>
      </c:catAx>
      <c:valAx>
        <c:axId val="10885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Datos!$EX$9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8525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Distribución de FDS Analizadas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7F2-421C-BA7B-71E6CA512B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7F2-421C-BA7B-71E6CA512B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7F2-421C-BA7B-71E6CA512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'Evalucion (2)'!$FI$4:$FI$6</c:f>
              <c:strCache>
                <c:ptCount val="3"/>
                <c:pt idx="0">
                  <c:v>Confiable</c:v>
                </c:pt>
                <c:pt idx="1">
                  <c:v>Conf_CR</c:v>
                </c:pt>
                <c:pt idx="2">
                  <c:v>NO_Conf</c:v>
                </c:pt>
              </c:strCache>
            </c:strRef>
          </c:cat>
          <c:val>
            <c:numRef>
              <c:f>'Evalucion (2)'!$FK$4:$FK$6</c:f>
              <c:numCache>
                <c:formatCode>0.00%</c:formatCode>
                <c:ptCount val="3"/>
                <c:pt idx="0">
                  <c:v>0</c:v>
                </c:pt>
                <c:pt idx="1">
                  <c:v>0.68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F2-421C-BA7B-71E6CA512B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Evalucion!$E$61</c:f>
          <c:strCache>
            <c:ptCount val="1"/>
            <c:pt idx="0">
              <c:v>Calidad del Contenido de los Items de la Sección  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Evalucion!$E$57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Evalucion!$F$56:$U$56</c:f>
              <c:strCache>
                <c:ptCount val="16"/>
                <c:pt idx="0">
                  <c:v>Conf Sec 1</c:v>
                </c:pt>
                <c:pt idx="1">
                  <c:v>Conf Sec 2</c:v>
                </c:pt>
                <c:pt idx="2">
                  <c:v>Conf Sec 3</c:v>
                </c:pt>
                <c:pt idx="3">
                  <c:v>Conf Sec 4</c:v>
                </c:pt>
                <c:pt idx="4">
                  <c:v>Conf Sec 5</c:v>
                </c:pt>
                <c:pt idx="5">
                  <c:v>Conf Sec 6</c:v>
                </c:pt>
                <c:pt idx="6">
                  <c:v>Conf Sec 7</c:v>
                </c:pt>
                <c:pt idx="7">
                  <c:v>Conf Sec 8</c:v>
                </c:pt>
                <c:pt idx="8">
                  <c:v>Conf Sec 9</c:v>
                </c:pt>
                <c:pt idx="9">
                  <c:v>Conf Sec 10</c:v>
                </c:pt>
                <c:pt idx="10">
                  <c:v>Conf Sec 11</c:v>
                </c:pt>
                <c:pt idx="11">
                  <c:v>Conf Sec 12</c:v>
                </c:pt>
                <c:pt idx="12">
                  <c:v>Conf Sec 13</c:v>
                </c:pt>
                <c:pt idx="13">
                  <c:v>Conf Sec 14</c:v>
                </c:pt>
                <c:pt idx="14">
                  <c:v>Conf Sec 15</c:v>
                </c:pt>
                <c:pt idx="15">
                  <c:v>Conf Sec 16</c:v>
                </c:pt>
              </c:strCache>
            </c:strRef>
          </c:cat>
          <c:val>
            <c:numRef>
              <c:f>Evalucion!$F$57:$U$57</c:f>
              <c:numCache>
                <c:formatCode>0.00%</c:formatCode>
                <c:ptCount val="16"/>
                <c:pt idx="0">
                  <c:v>0.58666666666666656</c:v>
                </c:pt>
                <c:pt idx="1">
                  <c:v>0.62</c:v>
                </c:pt>
                <c:pt idx="2">
                  <c:v>0.45200000000000007</c:v>
                </c:pt>
                <c:pt idx="3">
                  <c:v>0.60499999999999998</c:v>
                </c:pt>
                <c:pt idx="4">
                  <c:v>0.71</c:v>
                </c:pt>
                <c:pt idx="5">
                  <c:v>0.435</c:v>
                </c:pt>
                <c:pt idx="6">
                  <c:v>0.7400000000000001</c:v>
                </c:pt>
                <c:pt idx="7">
                  <c:v>0.35500000000000004</c:v>
                </c:pt>
                <c:pt idx="8">
                  <c:v>0.72</c:v>
                </c:pt>
                <c:pt idx="9">
                  <c:v>0.29428571428571432</c:v>
                </c:pt>
                <c:pt idx="10">
                  <c:v>0.39666666666666667</c:v>
                </c:pt>
                <c:pt idx="11">
                  <c:v>0.23</c:v>
                </c:pt>
                <c:pt idx="12">
                  <c:v>0.5</c:v>
                </c:pt>
                <c:pt idx="13">
                  <c:v>0.52</c:v>
                </c:pt>
                <c:pt idx="14">
                  <c:v>0.41000000000000003</c:v>
                </c:pt>
                <c:pt idx="15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9-474A-AA80-46DA8D870BAD}"/>
            </c:ext>
          </c:extLst>
        </c:ser>
        <c:ser>
          <c:idx val="1"/>
          <c:order val="1"/>
          <c:tx>
            <c:strRef>
              <c:f>Evalucion!$E$58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Evalucion!$F$56:$U$56</c:f>
              <c:strCache>
                <c:ptCount val="16"/>
                <c:pt idx="0">
                  <c:v>Conf Sec 1</c:v>
                </c:pt>
                <c:pt idx="1">
                  <c:v>Conf Sec 2</c:v>
                </c:pt>
                <c:pt idx="2">
                  <c:v>Conf Sec 3</c:v>
                </c:pt>
                <c:pt idx="3">
                  <c:v>Conf Sec 4</c:v>
                </c:pt>
                <c:pt idx="4">
                  <c:v>Conf Sec 5</c:v>
                </c:pt>
                <c:pt idx="5">
                  <c:v>Conf Sec 6</c:v>
                </c:pt>
                <c:pt idx="6">
                  <c:v>Conf Sec 7</c:v>
                </c:pt>
                <c:pt idx="7">
                  <c:v>Conf Sec 8</c:v>
                </c:pt>
                <c:pt idx="8">
                  <c:v>Conf Sec 9</c:v>
                </c:pt>
                <c:pt idx="9">
                  <c:v>Conf Sec 10</c:v>
                </c:pt>
                <c:pt idx="10">
                  <c:v>Conf Sec 11</c:v>
                </c:pt>
                <c:pt idx="11">
                  <c:v>Conf Sec 12</c:v>
                </c:pt>
                <c:pt idx="12">
                  <c:v>Conf Sec 13</c:v>
                </c:pt>
                <c:pt idx="13">
                  <c:v>Conf Sec 14</c:v>
                </c:pt>
                <c:pt idx="14">
                  <c:v>Conf Sec 15</c:v>
                </c:pt>
                <c:pt idx="15">
                  <c:v>Conf Sec 16</c:v>
                </c:pt>
              </c:strCache>
            </c:strRef>
          </c:cat>
          <c:val>
            <c:numRef>
              <c:f>Evalucion!$F$58:$U$58</c:f>
              <c:numCache>
                <c:formatCode>0.00%</c:formatCode>
                <c:ptCount val="16"/>
                <c:pt idx="0">
                  <c:v>0.16</c:v>
                </c:pt>
                <c:pt idx="1">
                  <c:v>7.7142857142857152E-2</c:v>
                </c:pt>
                <c:pt idx="2">
                  <c:v>0.27999999999999997</c:v>
                </c:pt>
                <c:pt idx="3">
                  <c:v>3.4999999999999996E-2</c:v>
                </c:pt>
                <c:pt idx="4">
                  <c:v>0.02</c:v>
                </c:pt>
                <c:pt idx="5">
                  <c:v>0.22999999999999998</c:v>
                </c:pt>
                <c:pt idx="6">
                  <c:v>0.04</c:v>
                </c:pt>
                <c:pt idx="7">
                  <c:v>0.39</c:v>
                </c:pt>
                <c:pt idx="8">
                  <c:v>0.23</c:v>
                </c:pt>
                <c:pt idx="9">
                  <c:v>0.48857142857142855</c:v>
                </c:pt>
                <c:pt idx="10">
                  <c:v>0.13666666666666666</c:v>
                </c:pt>
                <c:pt idx="11">
                  <c:v>0.35499999999999998</c:v>
                </c:pt>
                <c:pt idx="12">
                  <c:v>0.3</c:v>
                </c:pt>
                <c:pt idx="13">
                  <c:v>6.8000000000000005E-2</c:v>
                </c:pt>
                <c:pt idx="14">
                  <c:v>0.17</c:v>
                </c:pt>
                <c:pt idx="15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9-474A-AA80-46DA8D870BAD}"/>
            </c:ext>
          </c:extLst>
        </c:ser>
        <c:ser>
          <c:idx val="2"/>
          <c:order val="2"/>
          <c:tx>
            <c:strRef>
              <c:f>Evalucion!$E$59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Evalucion!$F$56:$U$56</c:f>
              <c:strCache>
                <c:ptCount val="16"/>
                <c:pt idx="0">
                  <c:v>Conf Sec 1</c:v>
                </c:pt>
                <c:pt idx="1">
                  <c:v>Conf Sec 2</c:v>
                </c:pt>
                <c:pt idx="2">
                  <c:v>Conf Sec 3</c:v>
                </c:pt>
                <c:pt idx="3">
                  <c:v>Conf Sec 4</c:v>
                </c:pt>
                <c:pt idx="4">
                  <c:v>Conf Sec 5</c:v>
                </c:pt>
                <c:pt idx="5">
                  <c:v>Conf Sec 6</c:v>
                </c:pt>
                <c:pt idx="6">
                  <c:v>Conf Sec 7</c:v>
                </c:pt>
                <c:pt idx="7">
                  <c:v>Conf Sec 8</c:v>
                </c:pt>
                <c:pt idx="8">
                  <c:v>Conf Sec 9</c:v>
                </c:pt>
                <c:pt idx="9">
                  <c:v>Conf Sec 10</c:v>
                </c:pt>
                <c:pt idx="10">
                  <c:v>Conf Sec 11</c:v>
                </c:pt>
                <c:pt idx="11">
                  <c:v>Conf Sec 12</c:v>
                </c:pt>
                <c:pt idx="12">
                  <c:v>Conf Sec 13</c:v>
                </c:pt>
                <c:pt idx="13">
                  <c:v>Conf Sec 14</c:v>
                </c:pt>
                <c:pt idx="14">
                  <c:v>Conf Sec 15</c:v>
                </c:pt>
                <c:pt idx="15">
                  <c:v>Conf Sec 16</c:v>
                </c:pt>
              </c:strCache>
            </c:strRef>
          </c:cat>
          <c:val>
            <c:numRef>
              <c:f>Evalucion!$F$59:$U$59</c:f>
              <c:numCache>
                <c:formatCode>0.00%</c:formatCode>
                <c:ptCount val="16"/>
                <c:pt idx="0">
                  <c:v>0.25333333333333335</c:v>
                </c:pt>
                <c:pt idx="1">
                  <c:v>0.30285714285714294</c:v>
                </c:pt>
                <c:pt idx="2">
                  <c:v>0.26800000000000002</c:v>
                </c:pt>
                <c:pt idx="3">
                  <c:v>0.36</c:v>
                </c:pt>
                <c:pt idx="4">
                  <c:v>0.27</c:v>
                </c:pt>
                <c:pt idx="5">
                  <c:v>0.33500000000000002</c:v>
                </c:pt>
                <c:pt idx="6">
                  <c:v>0.21999999999999997</c:v>
                </c:pt>
                <c:pt idx="7">
                  <c:v>0.255</c:v>
                </c:pt>
                <c:pt idx="8">
                  <c:v>0.05</c:v>
                </c:pt>
                <c:pt idx="9">
                  <c:v>0.21714285714285717</c:v>
                </c:pt>
                <c:pt idx="10">
                  <c:v>0.46666666666666673</c:v>
                </c:pt>
                <c:pt idx="11">
                  <c:v>0.41499999999999998</c:v>
                </c:pt>
                <c:pt idx="12">
                  <c:v>0.2</c:v>
                </c:pt>
                <c:pt idx="13">
                  <c:v>0.41200000000000003</c:v>
                </c:pt>
                <c:pt idx="14">
                  <c:v>0.42000000000000004</c:v>
                </c:pt>
                <c:pt idx="1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09-474A-AA80-46DA8D87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4912767"/>
        <c:axId val="634913599"/>
      </c:barChart>
      <c:catAx>
        <c:axId val="634912767"/>
        <c:scaling>
          <c:orientation val="minMax"/>
        </c:scaling>
        <c:delete val="0"/>
        <c:axPos val="l"/>
        <c:title>
          <c:tx>
            <c:strRef>
              <c:f>Evalucion!$E$63</c:f>
              <c:strCache>
                <c:ptCount val="1"/>
                <c:pt idx="0">
                  <c:v>Secciones de las FDS Analizadas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4913599"/>
        <c:crosses val="autoZero"/>
        <c:auto val="1"/>
        <c:lblAlgn val="ctr"/>
        <c:lblOffset val="100"/>
        <c:noMultiLvlLbl val="0"/>
      </c:catAx>
      <c:valAx>
        <c:axId val="63491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Evalucion!$E$62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491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Evalucion!$E$61</c:f>
          <c:strCache>
            <c:ptCount val="1"/>
            <c:pt idx="0">
              <c:v>Calidad del Contenido de los Items de la Sección   de las FDS Analizadas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'Evalucion (2)'!$I$61</c:f>
              <c:strCache>
                <c:ptCount val="1"/>
                <c:pt idx="0">
                  <c:v>Confiable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'Evalucion (2)'!$J$60:$Q$60</c:f>
              <c:strCache>
                <c:ptCount val="8"/>
                <c:pt idx="0">
                  <c:v>FABRICANTE 1</c:v>
                </c:pt>
                <c:pt idx="1">
                  <c:v>FABRICANTE 2</c:v>
                </c:pt>
                <c:pt idx="2">
                  <c:v>FABRICANTE 3</c:v>
                </c:pt>
                <c:pt idx="3">
                  <c:v>FABRICANTE 4</c:v>
                </c:pt>
                <c:pt idx="4">
                  <c:v>FABRICANTE 5</c:v>
                </c:pt>
                <c:pt idx="5">
                  <c:v>FABRICANTE 6</c:v>
                </c:pt>
                <c:pt idx="6">
                  <c:v>FABRICANTE 7</c:v>
                </c:pt>
                <c:pt idx="7">
                  <c:v>FABRICANTE 8</c:v>
                </c:pt>
              </c:strCache>
            </c:strRef>
          </c:cat>
          <c:val>
            <c:numRef>
              <c:f>'Evalucion (2)'!$J$61:$Q$61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1-4F68-B3AB-4CE47E643566}"/>
            </c:ext>
          </c:extLst>
        </c:ser>
        <c:ser>
          <c:idx val="1"/>
          <c:order val="1"/>
          <c:tx>
            <c:strRef>
              <c:f>'Evalucion (2)'!$I$62</c:f>
              <c:strCache>
                <c:ptCount val="1"/>
                <c:pt idx="0">
                  <c:v>Conf_CR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'Evalucion (2)'!$J$60:$Q$60</c:f>
              <c:strCache>
                <c:ptCount val="8"/>
                <c:pt idx="0">
                  <c:v>FABRICANTE 1</c:v>
                </c:pt>
                <c:pt idx="1">
                  <c:v>FABRICANTE 2</c:v>
                </c:pt>
                <c:pt idx="2">
                  <c:v>FABRICANTE 3</c:v>
                </c:pt>
                <c:pt idx="3">
                  <c:v>FABRICANTE 4</c:v>
                </c:pt>
                <c:pt idx="4">
                  <c:v>FABRICANTE 5</c:v>
                </c:pt>
                <c:pt idx="5">
                  <c:v>FABRICANTE 6</c:v>
                </c:pt>
                <c:pt idx="6">
                  <c:v>FABRICANTE 7</c:v>
                </c:pt>
                <c:pt idx="7">
                  <c:v>FABRICANTE 8</c:v>
                </c:pt>
              </c:strCache>
            </c:strRef>
          </c:cat>
          <c:val>
            <c:numRef>
              <c:f>'Evalucion (2)'!$J$62:$Q$62</c:f>
              <c:numCache>
                <c:formatCode>0.0%</c:formatCode>
                <c:ptCount val="8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1-4F68-B3AB-4CE47E643566}"/>
            </c:ext>
          </c:extLst>
        </c:ser>
        <c:ser>
          <c:idx val="2"/>
          <c:order val="2"/>
          <c:tx>
            <c:strRef>
              <c:f>'Evalucion (2)'!$I$63</c:f>
              <c:strCache>
                <c:ptCount val="1"/>
                <c:pt idx="0">
                  <c:v>NO_Conf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'Evalucion (2)'!$J$60:$Q$60</c:f>
              <c:strCache>
                <c:ptCount val="8"/>
                <c:pt idx="0">
                  <c:v>FABRICANTE 1</c:v>
                </c:pt>
                <c:pt idx="1">
                  <c:v>FABRICANTE 2</c:v>
                </c:pt>
                <c:pt idx="2">
                  <c:v>FABRICANTE 3</c:v>
                </c:pt>
                <c:pt idx="3">
                  <c:v>FABRICANTE 4</c:v>
                </c:pt>
                <c:pt idx="4">
                  <c:v>FABRICANTE 5</c:v>
                </c:pt>
                <c:pt idx="5">
                  <c:v>FABRICANTE 6</c:v>
                </c:pt>
                <c:pt idx="6">
                  <c:v>FABRICANTE 7</c:v>
                </c:pt>
                <c:pt idx="7">
                  <c:v>FABRICANTE 8</c:v>
                </c:pt>
              </c:strCache>
            </c:strRef>
          </c:cat>
          <c:val>
            <c:numRef>
              <c:f>'Evalucion (2)'!$J$63:$Q$63</c:f>
              <c:numCache>
                <c:formatCode>0.0%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1-4F68-B3AB-4CE47E643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8107424"/>
        <c:axId val="688108672"/>
      </c:barChart>
      <c:catAx>
        <c:axId val="688107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FABRICANTES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8108672"/>
        <c:crosses val="autoZero"/>
        <c:auto val="1"/>
        <c:lblAlgn val="ctr"/>
        <c:lblOffset val="100"/>
        <c:noMultiLvlLbl val="0"/>
      </c:catAx>
      <c:valAx>
        <c:axId val="6881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Evalucion!$E$62</c:f>
              <c:strCache>
                <c:ptCount val="1"/>
                <c:pt idx="0">
                  <c:v>Porcentaje de Cumplimiento del Contenido de los Items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8107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áfico4"/>
  <sheetViews>
    <sheetView zoomScale="10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áfico5"/>
  <sheetViews>
    <sheetView zoomScale="10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áfico6"/>
  <sheetViews>
    <sheetView zoomScale="10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áfico7"/>
  <sheetViews>
    <sheetView zoomScale="10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áfico8"/>
  <sheetViews>
    <sheetView zoomScale="10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áfico9"/>
  <sheetViews>
    <sheetView zoomScale="10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áfico10"/>
  <sheetViews>
    <sheetView zoomScale="10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áfico11"/>
  <sheetViews>
    <sheetView zoomScale="10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áfico12"/>
  <sheetViews>
    <sheetView zoomScale="10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áfico13"/>
  <sheetViews>
    <sheetView zoomScale="10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Gráfico14"/>
  <sheetViews>
    <sheetView zoomScale="10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Gráfico15"/>
  <sheetViews>
    <sheetView zoomScale="10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áfico16"/>
  <sheetViews>
    <sheetView zoomScale="10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Gráfico17"/>
  <sheetViews>
    <sheetView zoomScale="10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Gráfico18"/>
  <sheetViews>
    <sheetView zoomScale="104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Gráfico19"/>
  <sheetViews>
    <sheetView zoomScale="104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Gráfico20"/>
  <sheetViews>
    <sheetView zoomScale="104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Gráfico21"/>
  <sheetViews>
    <sheetView zoomScale="130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 codeName="Gráfico23"/>
  <sheetViews>
    <sheetView zoomScale="10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7529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/>
  <dimension ref="A1:X51"/>
  <sheetViews>
    <sheetView tabSelected="1" topLeftCell="H1" zoomScale="120" zoomScaleNormal="120" workbookViewId="0">
      <selection activeCell="N14" sqref="N14"/>
    </sheetView>
  </sheetViews>
  <sheetFormatPr baseColWidth="10" defaultRowHeight="15" x14ac:dyDescent="0.2"/>
  <cols>
    <col min="1" max="1" width="4.83203125" customWidth="1"/>
    <col min="2" max="2" width="26" customWidth="1"/>
    <col min="3" max="3" width="24.1640625" customWidth="1"/>
    <col min="4" max="4" width="13.6640625" customWidth="1"/>
    <col min="5" max="5" width="17.6640625" customWidth="1"/>
    <col min="9" max="9" width="12.5" bestFit="1" customWidth="1"/>
    <col min="10" max="10" width="17.33203125" bestFit="1" customWidth="1"/>
    <col min="11" max="11" width="25.83203125" bestFit="1" customWidth="1"/>
    <col min="12" max="13" width="25.83203125" customWidth="1"/>
    <col min="14" max="14" width="28" bestFit="1" customWidth="1"/>
    <col min="15" max="15" width="28" customWidth="1"/>
    <col min="17" max="17" width="15" customWidth="1"/>
    <col min="18" max="18" width="3" bestFit="1" customWidth="1"/>
    <col min="19" max="19" width="9.1640625" bestFit="1" customWidth="1"/>
    <col min="20" max="20" width="10" bestFit="1" customWidth="1"/>
    <col min="21" max="21" width="3" bestFit="1" customWidth="1"/>
  </cols>
  <sheetData>
    <row r="1" spans="1:24" x14ac:dyDescent="0.2">
      <c r="A1" t="s">
        <v>189</v>
      </c>
      <c r="B1" t="s">
        <v>200</v>
      </c>
      <c r="C1" t="s">
        <v>199</v>
      </c>
      <c r="D1" t="s">
        <v>2</v>
      </c>
      <c r="E1" t="s">
        <v>237</v>
      </c>
      <c r="F1" t="s">
        <v>238</v>
      </c>
      <c r="G1" t="s">
        <v>201</v>
      </c>
      <c r="H1" t="s">
        <v>244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337</v>
      </c>
    </row>
    <row r="2" spans="1:24" x14ac:dyDescent="0.2">
      <c r="A2">
        <v>1</v>
      </c>
      <c r="B2" t="s">
        <v>280</v>
      </c>
      <c r="C2" t="s">
        <v>202</v>
      </c>
      <c r="D2" t="s">
        <v>186</v>
      </c>
      <c r="E2" s="5" t="s">
        <v>190</v>
      </c>
      <c r="F2" t="s">
        <v>187</v>
      </c>
      <c r="G2" s="1">
        <v>43374</v>
      </c>
      <c r="H2" t="s">
        <v>239</v>
      </c>
      <c r="I2" s="13">
        <v>1</v>
      </c>
      <c r="J2" s="13">
        <v>1</v>
      </c>
      <c r="K2" s="13">
        <v>0</v>
      </c>
      <c r="L2" s="13" t="s">
        <v>334</v>
      </c>
      <c r="M2" s="13" t="s">
        <v>335</v>
      </c>
      <c r="N2" s="13" t="s">
        <v>336</v>
      </c>
      <c r="O2" s="13" t="s">
        <v>338</v>
      </c>
      <c r="Q2" t="s">
        <v>188</v>
      </c>
      <c r="R2">
        <f>COUNTIF(F:F,Q2)</f>
        <v>25</v>
      </c>
    </row>
    <row r="3" spans="1:24" x14ac:dyDescent="0.2">
      <c r="A3">
        <v>2</v>
      </c>
      <c r="B3" t="s">
        <v>245</v>
      </c>
      <c r="C3" t="s">
        <v>203</v>
      </c>
      <c r="D3" t="s">
        <v>181</v>
      </c>
      <c r="E3" s="5" t="s">
        <v>191</v>
      </c>
      <c r="F3" t="s">
        <v>187</v>
      </c>
      <c r="G3" s="1">
        <v>44094</v>
      </c>
      <c r="H3" t="s">
        <v>239</v>
      </c>
      <c r="Q3" t="s">
        <v>187</v>
      </c>
      <c r="R3">
        <f>COUNTIF(F:F,Q3)</f>
        <v>25</v>
      </c>
    </row>
    <row r="4" spans="1:24" x14ac:dyDescent="0.2">
      <c r="A4">
        <v>3</v>
      </c>
      <c r="B4" t="s">
        <v>270</v>
      </c>
      <c r="C4" t="s">
        <v>295</v>
      </c>
      <c r="D4" t="s">
        <v>148</v>
      </c>
      <c r="E4" s="5" t="s">
        <v>192</v>
      </c>
      <c r="F4" t="s">
        <v>187</v>
      </c>
      <c r="G4" s="1">
        <v>42677</v>
      </c>
      <c r="H4" t="s">
        <v>239</v>
      </c>
      <c r="S4" t="s">
        <v>187</v>
      </c>
      <c r="T4" t="s">
        <v>188</v>
      </c>
      <c r="W4" t="s">
        <v>187</v>
      </c>
      <c r="X4" t="s">
        <v>188</v>
      </c>
    </row>
    <row r="5" spans="1:24" x14ac:dyDescent="0.2">
      <c r="A5">
        <v>4</v>
      </c>
      <c r="B5" t="s">
        <v>246</v>
      </c>
      <c r="C5" t="s">
        <v>204</v>
      </c>
      <c r="D5" t="s">
        <v>181</v>
      </c>
      <c r="E5" s="5" t="s">
        <v>191</v>
      </c>
      <c r="F5" t="s">
        <v>187</v>
      </c>
      <c r="G5" s="1">
        <v>43889</v>
      </c>
      <c r="H5" t="s">
        <v>240</v>
      </c>
      <c r="P5" t="s">
        <v>181</v>
      </c>
      <c r="Q5" s="11" t="s">
        <v>191</v>
      </c>
      <c r="R5" s="2">
        <f>COUNTIF(E:E,Q5)</f>
        <v>5</v>
      </c>
      <c r="S5" s="2">
        <f>COUNTIFS($E:$E,$Q5,$F:$F,S$4)</f>
        <v>5</v>
      </c>
      <c r="T5" s="2">
        <f>COUNTIFS($E:$E,$Q5,$F:$F,T$4)</f>
        <v>0</v>
      </c>
      <c r="U5" s="2">
        <f t="shared" ref="U5:U12" si="0">SUM(S5:T5)</f>
        <v>5</v>
      </c>
      <c r="W5">
        <f>S5/5</f>
        <v>1</v>
      </c>
      <c r="X5">
        <f>T5/5</f>
        <v>0</v>
      </c>
    </row>
    <row r="6" spans="1:24" x14ac:dyDescent="0.2">
      <c r="A6">
        <v>5</v>
      </c>
      <c r="B6" t="s">
        <v>281</v>
      </c>
      <c r="C6" t="s">
        <v>205</v>
      </c>
      <c r="D6" t="s">
        <v>186</v>
      </c>
      <c r="E6" s="5" t="s">
        <v>190</v>
      </c>
      <c r="F6" t="s">
        <v>187</v>
      </c>
      <c r="G6" s="1">
        <v>43374</v>
      </c>
      <c r="H6" t="s">
        <v>240</v>
      </c>
      <c r="P6" t="s">
        <v>175</v>
      </c>
      <c r="Q6" s="11" t="s">
        <v>193</v>
      </c>
      <c r="R6" s="2">
        <f>COUNTIF(E:E,Q6)</f>
        <v>5</v>
      </c>
      <c r="S6" s="2">
        <f>COUNTIFS($E:$E,$Q6,$F:$F,S$4)</f>
        <v>0</v>
      </c>
      <c r="T6" s="2">
        <f>COUNTIFS($E:$E,$Q6,$F:$F,T$4)</f>
        <v>5</v>
      </c>
      <c r="U6" s="2">
        <f t="shared" si="0"/>
        <v>5</v>
      </c>
      <c r="W6">
        <f t="shared" ref="W6:X12" si="1">S6/5</f>
        <v>0</v>
      </c>
      <c r="X6">
        <f t="shared" si="1"/>
        <v>1</v>
      </c>
    </row>
    <row r="7" spans="1:24" x14ac:dyDescent="0.2">
      <c r="A7">
        <v>6</v>
      </c>
      <c r="B7" t="s">
        <v>247</v>
      </c>
      <c r="C7" t="s">
        <v>206</v>
      </c>
      <c r="D7" t="s">
        <v>181</v>
      </c>
      <c r="E7" s="5" t="s">
        <v>191</v>
      </c>
      <c r="F7" t="s">
        <v>187</v>
      </c>
      <c r="G7" s="1">
        <v>43889</v>
      </c>
      <c r="H7" t="s">
        <v>241</v>
      </c>
      <c r="P7" t="s">
        <v>149</v>
      </c>
      <c r="Q7" s="11" t="s">
        <v>194</v>
      </c>
      <c r="R7" s="2">
        <f>COUNTIF(E:E,Q7)</f>
        <v>10</v>
      </c>
      <c r="S7" s="2">
        <f>COUNTIFS($E:$E,$Q7,$F:$F,S$4)</f>
        <v>5</v>
      </c>
      <c r="T7" s="2">
        <f>COUNTIFS($E:$E,$Q7,$F:$F,T$4)</f>
        <v>5</v>
      </c>
      <c r="U7" s="2">
        <f t="shared" si="0"/>
        <v>10</v>
      </c>
      <c r="W7">
        <f t="shared" si="1"/>
        <v>1</v>
      </c>
      <c r="X7">
        <f t="shared" si="1"/>
        <v>1</v>
      </c>
    </row>
    <row r="8" spans="1:24" x14ac:dyDescent="0.2">
      <c r="A8">
        <v>7</v>
      </c>
      <c r="B8" t="s">
        <v>250</v>
      </c>
      <c r="C8" t="s">
        <v>207</v>
      </c>
      <c r="D8" t="s">
        <v>175</v>
      </c>
      <c r="E8" s="5" t="s">
        <v>193</v>
      </c>
      <c r="F8" t="s">
        <v>188</v>
      </c>
      <c r="G8" s="1">
        <v>43188</v>
      </c>
      <c r="H8" t="s">
        <v>239</v>
      </c>
      <c r="P8" t="s">
        <v>183</v>
      </c>
      <c r="Q8" s="11" t="s">
        <v>197</v>
      </c>
      <c r="R8" s="2">
        <f>COUNTIF(E:E,Q8)</f>
        <v>5</v>
      </c>
      <c r="S8" s="2">
        <f>COUNTIFS($E:$E,$Q8,$F:$F,S$4)</f>
        <v>5</v>
      </c>
      <c r="T8" s="2">
        <f>COUNTIFS($E:$E,$Q8,$F:$F,T$4)</f>
        <v>0</v>
      </c>
      <c r="U8" s="2">
        <f t="shared" si="0"/>
        <v>5</v>
      </c>
      <c r="W8">
        <f t="shared" si="1"/>
        <v>1</v>
      </c>
      <c r="X8">
        <f t="shared" si="1"/>
        <v>0</v>
      </c>
    </row>
    <row r="9" spans="1:24" x14ac:dyDescent="0.2">
      <c r="A9">
        <v>8</v>
      </c>
      <c r="B9" t="s">
        <v>275</v>
      </c>
      <c r="C9" t="s">
        <v>208</v>
      </c>
      <c r="D9" t="s">
        <v>186</v>
      </c>
      <c r="E9" s="5" t="s">
        <v>190</v>
      </c>
      <c r="F9" t="s">
        <v>188</v>
      </c>
      <c r="G9" s="1">
        <v>43374</v>
      </c>
      <c r="H9" t="s">
        <v>239</v>
      </c>
      <c r="P9" t="s">
        <v>148</v>
      </c>
      <c r="Q9" s="11" t="s">
        <v>192</v>
      </c>
      <c r="R9" s="2">
        <f>COUNTIF(E:E,Q9)</f>
        <v>5</v>
      </c>
      <c r="S9" s="2">
        <f>COUNTIFS($E:$E,$Q9,$F:$F,S$4)</f>
        <v>5</v>
      </c>
      <c r="T9" s="2">
        <f>COUNTIFS($E:$E,$Q9,$F:$F,T$4)</f>
        <v>0</v>
      </c>
      <c r="U9" s="2">
        <f t="shared" si="0"/>
        <v>5</v>
      </c>
      <c r="W9">
        <f t="shared" si="1"/>
        <v>1</v>
      </c>
      <c r="X9">
        <f t="shared" si="1"/>
        <v>0</v>
      </c>
    </row>
    <row r="10" spans="1:24" x14ac:dyDescent="0.2">
      <c r="A10">
        <v>9</v>
      </c>
      <c r="B10" t="s">
        <v>251</v>
      </c>
      <c r="C10" t="s">
        <v>209</v>
      </c>
      <c r="D10" t="s">
        <v>175</v>
      </c>
      <c r="E10" s="5" t="s">
        <v>193</v>
      </c>
      <c r="F10" t="s">
        <v>188</v>
      </c>
      <c r="G10" s="1">
        <v>43950</v>
      </c>
      <c r="H10" t="s">
        <v>240</v>
      </c>
      <c r="P10" t="s">
        <v>186</v>
      </c>
      <c r="Q10" s="11" t="s">
        <v>190</v>
      </c>
      <c r="R10" s="2">
        <f>COUNTIF(E:E,Q10)</f>
        <v>10</v>
      </c>
      <c r="S10" s="2">
        <f>COUNTIFS($E:$E,$Q10,$F:$F,S$4)</f>
        <v>5</v>
      </c>
      <c r="T10" s="2">
        <f>COUNTIFS($E:$E,$Q10,$F:$F,T$4)</f>
        <v>5</v>
      </c>
      <c r="U10" s="2">
        <f t="shared" si="0"/>
        <v>10</v>
      </c>
      <c r="W10">
        <f t="shared" si="1"/>
        <v>1</v>
      </c>
      <c r="X10">
        <f t="shared" si="1"/>
        <v>1</v>
      </c>
    </row>
    <row r="11" spans="1:24" x14ac:dyDescent="0.2">
      <c r="A11">
        <v>10</v>
      </c>
      <c r="B11" t="s">
        <v>282</v>
      </c>
      <c r="C11" t="s">
        <v>210</v>
      </c>
      <c r="D11" t="s">
        <v>186</v>
      </c>
      <c r="E11" s="5" t="s">
        <v>190</v>
      </c>
      <c r="F11" t="s">
        <v>187</v>
      </c>
      <c r="G11" s="1">
        <v>43374</v>
      </c>
      <c r="H11" t="s">
        <v>241</v>
      </c>
      <c r="P11" t="s">
        <v>178</v>
      </c>
      <c r="Q11" s="11" t="s">
        <v>196</v>
      </c>
      <c r="R11" s="2">
        <f>COUNTIF(E:E,Q11)</f>
        <v>5</v>
      </c>
      <c r="S11" s="2">
        <f>COUNTIFS($E:$E,$Q11,$F:$F,S$4)</f>
        <v>0</v>
      </c>
      <c r="T11" s="2">
        <f>COUNTIFS($E:$E,$Q11,$F:$F,T$4)</f>
        <v>5</v>
      </c>
      <c r="U11" s="2">
        <f t="shared" si="0"/>
        <v>5</v>
      </c>
      <c r="W11">
        <f t="shared" si="1"/>
        <v>0</v>
      </c>
      <c r="X11">
        <f t="shared" si="1"/>
        <v>1</v>
      </c>
    </row>
    <row r="12" spans="1:24" x14ac:dyDescent="0.2">
      <c r="A12">
        <v>11</v>
      </c>
      <c r="B12" t="s">
        <v>255</v>
      </c>
      <c r="C12" t="s">
        <v>167</v>
      </c>
      <c r="D12" t="s">
        <v>149</v>
      </c>
      <c r="E12" s="4" t="s">
        <v>194</v>
      </c>
      <c r="F12" t="s">
        <v>188</v>
      </c>
      <c r="G12" s="1">
        <v>43551</v>
      </c>
      <c r="H12" t="s">
        <v>239</v>
      </c>
      <c r="P12" t="s">
        <v>231</v>
      </c>
      <c r="Q12" s="11" t="s">
        <v>195</v>
      </c>
      <c r="R12" s="2">
        <f>COUNTIF(E:E,Q12)</f>
        <v>5</v>
      </c>
      <c r="S12" s="2">
        <f>COUNTIFS($E:$E,$Q12,$F:$F,S$4)</f>
        <v>0</v>
      </c>
      <c r="T12" s="2">
        <f>COUNTIFS($E:$E,$Q12,$F:$F,T$4)</f>
        <v>5</v>
      </c>
      <c r="U12" s="2">
        <f t="shared" si="0"/>
        <v>5</v>
      </c>
      <c r="W12">
        <f t="shared" si="1"/>
        <v>0</v>
      </c>
      <c r="X12">
        <f t="shared" si="1"/>
        <v>1</v>
      </c>
    </row>
    <row r="13" spans="1:24" x14ac:dyDescent="0.2">
      <c r="A13">
        <v>12</v>
      </c>
      <c r="B13" t="s">
        <v>256</v>
      </c>
      <c r="C13" t="s">
        <v>168</v>
      </c>
      <c r="D13" t="s">
        <v>149</v>
      </c>
      <c r="E13" s="4" t="s">
        <v>194</v>
      </c>
      <c r="F13" t="s">
        <v>188</v>
      </c>
      <c r="G13" s="1">
        <v>43493</v>
      </c>
      <c r="H13" t="s">
        <v>240</v>
      </c>
      <c r="R13">
        <f>SUM(R5:R12)</f>
        <v>50</v>
      </c>
      <c r="S13">
        <f t="shared" ref="S13:U13" si="2">SUM(S5:S12)</f>
        <v>25</v>
      </c>
      <c r="T13">
        <f t="shared" si="2"/>
        <v>25</v>
      </c>
      <c r="U13">
        <f t="shared" si="2"/>
        <v>50</v>
      </c>
      <c r="W13">
        <f t="shared" ref="W13:X13" si="3">SUM(W5:W12)</f>
        <v>5</v>
      </c>
      <c r="X13">
        <f t="shared" si="3"/>
        <v>5</v>
      </c>
    </row>
    <row r="14" spans="1:24" x14ac:dyDescent="0.2">
      <c r="A14">
        <v>13</v>
      </c>
      <c r="B14" t="s">
        <v>257</v>
      </c>
      <c r="C14" t="s">
        <v>169</v>
      </c>
      <c r="D14" t="s">
        <v>149</v>
      </c>
      <c r="E14" s="4" t="s">
        <v>194</v>
      </c>
      <c r="F14" t="s">
        <v>188</v>
      </c>
      <c r="G14" s="1">
        <v>43236</v>
      </c>
      <c r="H14" t="s">
        <v>241</v>
      </c>
    </row>
    <row r="15" spans="1:24" x14ac:dyDescent="0.2">
      <c r="A15">
        <v>14</v>
      </c>
      <c r="B15" t="s">
        <v>258</v>
      </c>
      <c r="C15" t="s">
        <v>170</v>
      </c>
      <c r="D15" t="s">
        <v>149</v>
      </c>
      <c r="E15" s="4" t="s">
        <v>194</v>
      </c>
      <c r="F15" t="s">
        <v>188</v>
      </c>
      <c r="G15" s="1">
        <v>43246</v>
      </c>
      <c r="H15" t="s">
        <v>242</v>
      </c>
    </row>
    <row r="16" spans="1:24" x14ac:dyDescent="0.2">
      <c r="A16">
        <v>15</v>
      </c>
      <c r="B16" t="s">
        <v>260</v>
      </c>
      <c r="C16" t="s">
        <v>171</v>
      </c>
      <c r="D16" t="s">
        <v>149</v>
      </c>
      <c r="E16" s="4" t="s">
        <v>194</v>
      </c>
      <c r="F16" t="s">
        <v>187</v>
      </c>
      <c r="G16" s="1">
        <v>43101</v>
      </c>
      <c r="H16" t="s">
        <v>239</v>
      </c>
    </row>
    <row r="17" spans="1:8" x14ac:dyDescent="0.2">
      <c r="A17">
        <v>16</v>
      </c>
      <c r="B17" t="s">
        <v>261</v>
      </c>
      <c r="C17" t="s">
        <v>172</v>
      </c>
      <c r="D17" t="s">
        <v>149</v>
      </c>
      <c r="E17" s="4" t="s">
        <v>194</v>
      </c>
      <c r="F17" t="s">
        <v>187</v>
      </c>
      <c r="G17" s="1">
        <v>43321</v>
      </c>
      <c r="H17" t="s">
        <v>240</v>
      </c>
    </row>
    <row r="18" spans="1:8" x14ac:dyDescent="0.2">
      <c r="A18">
        <v>17</v>
      </c>
      <c r="B18" t="s">
        <v>276</v>
      </c>
      <c r="C18" t="s">
        <v>211</v>
      </c>
      <c r="D18" t="s">
        <v>186</v>
      </c>
      <c r="E18" s="5" t="s">
        <v>190</v>
      </c>
      <c r="F18" t="s">
        <v>188</v>
      </c>
      <c r="G18" s="1">
        <v>43374</v>
      </c>
      <c r="H18" t="s">
        <v>240</v>
      </c>
    </row>
    <row r="19" spans="1:8" x14ac:dyDescent="0.2">
      <c r="A19">
        <v>18</v>
      </c>
      <c r="B19" t="s">
        <v>262</v>
      </c>
      <c r="C19" t="s">
        <v>173</v>
      </c>
      <c r="D19" t="s">
        <v>149</v>
      </c>
      <c r="E19" s="4" t="s">
        <v>194</v>
      </c>
      <c r="F19" t="s">
        <v>187</v>
      </c>
      <c r="G19" s="1">
        <v>43236</v>
      </c>
      <c r="H19" t="s">
        <v>241</v>
      </c>
    </row>
    <row r="20" spans="1:8" x14ac:dyDescent="0.2">
      <c r="A20">
        <v>19</v>
      </c>
      <c r="B20" t="s">
        <v>252</v>
      </c>
      <c r="C20" t="s">
        <v>174</v>
      </c>
      <c r="D20" t="s">
        <v>175</v>
      </c>
      <c r="E20" s="4" t="s">
        <v>193</v>
      </c>
      <c r="F20" t="s">
        <v>188</v>
      </c>
      <c r="G20" s="1">
        <v>43950</v>
      </c>
      <c r="H20" t="s">
        <v>241</v>
      </c>
    </row>
    <row r="21" spans="1:8" x14ac:dyDescent="0.2">
      <c r="A21">
        <v>20</v>
      </c>
      <c r="B21" t="s">
        <v>263</v>
      </c>
      <c r="C21" t="s">
        <v>212</v>
      </c>
      <c r="D21" t="s">
        <v>149</v>
      </c>
      <c r="E21" s="5" t="s">
        <v>194</v>
      </c>
      <c r="F21" t="s">
        <v>187</v>
      </c>
      <c r="G21" s="1">
        <v>43236</v>
      </c>
      <c r="H21" t="s">
        <v>242</v>
      </c>
    </row>
    <row r="22" spans="1:8" x14ac:dyDescent="0.2">
      <c r="A22">
        <v>21</v>
      </c>
      <c r="B22" t="s">
        <v>253</v>
      </c>
      <c r="C22" t="s">
        <v>176</v>
      </c>
      <c r="D22" t="s">
        <v>175</v>
      </c>
      <c r="E22" s="4" t="s">
        <v>193</v>
      </c>
      <c r="F22" t="s">
        <v>188</v>
      </c>
      <c r="G22" s="1">
        <v>43950</v>
      </c>
      <c r="H22" t="s">
        <v>242</v>
      </c>
    </row>
    <row r="23" spans="1:8" x14ac:dyDescent="0.2">
      <c r="A23">
        <v>22</v>
      </c>
      <c r="B23" t="s">
        <v>290</v>
      </c>
      <c r="C23" t="s">
        <v>232</v>
      </c>
      <c r="E23" s="4" t="s">
        <v>195</v>
      </c>
      <c r="F23" t="s">
        <v>188</v>
      </c>
      <c r="G23" s="1">
        <v>43503</v>
      </c>
      <c r="H23" t="s">
        <v>239</v>
      </c>
    </row>
    <row r="24" spans="1:8" x14ac:dyDescent="0.2">
      <c r="A24">
        <v>23</v>
      </c>
      <c r="B24" t="s">
        <v>285</v>
      </c>
      <c r="C24" t="s">
        <v>177</v>
      </c>
      <c r="D24" t="s">
        <v>178</v>
      </c>
      <c r="E24" s="4" t="s">
        <v>196</v>
      </c>
      <c r="F24" t="s">
        <v>188</v>
      </c>
      <c r="G24" s="1">
        <v>43466</v>
      </c>
      <c r="H24" t="s">
        <v>239</v>
      </c>
    </row>
    <row r="25" spans="1:8" x14ac:dyDescent="0.2">
      <c r="A25">
        <v>24</v>
      </c>
      <c r="B25" t="s">
        <v>286</v>
      </c>
      <c r="C25" t="s">
        <v>179</v>
      </c>
      <c r="D25" t="s">
        <v>178</v>
      </c>
      <c r="E25" s="4" t="s">
        <v>196</v>
      </c>
      <c r="F25" t="s">
        <v>188</v>
      </c>
      <c r="G25" s="1">
        <v>43101</v>
      </c>
      <c r="H25" t="s">
        <v>240</v>
      </c>
    </row>
    <row r="26" spans="1:8" x14ac:dyDescent="0.2">
      <c r="A26">
        <v>25</v>
      </c>
      <c r="B26" t="s">
        <v>248</v>
      </c>
      <c r="C26" t="s">
        <v>180</v>
      </c>
      <c r="D26" t="s">
        <v>181</v>
      </c>
      <c r="E26" s="4" t="s">
        <v>191</v>
      </c>
      <c r="F26" t="s">
        <v>187</v>
      </c>
      <c r="G26" s="1">
        <v>43834</v>
      </c>
      <c r="H26" t="s">
        <v>242</v>
      </c>
    </row>
    <row r="27" spans="1:8" x14ac:dyDescent="0.2">
      <c r="A27">
        <v>26</v>
      </c>
      <c r="B27" t="s">
        <v>265</v>
      </c>
      <c r="C27" t="s">
        <v>182</v>
      </c>
      <c r="D27" t="s">
        <v>183</v>
      </c>
      <c r="E27" s="4" t="s">
        <v>197</v>
      </c>
      <c r="F27" t="s">
        <v>187</v>
      </c>
      <c r="G27" s="1">
        <v>43472</v>
      </c>
      <c r="H27" t="s">
        <v>239</v>
      </c>
    </row>
    <row r="28" spans="1:8" x14ac:dyDescent="0.2">
      <c r="A28">
        <v>27</v>
      </c>
      <c r="B28" t="s">
        <v>249</v>
      </c>
      <c r="C28" t="s">
        <v>184</v>
      </c>
      <c r="D28" t="s">
        <v>181</v>
      </c>
      <c r="E28" s="4" t="s">
        <v>191</v>
      </c>
      <c r="F28" t="s">
        <v>187</v>
      </c>
      <c r="G28" s="1">
        <v>43987</v>
      </c>
      <c r="H28" t="s">
        <v>243</v>
      </c>
    </row>
    <row r="29" spans="1:8" x14ac:dyDescent="0.2">
      <c r="A29">
        <v>28</v>
      </c>
      <c r="B29" t="s">
        <v>254</v>
      </c>
      <c r="C29" t="s">
        <v>185</v>
      </c>
      <c r="D29" t="s">
        <v>175</v>
      </c>
      <c r="E29" s="4" t="s">
        <v>193</v>
      </c>
      <c r="F29" t="s">
        <v>188</v>
      </c>
      <c r="G29" s="1">
        <v>43843</v>
      </c>
      <c r="H29" t="s">
        <v>243</v>
      </c>
    </row>
    <row r="30" spans="1:8" x14ac:dyDescent="0.2">
      <c r="A30">
        <v>29</v>
      </c>
      <c r="B30" t="s">
        <v>264</v>
      </c>
      <c r="C30" t="s">
        <v>213</v>
      </c>
      <c r="D30" t="s">
        <v>149</v>
      </c>
      <c r="E30" s="5" t="s">
        <v>194</v>
      </c>
      <c r="F30" t="s">
        <v>187</v>
      </c>
      <c r="G30" s="6">
        <v>43493</v>
      </c>
      <c r="H30" t="s">
        <v>243</v>
      </c>
    </row>
    <row r="31" spans="1:8" x14ac:dyDescent="0.2">
      <c r="A31">
        <v>30</v>
      </c>
      <c r="B31" t="s">
        <v>259</v>
      </c>
      <c r="C31" t="s">
        <v>214</v>
      </c>
      <c r="D31" t="s">
        <v>149</v>
      </c>
      <c r="E31" s="5" t="s">
        <v>194</v>
      </c>
      <c r="F31" t="s">
        <v>188</v>
      </c>
      <c r="G31" s="6">
        <v>43236</v>
      </c>
      <c r="H31" t="s">
        <v>243</v>
      </c>
    </row>
    <row r="32" spans="1:8" x14ac:dyDescent="0.2">
      <c r="A32">
        <v>31</v>
      </c>
      <c r="B32" t="s">
        <v>266</v>
      </c>
      <c r="C32" t="s">
        <v>215</v>
      </c>
      <c r="D32" t="s">
        <v>183</v>
      </c>
      <c r="E32" s="5" t="s">
        <v>197</v>
      </c>
      <c r="F32" t="s">
        <v>187</v>
      </c>
      <c r="G32" s="6">
        <v>43612</v>
      </c>
      <c r="H32" t="s">
        <v>240</v>
      </c>
    </row>
    <row r="33" spans="1:8" x14ac:dyDescent="0.2">
      <c r="A33">
        <v>32</v>
      </c>
      <c r="B33" t="s">
        <v>267</v>
      </c>
      <c r="C33" t="s">
        <v>216</v>
      </c>
      <c r="D33" t="s">
        <v>183</v>
      </c>
      <c r="E33" s="5" t="s">
        <v>197</v>
      </c>
      <c r="F33" t="s">
        <v>187</v>
      </c>
      <c r="G33" s="6">
        <v>44111</v>
      </c>
      <c r="H33" t="s">
        <v>241</v>
      </c>
    </row>
    <row r="34" spans="1:8" x14ac:dyDescent="0.2">
      <c r="A34">
        <v>33</v>
      </c>
      <c r="B34" t="s">
        <v>268</v>
      </c>
      <c r="C34" t="s">
        <v>217</v>
      </c>
      <c r="D34" t="s">
        <v>183</v>
      </c>
      <c r="E34" s="5" t="s">
        <v>197</v>
      </c>
      <c r="F34" t="s">
        <v>187</v>
      </c>
      <c r="G34" s="6">
        <v>43928</v>
      </c>
      <c r="H34" t="s">
        <v>242</v>
      </c>
    </row>
    <row r="35" spans="1:8" x14ac:dyDescent="0.2">
      <c r="A35">
        <v>34</v>
      </c>
      <c r="B35" t="s">
        <v>269</v>
      </c>
      <c r="C35" t="s">
        <v>218</v>
      </c>
      <c r="D35" t="s">
        <v>183</v>
      </c>
      <c r="E35" s="5" t="s">
        <v>197</v>
      </c>
      <c r="F35" t="s">
        <v>187</v>
      </c>
      <c r="G35" s="6">
        <v>43989</v>
      </c>
      <c r="H35" t="s">
        <v>243</v>
      </c>
    </row>
    <row r="36" spans="1:8" x14ac:dyDescent="0.2">
      <c r="A36">
        <v>35</v>
      </c>
      <c r="B36" t="s">
        <v>277</v>
      </c>
      <c r="C36" t="s">
        <v>219</v>
      </c>
      <c r="D36" t="s">
        <v>186</v>
      </c>
      <c r="E36" s="5" t="s">
        <v>190</v>
      </c>
      <c r="F36" t="s">
        <v>188</v>
      </c>
      <c r="G36" s="1">
        <v>43374</v>
      </c>
      <c r="H36" t="s">
        <v>241</v>
      </c>
    </row>
    <row r="37" spans="1:8" x14ac:dyDescent="0.2">
      <c r="A37">
        <v>36</v>
      </c>
      <c r="B37" t="s">
        <v>283</v>
      </c>
      <c r="C37" t="s">
        <v>220</v>
      </c>
      <c r="D37" t="s">
        <v>186</v>
      </c>
      <c r="E37" s="5" t="s">
        <v>190</v>
      </c>
      <c r="F37" t="s">
        <v>187</v>
      </c>
      <c r="G37" s="1">
        <v>43374</v>
      </c>
      <c r="H37" t="s">
        <v>242</v>
      </c>
    </row>
    <row r="38" spans="1:8" x14ac:dyDescent="0.2">
      <c r="A38">
        <v>37</v>
      </c>
      <c r="B38" t="s">
        <v>278</v>
      </c>
      <c r="C38" t="s">
        <v>221</v>
      </c>
      <c r="D38" t="s">
        <v>186</v>
      </c>
      <c r="E38" s="5" t="s">
        <v>190</v>
      </c>
      <c r="F38" t="s">
        <v>188</v>
      </c>
      <c r="G38" s="1">
        <v>43374</v>
      </c>
      <c r="H38" t="s">
        <v>242</v>
      </c>
    </row>
    <row r="39" spans="1:8" x14ac:dyDescent="0.2">
      <c r="A39">
        <v>38</v>
      </c>
      <c r="B39" t="s">
        <v>279</v>
      </c>
      <c r="C39" t="s">
        <v>222</v>
      </c>
      <c r="D39" t="s">
        <v>186</v>
      </c>
      <c r="E39" s="5" t="s">
        <v>190</v>
      </c>
      <c r="F39" t="s">
        <v>188</v>
      </c>
      <c r="G39" s="1">
        <v>43374</v>
      </c>
      <c r="H39" t="s">
        <v>243</v>
      </c>
    </row>
    <row r="40" spans="1:8" x14ac:dyDescent="0.2">
      <c r="A40">
        <v>39</v>
      </c>
      <c r="B40" t="s">
        <v>284</v>
      </c>
      <c r="C40" t="s">
        <v>223</v>
      </c>
      <c r="D40" t="s">
        <v>186</v>
      </c>
      <c r="E40" s="5" t="s">
        <v>190</v>
      </c>
      <c r="F40" t="s">
        <v>187</v>
      </c>
      <c r="G40" s="1">
        <v>43374</v>
      </c>
      <c r="H40" t="s">
        <v>243</v>
      </c>
    </row>
    <row r="41" spans="1:8" x14ac:dyDescent="0.2">
      <c r="A41">
        <v>40</v>
      </c>
      <c r="B41" t="s">
        <v>287</v>
      </c>
      <c r="C41" t="s">
        <v>226</v>
      </c>
      <c r="D41" t="s">
        <v>178</v>
      </c>
      <c r="E41" s="5" t="s">
        <v>196</v>
      </c>
      <c r="F41" t="s">
        <v>188</v>
      </c>
      <c r="G41" s="6">
        <v>43101</v>
      </c>
      <c r="H41" t="s">
        <v>241</v>
      </c>
    </row>
    <row r="42" spans="1:8" x14ac:dyDescent="0.2">
      <c r="A42">
        <v>41</v>
      </c>
      <c r="B42" t="s">
        <v>288</v>
      </c>
      <c r="C42" t="s">
        <v>224</v>
      </c>
      <c r="D42" t="s">
        <v>178</v>
      </c>
      <c r="E42" s="5" t="s">
        <v>196</v>
      </c>
      <c r="F42" t="s">
        <v>188</v>
      </c>
      <c r="G42" s="6">
        <v>43101</v>
      </c>
      <c r="H42" t="s">
        <v>242</v>
      </c>
    </row>
    <row r="43" spans="1:8" x14ac:dyDescent="0.2">
      <c r="A43">
        <v>42</v>
      </c>
      <c r="B43" t="s">
        <v>289</v>
      </c>
      <c r="C43" t="s">
        <v>225</v>
      </c>
      <c r="D43" t="s">
        <v>178</v>
      </c>
      <c r="E43" s="5" t="s">
        <v>196</v>
      </c>
      <c r="F43" t="s">
        <v>188</v>
      </c>
      <c r="G43" s="6">
        <v>43101</v>
      </c>
      <c r="H43" t="s">
        <v>243</v>
      </c>
    </row>
    <row r="44" spans="1:8" x14ac:dyDescent="0.2">
      <c r="A44">
        <v>43</v>
      </c>
      <c r="B44" t="s">
        <v>291</v>
      </c>
      <c r="C44" t="s">
        <v>233</v>
      </c>
      <c r="E44" s="5" t="s">
        <v>195</v>
      </c>
      <c r="F44" t="s">
        <v>188</v>
      </c>
      <c r="G44" s="6">
        <v>43137</v>
      </c>
      <c r="H44" t="s">
        <v>240</v>
      </c>
    </row>
    <row r="45" spans="1:8" x14ac:dyDescent="0.2">
      <c r="A45">
        <v>44</v>
      </c>
      <c r="B45" t="s">
        <v>292</v>
      </c>
      <c r="C45" t="s">
        <v>234</v>
      </c>
      <c r="E45" s="5" t="s">
        <v>195</v>
      </c>
      <c r="F45" t="s">
        <v>188</v>
      </c>
      <c r="G45" s="6">
        <v>43692</v>
      </c>
      <c r="H45" t="s">
        <v>241</v>
      </c>
    </row>
    <row r="46" spans="1:8" x14ac:dyDescent="0.2">
      <c r="A46">
        <v>45</v>
      </c>
      <c r="B46" t="s">
        <v>293</v>
      </c>
      <c r="C46" t="s">
        <v>235</v>
      </c>
      <c r="E46" s="5" t="s">
        <v>195</v>
      </c>
      <c r="F46" t="s">
        <v>188</v>
      </c>
      <c r="G46" s="6">
        <v>43539</v>
      </c>
      <c r="H46" t="s">
        <v>242</v>
      </c>
    </row>
    <row r="47" spans="1:8" x14ac:dyDescent="0.2">
      <c r="A47">
        <v>46</v>
      </c>
      <c r="B47" t="s">
        <v>294</v>
      </c>
      <c r="C47" t="s">
        <v>236</v>
      </c>
      <c r="E47" s="5" t="s">
        <v>195</v>
      </c>
      <c r="F47" t="s">
        <v>188</v>
      </c>
      <c r="G47" s="6">
        <v>43699</v>
      </c>
      <c r="H47" t="s">
        <v>243</v>
      </c>
    </row>
    <row r="48" spans="1:8" x14ac:dyDescent="0.2">
      <c r="A48">
        <v>47</v>
      </c>
      <c r="B48" t="s">
        <v>271</v>
      </c>
      <c r="C48" t="s">
        <v>227</v>
      </c>
      <c r="D48" t="s">
        <v>148</v>
      </c>
      <c r="E48" s="5" t="s">
        <v>192</v>
      </c>
      <c r="F48" t="s">
        <v>187</v>
      </c>
      <c r="G48" s="6">
        <v>42691</v>
      </c>
      <c r="H48" t="s">
        <v>240</v>
      </c>
    </row>
    <row r="49" spans="1:8" x14ac:dyDescent="0.2">
      <c r="A49">
        <v>48</v>
      </c>
      <c r="B49" t="s">
        <v>272</v>
      </c>
      <c r="C49" t="s">
        <v>228</v>
      </c>
      <c r="D49" t="s">
        <v>148</v>
      </c>
      <c r="E49" s="5" t="s">
        <v>192</v>
      </c>
      <c r="F49" t="s">
        <v>187</v>
      </c>
      <c r="G49" s="6">
        <v>42590</v>
      </c>
      <c r="H49" t="s">
        <v>241</v>
      </c>
    </row>
    <row r="50" spans="1:8" x14ac:dyDescent="0.2">
      <c r="A50">
        <v>49</v>
      </c>
      <c r="B50" t="s">
        <v>273</v>
      </c>
      <c r="C50" t="s">
        <v>230</v>
      </c>
      <c r="D50" t="s">
        <v>148</v>
      </c>
      <c r="E50" s="5" t="s">
        <v>192</v>
      </c>
      <c r="F50" t="s">
        <v>187</v>
      </c>
      <c r="G50" s="6">
        <v>42691</v>
      </c>
      <c r="H50" t="s">
        <v>242</v>
      </c>
    </row>
    <row r="51" spans="1:8" x14ac:dyDescent="0.2">
      <c r="A51">
        <v>50</v>
      </c>
      <c r="B51" t="s">
        <v>274</v>
      </c>
      <c r="C51" t="s">
        <v>229</v>
      </c>
      <c r="D51" t="s">
        <v>148</v>
      </c>
      <c r="E51" s="5" t="s">
        <v>192</v>
      </c>
      <c r="F51" t="s">
        <v>187</v>
      </c>
      <c r="G51" s="6">
        <v>42682</v>
      </c>
      <c r="H51" t="s">
        <v>243</v>
      </c>
    </row>
  </sheetData>
  <autoFilter ref="A1:H51" xr:uid="{00000000-0009-0000-0000-000000000000}"/>
  <sortState xmlns:xlrd2="http://schemas.microsoft.com/office/spreadsheetml/2017/richdata2" ref="A2:H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B430-7235-024D-B8AF-33BF2E72B1F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D02D-8EAC-3647-BC4C-065C4DFFCF6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E350-E198-2248-AC67-CB1158DEC036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8AA2-5E1B-1D4C-BCB8-65320B91D61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EZ19"/>
  <sheetViews>
    <sheetView topLeftCell="B1" workbookViewId="0">
      <selection activeCell="F7" sqref="F7"/>
    </sheetView>
  </sheetViews>
  <sheetFormatPr baseColWidth="10" defaultRowHeight="15" x14ac:dyDescent="0.2"/>
  <cols>
    <col min="1" max="1" width="10.5" customWidth="1"/>
    <col min="6" max="6" width="12.5" bestFit="1" customWidth="1"/>
  </cols>
  <sheetData>
    <row r="1" spans="1:156" x14ac:dyDescent="0.2">
      <c r="A1" t="s">
        <v>0</v>
      </c>
      <c r="B1" t="s">
        <v>1</v>
      </c>
      <c r="C1" t="s">
        <v>2</v>
      </c>
      <c r="D1" t="s">
        <v>3</v>
      </c>
      <c r="E1" t="s">
        <v>150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316</v>
      </c>
      <c r="CR1" t="s">
        <v>317</v>
      </c>
      <c r="CS1" t="s">
        <v>318</v>
      </c>
      <c r="CT1" t="s">
        <v>319</v>
      </c>
      <c r="CU1" t="s">
        <v>320</v>
      </c>
      <c r="CV1" t="s">
        <v>321</v>
      </c>
      <c r="CW1" t="s">
        <v>322</v>
      </c>
      <c r="CX1" t="s">
        <v>323</v>
      </c>
      <c r="CY1" t="s">
        <v>324</v>
      </c>
      <c r="CZ1" t="s">
        <v>325</v>
      </c>
      <c r="DA1" t="s">
        <v>326</v>
      </c>
      <c r="DB1" t="s">
        <v>327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</row>
    <row r="2" spans="1:156" x14ac:dyDescent="0.2">
      <c r="E2" t="s">
        <v>143</v>
      </c>
      <c r="F2" s="3">
        <f>COUNTIF(Evalucion!F:F,$E2)/F$7</f>
        <v>1</v>
      </c>
      <c r="G2" s="3">
        <f>COUNTIF(Evalucion!G:G,$E2)/G$7</f>
        <v>0</v>
      </c>
      <c r="H2" s="3">
        <f>COUNTIF(Evalucion!H:H,$E2)/H$7</f>
        <v>0.8</v>
      </c>
      <c r="I2" s="3">
        <f>COUNTIF(Evalucion!I:I,$E2)/I$7</f>
        <v>0</v>
      </c>
      <c r="J2" s="3">
        <f>COUNTIF(Evalucion!J:J,$E2)/J$7</f>
        <v>0.46</v>
      </c>
      <c r="K2" s="3">
        <f>COUNTIF(Evalucion!K:K,$E2)/K$7</f>
        <v>0</v>
      </c>
      <c r="L2" s="3">
        <f>COUNTIF(Evalucion!L:L,$E2)/L$7</f>
        <v>0.8</v>
      </c>
      <c r="M2" s="3">
        <f>COUNTIF(Evalucion!M:M,$E2)/M$7</f>
        <v>0</v>
      </c>
      <c r="N2" s="3">
        <f>COUNTIF(Evalucion!N:N,$E2)/N$7</f>
        <v>1</v>
      </c>
      <c r="O2" s="3">
        <f>COUNTIF(Evalucion!O:O,$E2)/O$7</f>
        <v>0</v>
      </c>
      <c r="P2" s="3">
        <f>COUNTIF(Evalucion!P:P,$E2)/P$7</f>
        <v>0.8</v>
      </c>
      <c r="Q2" s="3">
        <f>COUNTIF(Evalucion!Q:Q,$E2)/Q$7</f>
        <v>0</v>
      </c>
      <c r="R2" s="3">
        <f>COUNTIF(Evalucion!R:R,$E2)/R$7</f>
        <v>1</v>
      </c>
      <c r="S2" s="3">
        <f>COUNTIF(Evalucion!S:S,$E2)/S$7</f>
        <v>0</v>
      </c>
      <c r="T2" s="3">
        <f>COUNTIF(Evalucion!T:T,$E2)/T$7</f>
        <v>0.64</v>
      </c>
      <c r="U2" s="3">
        <f>COUNTIF(Evalucion!U:U,$E2)/U$7</f>
        <v>0</v>
      </c>
      <c r="V2" s="3">
        <f>COUNTIF(Evalucion!V:V,$E2)/V$7</f>
        <v>0.66</v>
      </c>
      <c r="W2" s="3">
        <f>COUNTIF(Evalucion!W:W,$E2)/W$7</f>
        <v>0</v>
      </c>
      <c r="X2" s="3">
        <f>COUNTIF(Evalucion!X:X,$E2)/X$7</f>
        <v>0.64</v>
      </c>
      <c r="Y2" s="3">
        <f>COUNTIF(Evalucion!Y:Y,$E2)/Y$7</f>
        <v>0</v>
      </c>
      <c r="Z2" s="3">
        <f>COUNTIF(Evalucion!Z:Z,$E2)/Z$7</f>
        <v>0.66</v>
      </c>
      <c r="AA2" s="3">
        <f>COUNTIF(Evalucion!AA:AA,$E2)/AA$7</f>
        <v>0</v>
      </c>
      <c r="AB2" s="3">
        <f>COUNTIF(Evalucion!AB:AB,$E2)/AB$7</f>
        <v>0.64</v>
      </c>
      <c r="AC2" s="3">
        <f>COUNTIF(Evalucion!AC:AC,$E2)/AC$7</f>
        <v>0</v>
      </c>
      <c r="AD2" s="3">
        <f>COUNTIF(Evalucion!AD:AD,$E2)/AD$7</f>
        <v>0.84</v>
      </c>
      <c r="AE2" s="3">
        <f>COUNTIF(Evalucion!AE:AE,$E2)/AE$7</f>
        <v>0</v>
      </c>
      <c r="AF2" s="3">
        <f>COUNTIF(Evalucion!AF:AF,$E2)/AF$7</f>
        <v>1</v>
      </c>
      <c r="AG2" s="3">
        <f>COUNTIF(Evalucion!AG:AG,$E2)/AG$7</f>
        <v>0</v>
      </c>
      <c r="AH2" s="3" t="e">
        <f>COUNTIF(Evalucion!AH:AH,$E2)/AH$7</f>
        <v>#DIV/0!</v>
      </c>
      <c r="AI2" s="3" t="e">
        <f>COUNTIF(Evalucion!AI:AI,$E2)/AI$7</f>
        <v>#DIV/0!</v>
      </c>
      <c r="AJ2" s="3" t="e">
        <f>COUNTIF(Evalucion!AJ:AJ,$E2)/AJ$7</f>
        <v>#DIV/0!</v>
      </c>
      <c r="AK2" s="3" t="e">
        <f>COUNTIF(Evalucion!AK:AK,$E2)/AK$7</f>
        <v>#DIV/0!</v>
      </c>
      <c r="AL2" s="3" t="e">
        <f>COUNTIF(Evalucion!AL:AL,$E2)/AL$7</f>
        <v>#DIV/0!</v>
      </c>
      <c r="AM2" s="3" t="e">
        <f>COUNTIF(Evalucion!AM:AM,$E2)/AM$7</f>
        <v>#DIV/0!</v>
      </c>
      <c r="AN2" s="3" t="e">
        <f>COUNTIF(Evalucion!AN:AN,$E2)/AN$7</f>
        <v>#DIV/0!</v>
      </c>
      <c r="AO2" s="3" t="e">
        <f>COUNTIF(Evalucion!AO:AO,$E2)/AO$7</f>
        <v>#DIV/0!</v>
      </c>
      <c r="AP2" s="3">
        <f>COUNTIF(Evalucion!AP:AP,$E2)/AP$7</f>
        <v>1</v>
      </c>
      <c r="AQ2" s="3">
        <f>COUNTIF(Evalucion!AQ:AQ,$E2)/AQ$7</f>
        <v>0</v>
      </c>
      <c r="AR2" s="3">
        <f>COUNTIF(Evalucion!AR:AR,$E2)/AR$7</f>
        <v>0.1</v>
      </c>
      <c r="AS2" s="3">
        <f>COUNTIF(Evalucion!AS:AS,$E2)/AS$7</f>
        <v>0</v>
      </c>
      <c r="AT2" s="3">
        <f>COUNTIF(Evalucion!AT:AT,$E2)/AT$7</f>
        <v>0.76</v>
      </c>
      <c r="AU2" s="3">
        <f>COUNTIF(Evalucion!AU:AU,$E2)/AU$7</f>
        <v>0</v>
      </c>
      <c r="AV2" s="3" t="e">
        <f>COUNTIF(Evalucion!AV:AV,$E2)/AV$7</f>
        <v>#DIV/0!</v>
      </c>
      <c r="AW2" s="3">
        <f>COUNTIF(Evalucion!AW:AW,$E2)/AW$7</f>
        <v>0.56000000000000005</v>
      </c>
      <c r="AX2" s="3">
        <f>COUNTIF(Evalucion!AX:AX,$E2)/AX$7</f>
        <v>0</v>
      </c>
      <c r="AY2" s="3">
        <f>COUNTIF(Evalucion!AY:AY,$E2)/AY$7</f>
        <v>1</v>
      </c>
      <c r="AZ2" s="3">
        <f>COUNTIF(Evalucion!AZ:AZ,$E2)/AZ$7</f>
        <v>0</v>
      </c>
      <c r="BA2" s="3">
        <f>COUNTIF(Evalucion!BA:BA,$E2)/BA$7</f>
        <v>1</v>
      </c>
      <c r="BB2" s="3">
        <f>COUNTIF(Evalucion!BB:BB,$E2)/BB$7</f>
        <v>0</v>
      </c>
      <c r="BC2" s="3">
        <f>COUNTIF(Evalucion!BC:BC,$E2)/BC$7</f>
        <v>0.7</v>
      </c>
      <c r="BD2" s="3">
        <f>COUNTIF(Evalucion!BD:BD,$E2)/BD$7</f>
        <v>0</v>
      </c>
      <c r="BE2" s="3">
        <f>COUNTIF(Evalucion!BE:BE,$E2)/BE$7</f>
        <v>0.7</v>
      </c>
      <c r="BF2" s="3">
        <f>COUNTIF(Evalucion!BF:BF,$E2)/BF$7</f>
        <v>0</v>
      </c>
      <c r="BG2" s="3">
        <f>COUNTIF(Evalucion!BG:BG,$E2)/BG$7</f>
        <v>1</v>
      </c>
      <c r="BH2" s="3">
        <f>COUNTIF(Evalucion!BH:BH,$E2)/BH$7</f>
        <v>0</v>
      </c>
      <c r="BI2" s="3">
        <f>COUNTIF(Evalucion!BI:BI,$E2)/BI$7</f>
        <v>0.8</v>
      </c>
      <c r="BJ2" s="3">
        <f>COUNTIF(Evalucion!BJ:BJ,$E2)/BJ$7</f>
        <v>0</v>
      </c>
      <c r="BK2" s="3">
        <f>COUNTIF(Evalucion!BK:BK,$E2)/BK$7</f>
        <v>0.68</v>
      </c>
      <c r="BL2" s="3">
        <f>COUNTIF(Evalucion!BL:BL,$E2)/BL$7</f>
        <v>0</v>
      </c>
      <c r="BM2" s="3">
        <f>COUNTIF(Evalucion!BM:BM,$E2)/BM$7</f>
        <v>0.6</v>
      </c>
      <c r="BN2" s="3">
        <f>COUNTIF(Evalucion!BN:BN,$E2)/BN$7</f>
        <v>0</v>
      </c>
      <c r="BO2" s="3">
        <f>COUNTIF(Evalucion!BO:BO,$E2)/BO$7</f>
        <v>1</v>
      </c>
      <c r="BP2" s="3">
        <f>COUNTIF(Evalucion!BP:BP,$E2)/BP$7</f>
        <v>0</v>
      </c>
      <c r="BQ2" s="3">
        <f>COUNTIF(Evalucion!BQ:BQ,$E2)/BQ$7</f>
        <v>0.6</v>
      </c>
      <c r="BR2" s="3">
        <f>COUNTIF(Evalucion!BR:BR,$E2)/BR$7</f>
        <v>0</v>
      </c>
      <c r="BS2" s="3">
        <f>COUNTIF(Evalucion!BS:BS,$E2)/BS$7</f>
        <v>0.56000000000000005</v>
      </c>
      <c r="BT2" s="3">
        <f>COUNTIF(Evalucion!BT:BT,$E2)/BT$7</f>
        <v>0</v>
      </c>
      <c r="BU2" s="3">
        <f>COUNTIF(Evalucion!BU:BU,$E2)/BU$7</f>
        <v>0.7</v>
      </c>
      <c r="BV2" s="3">
        <f>COUNTIF(Evalucion!BV:BV,$E2)/BV$7</f>
        <v>0</v>
      </c>
      <c r="BW2" s="3">
        <f>COUNTIF(Evalucion!BW:BW,$E2)/BW$7</f>
        <v>1</v>
      </c>
      <c r="BX2" s="3">
        <f>COUNTIF(Evalucion!BX:BX,$E2)/BX$7</f>
        <v>0</v>
      </c>
      <c r="BY2" s="3">
        <f>COUNTIF(Evalucion!BY:BY,$E2)/BY$7</f>
        <v>0.7</v>
      </c>
      <c r="BZ2" s="3">
        <f>COUNTIF(Evalucion!BZ:BZ,$E2)/BZ$7</f>
        <v>0</v>
      </c>
      <c r="CA2" s="3">
        <f>COUNTIF(Evalucion!CA:CA,$E2)/CA$7</f>
        <v>0.6</v>
      </c>
      <c r="CB2" s="3">
        <f>COUNTIF(Evalucion!CB:CB,$E2)/CB$7</f>
        <v>0</v>
      </c>
      <c r="CC2" s="3">
        <f>COUNTIF(Evalucion!CC:CC,$E2)/CC$7</f>
        <v>1</v>
      </c>
      <c r="CD2" s="3">
        <f>COUNTIF(Evalucion!CD:CD,$E2)/CD$7</f>
        <v>0</v>
      </c>
      <c r="CE2" s="3">
        <f>COUNTIF(Evalucion!CE:CE,$E2)/CE$7</f>
        <v>1</v>
      </c>
      <c r="CF2" s="3">
        <f>COUNTIF(Evalucion!CF:CF,$E2)/CF$7</f>
        <v>0</v>
      </c>
      <c r="CG2" s="3">
        <f>COUNTIF(Evalucion!CG:CG,$E2)/CG$7</f>
        <v>0.6</v>
      </c>
      <c r="CH2" s="3">
        <f>COUNTIF(Evalucion!CH:CH,$E2)/CH$7</f>
        <v>0</v>
      </c>
      <c r="CI2" s="3">
        <f>COUNTIF(Evalucion!CI:CI,$E2)/CI$7</f>
        <v>0.78</v>
      </c>
      <c r="CJ2" s="3">
        <f>COUNTIF(Evalucion!CJ:CJ,$E2)/CJ$7</f>
        <v>0</v>
      </c>
      <c r="CK2" s="3">
        <f>COUNTIF(Evalucion!CK:CK,$E2)/CK$7</f>
        <v>1</v>
      </c>
      <c r="CL2" s="3">
        <f>COUNTIF(Evalucion!CL:CL,$E2)/CL$7</f>
        <v>0</v>
      </c>
      <c r="CM2" s="3">
        <f>COUNTIF(Evalucion!CM:CM,$E2)/CM$7</f>
        <v>1</v>
      </c>
      <c r="CN2" s="3">
        <f>COUNTIF(Evalucion!CN:CN,$E2)/CN$7</f>
        <v>0</v>
      </c>
      <c r="CO2" s="3">
        <f>COUNTIF(Evalucion!CO:CO,$E2)/CO$7</f>
        <v>1</v>
      </c>
      <c r="CP2" s="3">
        <f>COUNTIF(Evalucion!CP:CP,$E2)/CP$7</f>
        <v>0</v>
      </c>
      <c r="CQ2" s="3">
        <f>COUNTIF(Evalucion!CQ:CQ,$E2)/CQ$7</f>
        <v>0.62</v>
      </c>
      <c r="CR2" s="3">
        <f>COUNTIF(Evalucion!CR:CR,$E2)/CR$7</f>
        <v>0</v>
      </c>
      <c r="CS2" s="3">
        <f>COUNTIF(Evalucion!CS:CS,$E2)/CS$7</f>
        <v>0.78</v>
      </c>
      <c r="CT2" s="3">
        <f>COUNTIF(Evalucion!CT:CT,$E2)/CT$7</f>
        <v>0</v>
      </c>
      <c r="CU2" s="3">
        <f>COUNTIF(Evalucion!CU:CU,$E2)/CU$7</f>
        <v>0.6</v>
      </c>
      <c r="CV2" s="3">
        <f>COUNTIF(Evalucion!CV:CV,$E2)/CV$7</f>
        <v>0</v>
      </c>
      <c r="CW2" s="3">
        <f>COUNTIF(Evalucion!CW:CW,$E2)/CW$7</f>
        <v>0.96</v>
      </c>
      <c r="CX2" s="3">
        <f>COUNTIF(Evalucion!CX:CX,$E2)/CX$7</f>
        <v>0</v>
      </c>
      <c r="CY2" s="3">
        <f>COUNTIF(Evalucion!CY:CY,$E2)/CY$7</f>
        <v>0.9</v>
      </c>
      <c r="CZ2" s="3">
        <f>COUNTIF(Evalucion!CZ:CZ,$E2)/CZ$7</f>
        <v>0</v>
      </c>
      <c r="DA2" s="3">
        <f>COUNTIF(Evalucion!DA:DA,$E2)/DA$7</f>
        <v>0.84</v>
      </c>
      <c r="DB2" s="3">
        <f>COUNTIF(Evalucion!DB:DB,$E2)/DB$7</f>
        <v>0</v>
      </c>
      <c r="DC2" s="3">
        <f>COUNTIF(Evalucion!DC:DC,$E2)/DC$7</f>
        <v>1</v>
      </c>
      <c r="DD2" s="3">
        <f>COUNTIF(Evalucion!DD:DD,$E2)/DD$7</f>
        <v>0</v>
      </c>
      <c r="DE2" s="3">
        <f>COUNTIF(Evalucion!DE:DE,$E2)/DE$7</f>
        <v>0.28000000000000003</v>
      </c>
      <c r="DF2" s="3">
        <f>COUNTIF(Evalucion!DF:DF,$E2)/DF$7</f>
        <v>0</v>
      </c>
      <c r="DG2" s="3">
        <f>COUNTIF(Evalucion!DG:DG,$E2)/DG$7</f>
        <v>0.98</v>
      </c>
      <c r="DH2" s="3">
        <f>COUNTIF(Evalucion!DH:DH,$E2)/DH$7</f>
        <v>0</v>
      </c>
      <c r="DI2" s="3">
        <f>COUNTIF(Evalucion!DI:DI,$E2)/DI$7</f>
        <v>0.3</v>
      </c>
      <c r="DJ2" s="3">
        <f>COUNTIF(Evalucion!DJ:DJ,$E2)/DJ$7</f>
        <v>0</v>
      </c>
      <c r="DK2" s="3">
        <f>COUNTIF(Evalucion!DK:DK,$E2)/DK$7</f>
        <v>0.28000000000000003</v>
      </c>
      <c r="DL2" s="3">
        <f>COUNTIF(Evalucion!DL:DL,$E2)/DL$7</f>
        <v>0</v>
      </c>
      <c r="DM2" s="3">
        <f>COUNTIF(Evalucion!DM:DM,$E2)/DM$7</f>
        <v>0.52</v>
      </c>
      <c r="DN2" s="3">
        <f>COUNTIF(Evalucion!DN:DN,$E2)/DN$7</f>
        <v>0</v>
      </c>
      <c r="DO2" s="3">
        <f>COUNTIF(Evalucion!DO:DO,$E2)/DO$7</f>
        <v>1</v>
      </c>
      <c r="DP2" s="3">
        <f>COUNTIF(Evalucion!DP:DP,$E2)/DP$7</f>
        <v>0</v>
      </c>
      <c r="DQ2" s="3">
        <f>COUNTIF(Evalucion!DQ:DQ,$E2)/DQ$7</f>
        <v>0.84</v>
      </c>
      <c r="DR2" s="3">
        <f>COUNTIF(Evalucion!DR:DR,$E2)/DR$7</f>
        <v>0</v>
      </c>
      <c r="DS2" s="3">
        <f>COUNTIF(Evalucion!DS:DS,$E2)/DS$7</f>
        <v>0.54</v>
      </c>
      <c r="DT2" s="3">
        <f>COUNTIF(Evalucion!DT:DT,$E2)/DT$7</f>
        <v>0</v>
      </c>
      <c r="DU2" s="3">
        <f>COUNTIF(Evalucion!DU:DU,$E2)/DU$7</f>
        <v>0.84</v>
      </c>
      <c r="DV2" s="3">
        <f>COUNTIF(Evalucion!DV:DV,$E2)/DV$7</f>
        <v>0</v>
      </c>
      <c r="DW2" s="3">
        <f>COUNTIF(Evalucion!DW:DW,$E2)/DW$7</f>
        <v>0.54</v>
      </c>
      <c r="DX2" s="3">
        <f>COUNTIF(Evalucion!DX:DX,$E2)/DX$7</f>
        <v>0</v>
      </c>
      <c r="DY2" s="3">
        <f>COUNTIF(Evalucion!DY:DY,$E2)/DY$7</f>
        <v>0.54</v>
      </c>
      <c r="DZ2" s="3">
        <f>COUNTIF(Evalucion!DZ:DZ,$E2)/DZ$7</f>
        <v>0</v>
      </c>
      <c r="EA2" s="3">
        <f>COUNTIF(Evalucion!EA:EA,$E2)/EA$7</f>
        <v>1</v>
      </c>
      <c r="EB2" s="3">
        <f>COUNTIF(Evalucion!EB:EB,$E2)/EB$7</f>
        <v>0</v>
      </c>
      <c r="EC2" s="3">
        <f>COUNTIF(Evalucion!EC:EC,$E2)/EC$7</f>
        <v>0.8</v>
      </c>
      <c r="ED2" s="3">
        <f>COUNTIF(Evalucion!ED:ED,$E2)/ED$7</f>
        <v>0</v>
      </c>
      <c r="EE2" s="3">
        <f>COUNTIF(Evalucion!EE:EE,$E2)/EE$7</f>
        <v>1</v>
      </c>
      <c r="EF2" s="3">
        <f>COUNTIF(Evalucion!EF:EF,$E2)/EF$7</f>
        <v>0</v>
      </c>
      <c r="EG2" s="3">
        <f>COUNTIF(Evalucion!EG:EG,$E2)/EG$7</f>
        <v>0.88</v>
      </c>
      <c r="EH2" s="3">
        <f>COUNTIF(Evalucion!EH:EH,$E2)/EH$7</f>
        <v>0</v>
      </c>
      <c r="EI2" s="3">
        <f>COUNTIF(Evalucion!EI:EI,$E2)/EI$7</f>
        <v>0.57999999999999996</v>
      </c>
      <c r="EJ2" s="3">
        <f>COUNTIF(Evalucion!EJ:EJ,$E2)/EJ$7</f>
        <v>0</v>
      </c>
      <c r="EK2" s="3">
        <f>COUNTIF(Evalucion!EK:EK,$E2)/EK$7</f>
        <v>0.68</v>
      </c>
      <c r="EL2" s="3">
        <f>COUNTIF(Evalucion!EL:EL,$E2)/EL$7</f>
        <v>0</v>
      </c>
      <c r="EM2" s="3">
        <f>COUNTIF(Evalucion!EM:EM,$E2)/EM$7</f>
        <v>0.88</v>
      </c>
      <c r="EN2" s="3">
        <f>COUNTIF(Evalucion!EN:EN,$E2)/EN$7</f>
        <v>0</v>
      </c>
      <c r="EO2" s="3">
        <f>COUNTIF(Evalucion!EO:EO,$E2)/EO$7</f>
        <v>0.48</v>
      </c>
      <c r="EP2" s="3">
        <f>COUNTIF(Evalucion!EP:EP,$E2)/EP$7</f>
        <v>0</v>
      </c>
      <c r="EQ2" s="3">
        <f>COUNTIF(Evalucion!EQ:EQ,$E2)/EQ$7</f>
        <v>0.48</v>
      </c>
      <c r="ER2" s="3">
        <f>COUNTIF(Evalucion!ER:ER,$E2)/ER$7</f>
        <v>0</v>
      </c>
      <c r="ES2" s="3">
        <f>COUNTIF(Evalucion!ES:ES,$E2)/ES$7</f>
        <v>1</v>
      </c>
      <c r="ET2" s="3">
        <f>COUNTIF(Evalucion!ET:ET,$E2)/ET$7</f>
        <v>0</v>
      </c>
      <c r="EU2" s="3">
        <f>COUNTIF(Evalucion!EU:EU,$E2)/EU$7</f>
        <v>0.98</v>
      </c>
      <c r="EV2" s="3">
        <f>COUNTIF(Evalucion!EV:EV,$E2)/EV$7</f>
        <v>0</v>
      </c>
      <c r="EW2" s="3">
        <f>COUNTIF(Evalucion!EW:EW,$E2)/EW$7</f>
        <v>1</v>
      </c>
      <c r="EX2" s="3">
        <f>COUNTIF(Evalucion!EX:EX,$E2)/EX$7</f>
        <v>0</v>
      </c>
      <c r="EY2" s="3">
        <f>COUNTIF(Evalucion!EY:EY,$E2)/EY$7</f>
        <v>1</v>
      </c>
      <c r="EZ2" s="3">
        <f>COUNTIF(Evalucion!EZ:EZ,$E2)/EZ$7</f>
        <v>0</v>
      </c>
    </row>
    <row r="3" spans="1:156" x14ac:dyDescent="0.2">
      <c r="E3" t="s">
        <v>146</v>
      </c>
      <c r="F3" s="3">
        <f>COUNTIF(Evalucion!F:F,$E3)/F$7</f>
        <v>0</v>
      </c>
      <c r="G3" s="3">
        <f>COUNTIF(Evalucion!G:G,$E3)/G$7</f>
        <v>0</v>
      </c>
      <c r="H3" s="3">
        <f>COUNTIF(Evalucion!H:H,$E3)/H$7</f>
        <v>0.2</v>
      </c>
      <c r="I3" s="3">
        <f>COUNTIF(Evalucion!I:I,$E3)/I$7</f>
        <v>0</v>
      </c>
      <c r="J3" s="3">
        <f>COUNTIF(Evalucion!J:J,$E3)/J$7</f>
        <v>0.54</v>
      </c>
      <c r="K3" s="3">
        <f>COUNTIF(Evalucion!K:K,$E3)/K$7</f>
        <v>0</v>
      </c>
      <c r="L3" s="3">
        <f>COUNTIF(Evalucion!L:L,$E3)/L$7</f>
        <v>0.2</v>
      </c>
      <c r="M3" s="3">
        <f>COUNTIF(Evalucion!M:M,$E3)/M$7</f>
        <v>0</v>
      </c>
      <c r="N3" s="3">
        <f>COUNTIF(Evalucion!N:N,$E3)/N$7</f>
        <v>0</v>
      </c>
      <c r="O3" s="3">
        <f>COUNTIF(Evalucion!O:O,$E3)/O$7</f>
        <v>0</v>
      </c>
      <c r="P3" s="3">
        <f>COUNTIF(Evalucion!P:P,$E3)/P$7</f>
        <v>0.2</v>
      </c>
      <c r="Q3" s="3">
        <f>COUNTIF(Evalucion!Q:Q,$E3)/Q$7</f>
        <v>0</v>
      </c>
      <c r="R3" s="3">
        <f>COUNTIF(Evalucion!R:R,$E3)/R$7</f>
        <v>0</v>
      </c>
      <c r="S3" s="3">
        <f>COUNTIF(Evalucion!S:S,$E3)/S$7</f>
        <v>0</v>
      </c>
      <c r="T3" s="3">
        <f>COUNTIF(Evalucion!T:T,$E3)/T$7</f>
        <v>0.36</v>
      </c>
      <c r="U3" s="3">
        <f>COUNTIF(Evalucion!U:U,$E3)/U$7</f>
        <v>0</v>
      </c>
      <c r="V3" s="3">
        <f>COUNTIF(Evalucion!V:V,$E3)/V$7</f>
        <v>0.34</v>
      </c>
      <c r="W3" s="3">
        <f>COUNTIF(Evalucion!W:W,$E3)/W$7</f>
        <v>0</v>
      </c>
      <c r="X3" s="3">
        <f>COUNTIF(Evalucion!X:X,$E3)/X$7</f>
        <v>0.36</v>
      </c>
      <c r="Y3" s="3">
        <f>COUNTIF(Evalucion!Y:Y,$E3)/Y$7</f>
        <v>0</v>
      </c>
      <c r="Z3" s="3">
        <f>COUNTIF(Evalucion!Z:Z,$E3)/Z$7</f>
        <v>0.34</v>
      </c>
      <c r="AA3" s="3">
        <f>COUNTIF(Evalucion!AA:AA,$E3)/AA$7</f>
        <v>0</v>
      </c>
      <c r="AB3" s="3">
        <f>COUNTIF(Evalucion!AB:AB,$E3)/AB$7</f>
        <v>0.36</v>
      </c>
      <c r="AC3" s="3">
        <f>COUNTIF(Evalucion!AC:AC,$E3)/AC$7</f>
        <v>0</v>
      </c>
      <c r="AD3" s="3">
        <f>COUNTIF(Evalucion!AD:AD,$E3)/AD$7</f>
        <v>0.16</v>
      </c>
      <c r="AE3" s="3">
        <f>COUNTIF(Evalucion!AE:AE,$E3)/AE$7</f>
        <v>0</v>
      </c>
      <c r="AF3" s="3">
        <f>COUNTIF(Evalucion!AF:AF,$E3)/AF$7</f>
        <v>0</v>
      </c>
      <c r="AG3" s="3">
        <f>COUNTIF(Evalucion!AG:AG,$E3)/AG$7</f>
        <v>0</v>
      </c>
      <c r="AH3" s="3" t="e">
        <f>COUNTIF(Evalucion!AH:AH,$E3)/AH$7</f>
        <v>#DIV/0!</v>
      </c>
      <c r="AI3" s="3" t="e">
        <f>COUNTIF(Evalucion!AI:AI,$E3)/AI$7</f>
        <v>#DIV/0!</v>
      </c>
      <c r="AJ3" s="3" t="e">
        <f>COUNTIF(Evalucion!AJ:AJ,$E3)/AJ$7</f>
        <v>#DIV/0!</v>
      </c>
      <c r="AK3" s="3" t="e">
        <f>COUNTIF(Evalucion!AK:AK,$E3)/AK$7</f>
        <v>#DIV/0!</v>
      </c>
      <c r="AL3" s="3" t="e">
        <f>COUNTIF(Evalucion!AL:AL,$E3)/AL$7</f>
        <v>#DIV/0!</v>
      </c>
      <c r="AM3" s="3" t="e">
        <f>COUNTIF(Evalucion!AM:AM,$E3)/AM$7</f>
        <v>#DIV/0!</v>
      </c>
      <c r="AN3" s="3" t="e">
        <f>COUNTIF(Evalucion!AN:AN,$E3)/AN$7</f>
        <v>#DIV/0!</v>
      </c>
      <c r="AO3" s="3" t="e">
        <f>COUNTIF(Evalucion!AO:AO,$E3)/AO$7</f>
        <v>#DIV/0!</v>
      </c>
      <c r="AP3" s="3">
        <f>COUNTIF(Evalucion!AP:AP,$E3)/AP$7</f>
        <v>0</v>
      </c>
      <c r="AQ3" s="3">
        <f>COUNTIF(Evalucion!AQ:AQ,$E3)/AQ$7</f>
        <v>0</v>
      </c>
      <c r="AR3" s="3">
        <f>COUNTIF(Evalucion!AR:AR,$E3)/AR$7</f>
        <v>0.9</v>
      </c>
      <c r="AS3" s="3">
        <f>COUNTIF(Evalucion!AS:AS,$E3)/AS$7</f>
        <v>0</v>
      </c>
      <c r="AT3" s="3">
        <f>COUNTIF(Evalucion!AT:AT,$E3)/AT$7</f>
        <v>0.24</v>
      </c>
      <c r="AU3" s="3">
        <f>COUNTIF(Evalucion!AU:AU,$E3)/AU$7</f>
        <v>0</v>
      </c>
      <c r="AV3" s="3" t="e">
        <f>COUNTIF(Evalucion!AV:AV,$E3)/AV$7</f>
        <v>#DIV/0!</v>
      </c>
      <c r="AW3" s="3">
        <f>COUNTIF(Evalucion!AW:AW,$E3)/AW$7</f>
        <v>0.44</v>
      </c>
      <c r="AX3" s="3">
        <f>COUNTIF(Evalucion!AX:AX,$E3)/AX$7</f>
        <v>0</v>
      </c>
      <c r="AY3" s="3">
        <f>COUNTIF(Evalucion!AY:AY,$E3)/AY$7</f>
        <v>0</v>
      </c>
      <c r="AZ3" s="3">
        <f>COUNTIF(Evalucion!AZ:AZ,$E3)/AZ$7</f>
        <v>0</v>
      </c>
      <c r="BA3" s="3">
        <f>COUNTIF(Evalucion!BA:BA,$E3)/BA$7</f>
        <v>0</v>
      </c>
      <c r="BB3" s="3">
        <f>COUNTIF(Evalucion!BB:BB,$E3)/BB$7</f>
        <v>0</v>
      </c>
      <c r="BC3" s="3">
        <f>COUNTIF(Evalucion!BC:BC,$E3)/BC$7</f>
        <v>0.3</v>
      </c>
      <c r="BD3" s="3">
        <f>COUNTIF(Evalucion!BD:BD,$E3)/BD$7</f>
        <v>0</v>
      </c>
      <c r="BE3" s="3">
        <f>COUNTIF(Evalucion!BE:BE,$E3)/BE$7</f>
        <v>0.3</v>
      </c>
      <c r="BF3" s="3">
        <f>COUNTIF(Evalucion!BF:BF,$E3)/BF$7</f>
        <v>0</v>
      </c>
      <c r="BG3" s="3">
        <f>COUNTIF(Evalucion!BG:BG,$E3)/BG$7</f>
        <v>0</v>
      </c>
      <c r="BH3" s="3">
        <f>COUNTIF(Evalucion!BH:BH,$E3)/BH$7</f>
        <v>0</v>
      </c>
      <c r="BI3" s="3">
        <f>COUNTIF(Evalucion!BI:BI,$E3)/BI$7</f>
        <v>0.2</v>
      </c>
      <c r="BJ3" s="3">
        <f>COUNTIF(Evalucion!BJ:BJ,$E3)/BJ$7</f>
        <v>0</v>
      </c>
      <c r="BK3" s="3">
        <f>COUNTIF(Evalucion!BK:BK,$E3)/BK$7</f>
        <v>0.32</v>
      </c>
      <c r="BL3" s="3">
        <f>COUNTIF(Evalucion!BL:BL,$E3)/BL$7</f>
        <v>0</v>
      </c>
      <c r="BM3" s="3">
        <f>COUNTIF(Evalucion!BM:BM,$E3)/BM$7</f>
        <v>0.4</v>
      </c>
      <c r="BN3" s="3">
        <f>COUNTIF(Evalucion!BN:BN,$E3)/BN$7</f>
        <v>0</v>
      </c>
      <c r="BO3" s="3">
        <f>COUNTIF(Evalucion!BO:BO,$E3)/BO$7</f>
        <v>0</v>
      </c>
      <c r="BP3" s="3">
        <f>COUNTIF(Evalucion!BP:BP,$E3)/BP$7</f>
        <v>0</v>
      </c>
      <c r="BQ3" s="3">
        <f>COUNTIF(Evalucion!BQ:BQ,$E3)/BQ$7</f>
        <v>0.4</v>
      </c>
      <c r="BR3" s="3">
        <f>COUNTIF(Evalucion!BR:BR,$E3)/BR$7</f>
        <v>0</v>
      </c>
      <c r="BS3" s="3">
        <f>COUNTIF(Evalucion!BS:BS,$E3)/BS$7</f>
        <v>0.44</v>
      </c>
      <c r="BT3" s="3">
        <f>COUNTIF(Evalucion!BT:BT,$E3)/BT$7</f>
        <v>0</v>
      </c>
      <c r="BU3" s="3">
        <f>COUNTIF(Evalucion!BU:BU,$E3)/BU$7</f>
        <v>0.3</v>
      </c>
      <c r="BV3" s="3">
        <f>COUNTIF(Evalucion!BV:BV,$E3)/BV$7</f>
        <v>0</v>
      </c>
      <c r="BW3" s="3">
        <f>COUNTIF(Evalucion!BW:BW,$E3)/BW$7</f>
        <v>0</v>
      </c>
      <c r="BX3" s="3">
        <f>COUNTIF(Evalucion!BX:BX,$E3)/BX$7</f>
        <v>0</v>
      </c>
      <c r="BY3" s="3">
        <f>COUNTIF(Evalucion!BY:BY,$E3)/BY$7</f>
        <v>0.3</v>
      </c>
      <c r="BZ3" s="3">
        <f>COUNTIF(Evalucion!BZ:BZ,$E3)/BZ$7</f>
        <v>0</v>
      </c>
      <c r="CA3" s="3">
        <f>COUNTIF(Evalucion!CA:CA,$E3)/CA$7</f>
        <v>0.4</v>
      </c>
      <c r="CB3" s="3">
        <f>COUNTIF(Evalucion!CB:CB,$E3)/CB$7</f>
        <v>0</v>
      </c>
      <c r="CC3" s="3">
        <f>COUNTIF(Evalucion!CC:CC,$E3)/CC$7</f>
        <v>0</v>
      </c>
      <c r="CD3" s="3">
        <f>COUNTIF(Evalucion!CD:CD,$E3)/CD$7</f>
        <v>0</v>
      </c>
      <c r="CE3" s="3">
        <f>COUNTIF(Evalucion!CE:CE,$E3)/CE$7</f>
        <v>0</v>
      </c>
      <c r="CF3" s="3">
        <f>COUNTIF(Evalucion!CF:CF,$E3)/CF$7</f>
        <v>0</v>
      </c>
      <c r="CG3" s="3">
        <f>COUNTIF(Evalucion!CG:CG,$E3)/CG$7</f>
        <v>0.4</v>
      </c>
      <c r="CH3" s="3">
        <f>COUNTIF(Evalucion!CH:CH,$E3)/CH$7</f>
        <v>0</v>
      </c>
      <c r="CI3" s="3">
        <f>COUNTIF(Evalucion!CI:CI,$E3)/CI$7</f>
        <v>0.22</v>
      </c>
      <c r="CJ3" s="3">
        <f>COUNTIF(Evalucion!CJ:CJ,$E3)/CJ$7</f>
        <v>0</v>
      </c>
      <c r="CK3" s="3">
        <f>COUNTIF(Evalucion!CK:CK,$E3)/CK$7</f>
        <v>0</v>
      </c>
      <c r="CL3" s="3">
        <f>COUNTIF(Evalucion!CL:CL,$E3)/CL$7</f>
        <v>0</v>
      </c>
      <c r="CM3" s="3">
        <f>COUNTIF(Evalucion!CM:CM,$E3)/CM$7</f>
        <v>0</v>
      </c>
      <c r="CN3" s="3">
        <f>COUNTIF(Evalucion!CN:CN,$E3)/CN$7</f>
        <v>0</v>
      </c>
      <c r="CO3" s="3">
        <f>COUNTIF(Evalucion!CO:CO,$E3)/CO$7</f>
        <v>0</v>
      </c>
      <c r="CP3" s="3">
        <f>COUNTIF(Evalucion!CP:CP,$E3)/CP$7</f>
        <v>0</v>
      </c>
      <c r="CQ3" s="3">
        <f>COUNTIF(Evalucion!CQ:CQ,$E3)/CQ$7</f>
        <v>0.38</v>
      </c>
      <c r="CR3" s="3">
        <f>COUNTIF(Evalucion!CR:CR,$E3)/CR$7</f>
        <v>0</v>
      </c>
      <c r="CS3" s="3">
        <f>COUNTIF(Evalucion!CS:CS,$E3)/CS$7</f>
        <v>0.22</v>
      </c>
      <c r="CT3" s="3">
        <f>COUNTIF(Evalucion!CT:CT,$E3)/CT$7</f>
        <v>0</v>
      </c>
      <c r="CU3" s="3">
        <f>COUNTIF(Evalucion!CU:CU,$E3)/CU$7</f>
        <v>0.4</v>
      </c>
      <c r="CV3" s="3">
        <f>COUNTIF(Evalucion!CV:CV,$E3)/CV$7</f>
        <v>0</v>
      </c>
      <c r="CW3" s="3">
        <f>COUNTIF(Evalucion!CW:CW,$E3)/CW$7</f>
        <v>0.04</v>
      </c>
      <c r="CX3" s="3">
        <f>COUNTIF(Evalucion!CX:CX,$E3)/CX$7</f>
        <v>0</v>
      </c>
      <c r="CY3" s="3">
        <f>COUNTIF(Evalucion!CY:CY,$E3)/CY$7</f>
        <v>0.1</v>
      </c>
      <c r="CZ3" s="3">
        <f>COUNTIF(Evalucion!CZ:CZ,$E3)/CZ$7</f>
        <v>0</v>
      </c>
      <c r="DA3" s="3">
        <f>COUNTIF(Evalucion!DA:DA,$E3)/DA$7</f>
        <v>0.16</v>
      </c>
      <c r="DB3" s="3">
        <f>COUNTIF(Evalucion!DB:DB,$E3)/DB$7</f>
        <v>0</v>
      </c>
      <c r="DC3" s="3">
        <f>COUNTIF(Evalucion!DC:DC,$E3)/DC$7</f>
        <v>0</v>
      </c>
      <c r="DD3" s="3">
        <f>COUNTIF(Evalucion!DD:DD,$E3)/DD$7</f>
        <v>0</v>
      </c>
      <c r="DE3" s="3">
        <f>COUNTIF(Evalucion!DE:DE,$E3)/DE$7</f>
        <v>0.72</v>
      </c>
      <c r="DF3" s="3">
        <f>COUNTIF(Evalucion!DF:DF,$E3)/DF$7</f>
        <v>0</v>
      </c>
      <c r="DG3" s="3">
        <f>COUNTIF(Evalucion!DG:DG,$E3)/DG$7</f>
        <v>0.02</v>
      </c>
      <c r="DH3" s="3">
        <f>COUNTIF(Evalucion!DH:DH,$E3)/DH$7</f>
        <v>0</v>
      </c>
      <c r="DI3" s="3">
        <f>COUNTIF(Evalucion!DI:DI,$E3)/DI$7</f>
        <v>0.7</v>
      </c>
      <c r="DJ3" s="3">
        <f>COUNTIF(Evalucion!DJ:DJ,$E3)/DJ$7</f>
        <v>0</v>
      </c>
      <c r="DK3" s="3">
        <f>COUNTIF(Evalucion!DK:DK,$E3)/DK$7</f>
        <v>0.72</v>
      </c>
      <c r="DL3" s="3">
        <f>COUNTIF(Evalucion!DL:DL,$E3)/DL$7</f>
        <v>0</v>
      </c>
      <c r="DM3" s="3">
        <f>COUNTIF(Evalucion!DM:DM,$E3)/DM$7</f>
        <v>0.48</v>
      </c>
      <c r="DN3" s="3">
        <f>COUNTIF(Evalucion!DN:DN,$E3)/DN$7</f>
        <v>0</v>
      </c>
      <c r="DO3" s="3">
        <f>COUNTIF(Evalucion!DO:DO,$E3)/DO$7</f>
        <v>0</v>
      </c>
      <c r="DP3" s="3">
        <f>COUNTIF(Evalucion!DP:DP,$E3)/DP$7</f>
        <v>0</v>
      </c>
      <c r="DQ3" s="3">
        <f>COUNTIF(Evalucion!DQ:DQ,$E3)/DQ$7</f>
        <v>0.16</v>
      </c>
      <c r="DR3" s="3">
        <f>COUNTIF(Evalucion!DR:DR,$E3)/DR$7</f>
        <v>0</v>
      </c>
      <c r="DS3" s="3">
        <f>COUNTIF(Evalucion!DS:DS,$E3)/DS$7</f>
        <v>0.46</v>
      </c>
      <c r="DT3" s="3">
        <f>COUNTIF(Evalucion!DT:DT,$E3)/DT$7</f>
        <v>0</v>
      </c>
      <c r="DU3" s="3">
        <f>COUNTIF(Evalucion!DU:DU,$E3)/DU$7</f>
        <v>0.16</v>
      </c>
      <c r="DV3" s="3">
        <f>COUNTIF(Evalucion!DV:DV,$E3)/DV$7</f>
        <v>0</v>
      </c>
      <c r="DW3" s="3">
        <f>COUNTIF(Evalucion!DW:DW,$E3)/DW$7</f>
        <v>0.46</v>
      </c>
      <c r="DX3" s="3">
        <f>COUNTIF(Evalucion!DX:DX,$E3)/DX$7</f>
        <v>0</v>
      </c>
      <c r="DY3" s="3">
        <f>COUNTIF(Evalucion!DY:DY,$E3)/DY$7</f>
        <v>0.46</v>
      </c>
      <c r="DZ3" s="3">
        <f>COUNTIF(Evalucion!DZ:DZ,$E3)/DZ$7</f>
        <v>0</v>
      </c>
      <c r="EA3" s="3">
        <f>COUNTIF(Evalucion!EA:EA,$E3)/EA$7</f>
        <v>0</v>
      </c>
      <c r="EB3" s="3">
        <f>COUNTIF(Evalucion!EB:EB,$E3)/EB$7</f>
        <v>0</v>
      </c>
      <c r="EC3" s="3">
        <f>COUNTIF(Evalucion!EC:EC,$E3)/EC$7</f>
        <v>0.2</v>
      </c>
      <c r="ED3" s="3">
        <f>COUNTIF(Evalucion!ED:ED,$E3)/ED$7</f>
        <v>0</v>
      </c>
      <c r="EE3" s="3">
        <f>COUNTIF(Evalucion!EE:EE,$E3)/EE$7</f>
        <v>0</v>
      </c>
      <c r="EF3" s="3">
        <f>COUNTIF(Evalucion!EF:EF,$E3)/EF$7</f>
        <v>0</v>
      </c>
      <c r="EG3" s="3">
        <f>COUNTIF(Evalucion!EG:EG,$E3)/EG$7</f>
        <v>0.12</v>
      </c>
      <c r="EH3" s="3">
        <f>COUNTIF(Evalucion!EH:EH,$E3)/EH$7</f>
        <v>0</v>
      </c>
      <c r="EI3" s="3">
        <f>COUNTIF(Evalucion!EI:EI,$E3)/EI$7</f>
        <v>0.42</v>
      </c>
      <c r="EJ3" s="3">
        <f>COUNTIF(Evalucion!EJ:EJ,$E3)/EJ$7</f>
        <v>0</v>
      </c>
      <c r="EK3" s="3">
        <f>COUNTIF(Evalucion!EK:EK,$E3)/EK$7</f>
        <v>0.32</v>
      </c>
      <c r="EL3" s="3">
        <f>COUNTIF(Evalucion!EL:EL,$E3)/EL$7</f>
        <v>0</v>
      </c>
      <c r="EM3" s="3">
        <f>COUNTIF(Evalucion!EM:EM,$E3)/EM$7</f>
        <v>0.12</v>
      </c>
      <c r="EN3" s="3">
        <f>COUNTIF(Evalucion!EN:EN,$E3)/EN$7</f>
        <v>0</v>
      </c>
      <c r="EO3" s="3">
        <f>COUNTIF(Evalucion!EO:EO,$E3)/EO$7</f>
        <v>0.52</v>
      </c>
      <c r="EP3" s="3">
        <f>COUNTIF(Evalucion!EP:EP,$E3)/EP$7</f>
        <v>0</v>
      </c>
      <c r="EQ3" s="3">
        <f>COUNTIF(Evalucion!EQ:EQ,$E3)/EQ$7</f>
        <v>0.52</v>
      </c>
      <c r="ER3" s="3">
        <f>COUNTIF(Evalucion!ER:ER,$E3)/ER$7</f>
        <v>0</v>
      </c>
      <c r="ES3" s="3">
        <f>COUNTIF(Evalucion!ES:ES,$E3)/ES$7</f>
        <v>0</v>
      </c>
      <c r="ET3" s="3">
        <f>COUNTIF(Evalucion!ET:ET,$E3)/ET$7</f>
        <v>0</v>
      </c>
      <c r="EU3" s="3">
        <f>COUNTIF(Evalucion!EU:EU,$E3)/EU$7</f>
        <v>0.02</v>
      </c>
      <c r="EV3" s="3">
        <f>COUNTIF(Evalucion!EV:EV,$E3)/EV$7</f>
        <v>0</v>
      </c>
      <c r="EW3" s="3">
        <f>COUNTIF(Evalucion!EW:EW,$E3)/EW$7</f>
        <v>0</v>
      </c>
      <c r="EX3" s="3">
        <f>COUNTIF(Evalucion!EX:EX,$E3)/EX$7</f>
        <v>0</v>
      </c>
      <c r="EY3" s="3">
        <f>COUNTIF(Evalucion!EY:EY,$E3)/EY$7</f>
        <v>0</v>
      </c>
      <c r="EZ3" s="3">
        <f>COUNTIF(Evalucion!EZ:EZ,$E3)/EZ$7</f>
        <v>0</v>
      </c>
    </row>
    <row r="4" spans="1:156" x14ac:dyDescent="0.2">
      <c r="E4" t="s">
        <v>144</v>
      </c>
      <c r="F4" s="3">
        <f>COUNTIF(Evalucion!F:F,$E4)/F$7</f>
        <v>0</v>
      </c>
      <c r="G4" s="3">
        <f>COUNTIF(Evalucion!G:G,$E4)/G$7</f>
        <v>0.84</v>
      </c>
      <c r="H4" s="3">
        <f>COUNTIF(Evalucion!H:H,$E4)/H$7</f>
        <v>0</v>
      </c>
      <c r="I4" s="3">
        <f>COUNTIF(Evalucion!I:I,$E4)/I$7</f>
        <v>0.3</v>
      </c>
      <c r="J4" s="3">
        <f>COUNTIF(Evalucion!J:J,$E4)/J$7</f>
        <v>0</v>
      </c>
      <c r="K4" s="3">
        <f>COUNTIF(Evalucion!K:K,$E4)/K$7</f>
        <v>0.22</v>
      </c>
      <c r="L4" s="3">
        <f>COUNTIF(Evalucion!L:L,$E4)/L$7</f>
        <v>0</v>
      </c>
      <c r="M4" s="3">
        <f>COUNTIF(Evalucion!M:M,$E4)/M$7</f>
        <v>0.82</v>
      </c>
      <c r="N4" s="3">
        <f>COUNTIF(Evalucion!N:N,$E4)/N$7</f>
        <v>0</v>
      </c>
      <c r="O4" s="3">
        <f>COUNTIF(Evalucion!O:O,$E4)/O$7</f>
        <v>0.8</v>
      </c>
      <c r="P4" s="3">
        <f>COUNTIF(Evalucion!P:P,$E4)/P$7</f>
        <v>0</v>
      </c>
      <c r="Q4" s="3">
        <f>COUNTIF(Evalucion!Q:Q,$E4)/Q$7</f>
        <v>0.54</v>
      </c>
      <c r="R4" s="3">
        <f>COUNTIF(Evalucion!R:R,$E4)/R$7</f>
        <v>0</v>
      </c>
      <c r="S4" s="3">
        <f>COUNTIF(Evalucion!S:S,$E4)/S$7</f>
        <v>0.8</v>
      </c>
      <c r="T4" s="3">
        <f>COUNTIF(Evalucion!T:T,$E4)/T$7</f>
        <v>0</v>
      </c>
      <c r="U4" s="3">
        <f>COUNTIF(Evalucion!U:U,$E4)/U$7</f>
        <v>0.64</v>
      </c>
      <c r="V4" s="3">
        <f>COUNTIF(Evalucion!V:V,$E4)/V$7</f>
        <v>0</v>
      </c>
      <c r="W4" s="3">
        <f>COUNTIF(Evalucion!W:W,$E4)/W$7</f>
        <v>0.66</v>
      </c>
      <c r="X4" s="3">
        <f>COUNTIF(Evalucion!X:X,$E4)/X$7</f>
        <v>0</v>
      </c>
      <c r="Y4" s="3">
        <f>COUNTIF(Evalucion!Y:Y,$E4)/Y$7</f>
        <v>0.64</v>
      </c>
      <c r="Z4" s="3">
        <f>COUNTIF(Evalucion!Z:Z,$E4)/Z$7</f>
        <v>0</v>
      </c>
      <c r="AA4" s="3">
        <f>COUNTIF(Evalucion!AA:AA,$E4)/AA$7</f>
        <v>0.66</v>
      </c>
      <c r="AB4" s="3">
        <f>COUNTIF(Evalucion!AB:AB,$E4)/AB$7</f>
        <v>0</v>
      </c>
      <c r="AC4" s="3">
        <f>COUNTIF(Evalucion!AC:AC,$E4)/AC$7</f>
        <v>0.64</v>
      </c>
      <c r="AD4" s="3">
        <f>COUNTIF(Evalucion!AD:AD,$E4)/AD$7</f>
        <v>0</v>
      </c>
      <c r="AE4" s="3">
        <f>COUNTIF(Evalucion!AE:AE,$E4)/AE$7</f>
        <v>0.3</v>
      </c>
      <c r="AF4" s="3">
        <f>COUNTIF(Evalucion!AF:AF,$E4)/AF$7</f>
        <v>0</v>
      </c>
      <c r="AG4" s="3">
        <f>COUNTIF(Evalucion!AG:AG,$E4)/AG$7</f>
        <v>0.8</v>
      </c>
      <c r="AH4" s="3" t="e">
        <f>COUNTIF(Evalucion!AH:AH,$E4)/AH$7</f>
        <v>#DIV/0!</v>
      </c>
      <c r="AI4" s="3" t="e">
        <f>COUNTIF(Evalucion!AI:AI,$E4)/AI$7</f>
        <v>#DIV/0!</v>
      </c>
      <c r="AJ4" s="3" t="e">
        <f>COUNTIF(Evalucion!AJ:AJ,$E4)/AJ$7</f>
        <v>#DIV/0!</v>
      </c>
      <c r="AK4" s="3" t="e">
        <f>COUNTIF(Evalucion!AK:AK,$E4)/AK$7</f>
        <v>#DIV/0!</v>
      </c>
      <c r="AL4" s="3" t="e">
        <f>COUNTIF(Evalucion!AL:AL,$E4)/AL$7</f>
        <v>#DIV/0!</v>
      </c>
      <c r="AM4" s="3" t="e">
        <f>COUNTIF(Evalucion!AM:AM,$E4)/AM$7</f>
        <v>#DIV/0!</v>
      </c>
      <c r="AN4" s="3" t="e">
        <f>COUNTIF(Evalucion!AN:AN,$E4)/AN$7</f>
        <v>#DIV/0!</v>
      </c>
      <c r="AO4" s="3" t="e">
        <f>COUNTIF(Evalucion!AO:AO,$E4)/AO$7</f>
        <v>#DIV/0!</v>
      </c>
      <c r="AP4" s="3">
        <f>COUNTIF(Evalucion!AP:AP,$E4)/AP$7</f>
        <v>0</v>
      </c>
      <c r="AQ4" s="3">
        <f>COUNTIF(Evalucion!AQ:AQ,$E4)/AQ$7</f>
        <v>0.26</v>
      </c>
      <c r="AR4" s="3">
        <f>COUNTIF(Evalucion!AR:AR,$E4)/AR$7</f>
        <v>0</v>
      </c>
      <c r="AS4" s="3">
        <f>COUNTIF(Evalucion!AS:AS,$E4)/AS$7</f>
        <v>0.12</v>
      </c>
      <c r="AT4" s="3">
        <f>COUNTIF(Evalucion!AT:AT,$E4)/AT$7</f>
        <v>0</v>
      </c>
      <c r="AU4" s="3">
        <f>COUNTIF(Evalucion!AU:AU,$E4)/AU$7</f>
        <v>0.64</v>
      </c>
      <c r="AV4" s="3" t="e">
        <f>COUNTIF(Evalucion!AV:AV,$E4)/AV$7</f>
        <v>#DIV/0!</v>
      </c>
      <c r="AW4" s="3">
        <f>COUNTIF(Evalucion!AW:AW,$E4)/AW$7</f>
        <v>0</v>
      </c>
      <c r="AX4" s="3">
        <f>COUNTIF(Evalucion!AX:AX,$E4)/AX$7</f>
        <v>0.44</v>
      </c>
      <c r="AY4" s="3">
        <f>COUNTIF(Evalucion!AY:AY,$E4)/AY$7</f>
        <v>0</v>
      </c>
      <c r="AZ4" s="3">
        <f>COUNTIF(Evalucion!AZ:AZ,$E4)/AZ$7</f>
        <v>0.9</v>
      </c>
      <c r="BA4" s="3">
        <f>COUNTIF(Evalucion!BA:BA,$E4)/BA$7</f>
        <v>0</v>
      </c>
      <c r="BB4" s="3">
        <f>COUNTIF(Evalucion!BB:BB,$E4)/BB$7</f>
        <v>1</v>
      </c>
      <c r="BC4" s="3">
        <f>COUNTIF(Evalucion!BC:BC,$E4)/BC$7</f>
        <v>0</v>
      </c>
      <c r="BD4" s="3">
        <f>COUNTIF(Evalucion!BD:BD,$E4)/BD$7</f>
        <v>0.26</v>
      </c>
      <c r="BE4" s="3">
        <f>COUNTIF(Evalucion!BE:BE,$E4)/BE$7</f>
        <v>0</v>
      </c>
      <c r="BF4" s="3">
        <f>COUNTIF(Evalucion!BF:BF,$E4)/BF$7</f>
        <v>0.26</v>
      </c>
      <c r="BG4" s="3">
        <f>COUNTIF(Evalucion!BG:BG,$E4)/BG$7</f>
        <v>0</v>
      </c>
      <c r="BH4" s="3">
        <f>COUNTIF(Evalucion!BH:BH,$E4)/BH$7</f>
        <v>1</v>
      </c>
      <c r="BI4" s="3">
        <f>COUNTIF(Evalucion!BI:BI,$E4)/BI$7</f>
        <v>0</v>
      </c>
      <c r="BJ4" s="3">
        <f>COUNTIF(Evalucion!BJ:BJ,$E4)/BJ$7</f>
        <v>0.7</v>
      </c>
      <c r="BK4" s="3">
        <f>COUNTIF(Evalucion!BK:BK,$E4)/BK$7</f>
        <v>0</v>
      </c>
      <c r="BL4" s="3">
        <f>COUNTIF(Evalucion!BL:BL,$E4)/BL$7</f>
        <v>0.57999999999999996</v>
      </c>
      <c r="BM4" s="3">
        <f>COUNTIF(Evalucion!BM:BM,$E4)/BM$7</f>
        <v>0</v>
      </c>
      <c r="BN4" s="3">
        <f>COUNTIF(Evalucion!BN:BN,$E4)/BN$7</f>
        <v>0.56000000000000005</v>
      </c>
      <c r="BO4" s="3">
        <f>COUNTIF(Evalucion!BO:BO,$E4)/BO$7</f>
        <v>0</v>
      </c>
      <c r="BP4" s="3">
        <f>COUNTIF(Evalucion!BP:BP,$E4)/BP$7</f>
        <v>0.9</v>
      </c>
      <c r="BQ4" s="3">
        <f>COUNTIF(Evalucion!BQ:BQ,$E4)/BQ$7</f>
        <v>0</v>
      </c>
      <c r="BR4" s="3">
        <f>COUNTIF(Evalucion!BR:BR,$E4)/BR$7</f>
        <v>0.32</v>
      </c>
      <c r="BS4" s="3">
        <f>COUNTIF(Evalucion!BS:BS,$E4)/BS$7</f>
        <v>0</v>
      </c>
      <c r="BT4" s="3">
        <f>COUNTIF(Evalucion!BT:BT,$E4)/BT$7</f>
        <v>0.24</v>
      </c>
      <c r="BU4" s="3">
        <f>COUNTIF(Evalucion!BU:BU,$E4)/BU$7</f>
        <v>0</v>
      </c>
      <c r="BV4" s="3">
        <f>COUNTIF(Evalucion!BV:BV,$E4)/BV$7</f>
        <v>0.28000000000000003</v>
      </c>
      <c r="BW4" s="3">
        <f>COUNTIF(Evalucion!BW:BW,$E4)/BW$7</f>
        <v>0</v>
      </c>
      <c r="BX4" s="3">
        <f>COUNTIF(Evalucion!BX:BX,$E4)/BX$7</f>
        <v>0.9</v>
      </c>
      <c r="BY4" s="3">
        <f>COUNTIF(Evalucion!BY:BY,$E4)/BY$7</f>
        <v>0</v>
      </c>
      <c r="BZ4" s="3">
        <f>COUNTIF(Evalucion!BZ:BZ,$E4)/BZ$7</f>
        <v>0.7</v>
      </c>
      <c r="CA4" s="3">
        <f>COUNTIF(Evalucion!CA:CA,$E4)/CA$7</f>
        <v>0</v>
      </c>
      <c r="CB4" s="3">
        <f>COUNTIF(Evalucion!CB:CB,$E4)/CB$7</f>
        <v>0.62</v>
      </c>
      <c r="CC4" s="3">
        <f>COUNTIF(Evalucion!CC:CC,$E4)/CC$7</f>
        <v>0</v>
      </c>
      <c r="CD4" s="3">
        <f>COUNTIF(Evalucion!CD:CD,$E4)/CD$7</f>
        <v>0.9</v>
      </c>
      <c r="CE4" s="3">
        <f>COUNTIF(Evalucion!CE:CE,$E4)/CE$7</f>
        <v>0</v>
      </c>
      <c r="CF4" s="3">
        <f>COUNTIF(Evalucion!CF:CF,$E4)/CF$7</f>
        <v>0.16</v>
      </c>
      <c r="CG4" s="3">
        <f>COUNTIF(Evalucion!CG:CG,$E4)/CG$7</f>
        <v>0</v>
      </c>
      <c r="CH4" s="3">
        <f>COUNTIF(Evalucion!CH:CH,$E4)/CH$7</f>
        <v>0.14000000000000001</v>
      </c>
      <c r="CI4" s="3">
        <f>COUNTIF(Evalucion!CI:CI,$E4)/CI$7</f>
        <v>0</v>
      </c>
      <c r="CJ4" s="3">
        <f>COUNTIF(Evalucion!CJ:CJ,$E4)/CJ$7</f>
        <v>0.22</v>
      </c>
      <c r="CK4" s="3">
        <f>COUNTIF(Evalucion!CK:CK,$E4)/CK$7</f>
        <v>0</v>
      </c>
      <c r="CL4" s="3">
        <f>COUNTIF(Evalucion!CL:CL,$E4)/CL$7</f>
        <v>0.9</v>
      </c>
      <c r="CM4" s="3">
        <f>COUNTIF(Evalucion!CM:CM,$E4)/CM$7</f>
        <v>0</v>
      </c>
      <c r="CN4" s="3">
        <f>COUNTIF(Evalucion!CN:CN,$E4)/CN$7</f>
        <v>0.54</v>
      </c>
      <c r="CO4" s="3">
        <f>COUNTIF(Evalucion!CO:CO,$E4)/CO$7</f>
        <v>0</v>
      </c>
      <c r="CP4" s="3">
        <f>COUNTIF(Evalucion!CP:CP,$E4)/CP$7</f>
        <v>1</v>
      </c>
      <c r="CQ4" s="3">
        <f>COUNTIF(Evalucion!CQ:CQ,$E4)/CQ$7</f>
        <v>0</v>
      </c>
      <c r="CR4" s="3">
        <f>COUNTIF(Evalucion!CR:CR,$E4)/CR$7</f>
        <v>0.12</v>
      </c>
      <c r="CS4" s="3">
        <f>COUNTIF(Evalucion!CS:CS,$E4)/CS$7</f>
        <v>0</v>
      </c>
      <c r="CT4" s="3">
        <f>COUNTIF(Evalucion!CT:CT,$E4)/CT$7</f>
        <v>0.24</v>
      </c>
      <c r="CU4" s="3">
        <f>COUNTIF(Evalucion!CU:CU,$E4)/CU$7</f>
        <v>0</v>
      </c>
      <c r="CV4" s="3">
        <f>COUNTIF(Evalucion!CV:CV,$E4)/CV$7</f>
        <v>0.12</v>
      </c>
      <c r="CW4" s="3">
        <f>COUNTIF(Evalucion!CW:CW,$E4)/CW$7</f>
        <v>0</v>
      </c>
      <c r="CX4" s="3">
        <f>COUNTIF(Evalucion!CX:CX,$E4)/CX$7</f>
        <v>0.26</v>
      </c>
      <c r="CY4" s="3">
        <f>COUNTIF(Evalucion!CY:CY,$E4)/CY$7</f>
        <v>0</v>
      </c>
      <c r="CZ4" s="3">
        <f>COUNTIF(Evalucion!CZ:CZ,$E4)/CZ$7</f>
        <v>0.26</v>
      </c>
      <c r="DA4" s="3">
        <f>COUNTIF(Evalucion!DA:DA,$E4)/DA$7</f>
        <v>0</v>
      </c>
      <c r="DB4" s="3">
        <f>COUNTIF(Evalucion!DB:DB,$E4)/DB$7</f>
        <v>0.06</v>
      </c>
      <c r="DC4" s="3">
        <f>COUNTIF(Evalucion!DC:DC,$E4)/DC$7</f>
        <v>0</v>
      </c>
      <c r="DD4" s="3">
        <f>COUNTIF(Evalucion!DD:DD,$E4)/DD$7</f>
        <v>0.9</v>
      </c>
      <c r="DE4" s="3">
        <f>COUNTIF(Evalucion!DE:DE,$E4)/DE$7</f>
        <v>0</v>
      </c>
      <c r="DF4" s="3">
        <f>COUNTIF(Evalucion!DF:DF,$E4)/DF$7</f>
        <v>0.1</v>
      </c>
      <c r="DG4" s="3">
        <f>COUNTIF(Evalucion!DG:DG,$E4)/DG$7</f>
        <v>0</v>
      </c>
      <c r="DH4" s="3">
        <f>COUNTIF(Evalucion!DH:DH,$E4)/DH$7</f>
        <v>0.62</v>
      </c>
      <c r="DI4" s="3">
        <f>COUNTIF(Evalucion!DI:DI,$E4)/DI$7</f>
        <v>0</v>
      </c>
      <c r="DJ4" s="3">
        <f>COUNTIF(Evalucion!DJ:DJ,$E4)/DJ$7</f>
        <v>0.26</v>
      </c>
      <c r="DK4" s="3">
        <f>COUNTIF(Evalucion!DK:DK,$E4)/DK$7</f>
        <v>0</v>
      </c>
      <c r="DL4" s="3">
        <f>COUNTIF(Evalucion!DL:DL,$E4)/DL$7</f>
        <v>0.24</v>
      </c>
      <c r="DM4" s="3">
        <f>COUNTIF(Evalucion!DM:DM,$E4)/DM$7</f>
        <v>0</v>
      </c>
      <c r="DN4" s="3">
        <f>COUNTIF(Evalucion!DN:DN,$E4)/DN$7</f>
        <v>0.26</v>
      </c>
      <c r="DO4" s="3">
        <f>COUNTIF(Evalucion!DO:DO,$E4)/DO$7</f>
        <v>0</v>
      </c>
      <c r="DP4" s="3">
        <f>COUNTIF(Evalucion!DP:DP,$E4)/DP$7</f>
        <v>0.57999999999999996</v>
      </c>
      <c r="DQ4" s="3">
        <f>COUNTIF(Evalucion!DQ:DQ,$E4)/DQ$7</f>
        <v>0</v>
      </c>
      <c r="DR4" s="3">
        <f>COUNTIF(Evalucion!DR:DR,$E4)/DR$7</f>
        <v>0.18</v>
      </c>
      <c r="DS4" s="3">
        <f>COUNTIF(Evalucion!DS:DS,$E4)/DS$7</f>
        <v>0</v>
      </c>
      <c r="DT4" s="3">
        <f>COUNTIF(Evalucion!DT:DT,$E4)/DT$7</f>
        <v>0.12</v>
      </c>
      <c r="DU4" s="3">
        <f>COUNTIF(Evalucion!DU:DU,$E4)/DU$7</f>
        <v>0</v>
      </c>
      <c r="DV4" s="3">
        <f>COUNTIF(Evalucion!DV:DV,$E4)/DV$7</f>
        <v>0.34</v>
      </c>
      <c r="DW4" s="3">
        <f>COUNTIF(Evalucion!DW:DW,$E4)/DW$7</f>
        <v>0</v>
      </c>
      <c r="DX4" s="3">
        <f>COUNTIF(Evalucion!DX:DX,$E4)/DX$7</f>
        <v>0.32</v>
      </c>
      <c r="DY4" s="3">
        <f>COUNTIF(Evalucion!DY:DY,$E4)/DY$7</f>
        <v>0</v>
      </c>
      <c r="DZ4" s="3">
        <f>COUNTIF(Evalucion!DZ:DZ,$E4)/DZ$7</f>
        <v>0.14000000000000001</v>
      </c>
      <c r="EA4" s="3">
        <f>COUNTIF(Evalucion!EA:EA,$E4)/EA$7</f>
        <v>0</v>
      </c>
      <c r="EB4" s="3">
        <f>COUNTIF(Evalucion!EB:EB,$E4)/EB$7</f>
        <v>0.8</v>
      </c>
      <c r="EC4" s="3">
        <f>COUNTIF(Evalucion!EC:EC,$E4)/EC$7</f>
        <v>0</v>
      </c>
      <c r="ED4" s="3">
        <f>COUNTIF(Evalucion!ED:ED,$E4)/ED$7</f>
        <v>0.2</v>
      </c>
      <c r="EE4" s="3">
        <f>COUNTIF(Evalucion!EE:EE,$E4)/EE$7</f>
        <v>0</v>
      </c>
      <c r="EF4" s="3">
        <f>COUNTIF(Evalucion!EF:EF,$E4)/EF$7</f>
        <v>0.6</v>
      </c>
      <c r="EG4" s="3">
        <f>COUNTIF(Evalucion!EG:EG,$E4)/EG$7</f>
        <v>0</v>
      </c>
      <c r="EH4" s="3">
        <f>COUNTIF(Evalucion!EH:EH,$E4)/EH$7</f>
        <v>0.68</v>
      </c>
      <c r="EI4" s="3">
        <f>COUNTIF(Evalucion!EI:EI,$E4)/EI$7</f>
        <v>0</v>
      </c>
      <c r="EJ4" s="3">
        <f>COUNTIF(Evalucion!EJ:EJ,$E4)/EJ$7</f>
        <v>0.48</v>
      </c>
      <c r="EK4" s="3">
        <f>COUNTIF(Evalucion!EK:EK,$E4)/EK$7</f>
        <v>0</v>
      </c>
      <c r="EL4" s="3">
        <f>COUNTIF(Evalucion!EL:EL,$E4)/EL$7</f>
        <v>0.48</v>
      </c>
      <c r="EM4" s="3">
        <f>COUNTIF(Evalucion!EM:EM,$E4)/EM$7</f>
        <v>0</v>
      </c>
      <c r="EN4" s="3">
        <f>COUNTIF(Evalucion!EN:EN,$E4)/EN$7</f>
        <v>0.68</v>
      </c>
      <c r="EO4" s="3">
        <f>COUNTIF(Evalucion!EO:EO,$E4)/EO$7</f>
        <v>0</v>
      </c>
      <c r="EP4" s="3">
        <f>COUNTIF(Evalucion!EP:EP,$E4)/EP$7</f>
        <v>0.48</v>
      </c>
      <c r="EQ4" s="3">
        <f>COUNTIF(Evalucion!EQ:EQ,$E4)/EQ$7</f>
        <v>0</v>
      </c>
      <c r="ER4" s="3">
        <f>COUNTIF(Evalucion!ER:ER,$E4)/ER$7</f>
        <v>0.48</v>
      </c>
      <c r="ES4" s="3">
        <f>COUNTIF(Evalucion!ES:ES,$E4)/ES$7</f>
        <v>0</v>
      </c>
      <c r="ET4" s="3">
        <f>COUNTIF(Evalucion!ET:ET,$E4)/ET$7</f>
        <v>0.8</v>
      </c>
      <c r="EU4" s="3">
        <f>COUNTIF(Evalucion!EU:EU,$E4)/EU$7</f>
        <v>0</v>
      </c>
      <c r="EV4" s="3">
        <f>COUNTIF(Evalucion!EV:EV,$E4)/EV$7</f>
        <v>0.02</v>
      </c>
      <c r="EW4" s="3">
        <f>COUNTIF(Evalucion!EW:EW,$E4)/EW$7</f>
        <v>0</v>
      </c>
      <c r="EX4" s="3">
        <f>COUNTIF(Evalucion!EX:EX,$E4)/EX$7</f>
        <v>1</v>
      </c>
      <c r="EY4" s="3">
        <f>COUNTIF(Evalucion!EY:EY,$E4)/EY$7</f>
        <v>0</v>
      </c>
      <c r="EZ4" s="3">
        <f>COUNTIF(Evalucion!EZ:EZ,$E4)/EZ$7</f>
        <v>0.1</v>
      </c>
    </row>
    <row r="5" spans="1:156" x14ac:dyDescent="0.2">
      <c r="E5" t="s">
        <v>145</v>
      </c>
      <c r="F5" s="3">
        <f>COUNTIF(Evalucion!F:F,$E5)/F$7</f>
        <v>0</v>
      </c>
      <c r="G5" s="3">
        <f>COUNTIF(Evalucion!G:G,$E5)/G$7</f>
        <v>0.04</v>
      </c>
      <c r="H5" s="3">
        <f>COUNTIF(Evalucion!H:H,$E5)/H$7</f>
        <v>0</v>
      </c>
      <c r="I5" s="3">
        <f>COUNTIF(Evalucion!I:I,$E5)/I$7</f>
        <v>0.14000000000000001</v>
      </c>
      <c r="J5" s="3">
        <f>COUNTIF(Evalucion!J:J,$E5)/J$7</f>
        <v>0</v>
      </c>
      <c r="K5" s="3">
        <f>COUNTIF(Evalucion!K:K,$E5)/K$7</f>
        <v>0.28000000000000003</v>
      </c>
      <c r="L5" s="3">
        <f>COUNTIF(Evalucion!L:L,$E5)/L$7</f>
        <v>0</v>
      </c>
      <c r="M5" s="3">
        <f>COUNTIF(Evalucion!M:M,$E5)/M$7</f>
        <v>0.18</v>
      </c>
      <c r="N5" s="3">
        <f>COUNTIF(Evalucion!N:N,$E5)/N$7</f>
        <v>0</v>
      </c>
      <c r="O5" s="3">
        <f>COUNTIF(Evalucion!O:O,$E5)/O$7</f>
        <v>0.2</v>
      </c>
      <c r="P5" s="3">
        <f>COUNTIF(Evalucion!P:P,$E5)/P$7</f>
        <v>0</v>
      </c>
      <c r="Q5" s="3">
        <f>COUNTIF(Evalucion!Q:Q,$E5)/Q$7</f>
        <v>0.12</v>
      </c>
      <c r="R5" s="3">
        <f>COUNTIF(Evalucion!R:R,$E5)/R$7</f>
        <v>0</v>
      </c>
      <c r="S5" s="3">
        <f>COUNTIF(Evalucion!S:S,$E5)/S$7</f>
        <v>0</v>
      </c>
      <c r="T5" s="3">
        <f>COUNTIF(Evalucion!T:T,$E5)/T$7</f>
        <v>0</v>
      </c>
      <c r="U5" s="3">
        <f>COUNTIF(Evalucion!U:U,$E5)/U$7</f>
        <v>0</v>
      </c>
      <c r="V5" s="3">
        <f>COUNTIF(Evalucion!V:V,$E5)/V$7</f>
        <v>0</v>
      </c>
      <c r="W5" s="3">
        <f>COUNTIF(Evalucion!W:W,$E5)/W$7</f>
        <v>0</v>
      </c>
      <c r="X5" s="3">
        <f>COUNTIF(Evalucion!X:X,$E5)/X$7</f>
        <v>0</v>
      </c>
      <c r="Y5" s="3">
        <f>COUNTIF(Evalucion!Y:Y,$E5)/Y$7</f>
        <v>0</v>
      </c>
      <c r="Z5" s="3">
        <f>COUNTIF(Evalucion!Z:Z,$E5)/Z$7</f>
        <v>0</v>
      </c>
      <c r="AA5" s="3">
        <f>COUNTIF(Evalucion!AA:AA,$E5)/AA$7</f>
        <v>0</v>
      </c>
      <c r="AB5" s="3">
        <f>COUNTIF(Evalucion!AB:AB,$E5)/AB$7</f>
        <v>0</v>
      </c>
      <c r="AC5" s="3">
        <f>COUNTIF(Evalucion!AC:AC,$E5)/AC$7</f>
        <v>0</v>
      </c>
      <c r="AD5" s="3">
        <f>COUNTIF(Evalucion!AD:AD,$E5)/AD$7</f>
        <v>0</v>
      </c>
      <c r="AE5" s="3">
        <f>COUNTIF(Evalucion!AE:AE,$E5)/AE$7</f>
        <v>0.54</v>
      </c>
      <c r="AF5" s="3">
        <f>COUNTIF(Evalucion!AF:AF,$E5)/AF$7</f>
        <v>0</v>
      </c>
      <c r="AG5" s="3">
        <f>COUNTIF(Evalucion!AG:AG,$E5)/AG$7</f>
        <v>0</v>
      </c>
      <c r="AH5" s="3" t="e">
        <f>COUNTIF(Evalucion!AH:AH,$E5)/AH$7</f>
        <v>#DIV/0!</v>
      </c>
      <c r="AI5" s="3" t="e">
        <f>COUNTIF(Evalucion!AI:AI,$E5)/AI$7</f>
        <v>#DIV/0!</v>
      </c>
      <c r="AJ5" s="3" t="e">
        <f>COUNTIF(Evalucion!AJ:AJ,$E5)/AJ$7</f>
        <v>#DIV/0!</v>
      </c>
      <c r="AK5" s="3" t="e">
        <f>COUNTIF(Evalucion!AK:AK,$E5)/AK$7</f>
        <v>#DIV/0!</v>
      </c>
      <c r="AL5" s="3" t="e">
        <f>COUNTIF(Evalucion!AL:AL,$E5)/AL$7</f>
        <v>#DIV/0!</v>
      </c>
      <c r="AM5" s="3" t="e">
        <f>COUNTIF(Evalucion!AM:AM,$E5)/AM$7</f>
        <v>#DIV/0!</v>
      </c>
      <c r="AN5" s="3" t="e">
        <f>COUNTIF(Evalucion!AN:AN,$E5)/AN$7</f>
        <v>#DIV/0!</v>
      </c>
      <c r="AO5" s="3" t="e">
        <f>COUNTIF(Evalucion!AO:AO,$E5)/AO$7</f>
        <v>#DIV/0!</v>
      </c>
      <c r="AP5" s="3">
        <f>COUNTIF(Evalucion!AP:AP,$E5)/AP$7</f>
        <v>0</v>
      </c>
      <c r="AQ5" s="3">
        <f>COUNTIF(Evalucion!AQ:AQ,$E5)/AQ$7</f>
        <v>0.74</v>
      </c>
      <c r="AR5" s="3">
        <f>COUNTIF(Evalucion!AR:AR,$E5)/AR$7</f>
        <v>0</v>
      </c>
      <c r="AS5" s="3">
        <f>COUNTIF(Evalucion!AS:AS,$E5)/AS$7</f>
        <v>0.1</v>
      </c>
      <c r="AT5" s="3">
        <f>COUNTIF(Evalucion!AT:AT,$E5)/AT$7</f>
        <v>0</v>
      </c>
      <c r="AU5" s="3">
        <f>COUNTIF(Evalucion!AU:AU,$E5)/AU$7</f>
        <v>0.32</v>
      </c>
      <c r="AV5" s="3" t="e">
        <f>COUNTIF(Evalucion!AV:AV,$E5)/AV$7</f>
        <v>#DIV/0!</v>
      </c>
      <c r="AW5" s="3">
        <f>COUNTIF(Evalucion!AW:AW,$E5)/AW$7</f>
        <v>0</v>
      </c>
      <c r="AX5" s="3">
        <f>COUNTIF(Evalucion!AX:AX,$E5)/AX$7</f>
        <v>0.24</v>
      </c>
      <c r="AY5" s="3">
        <f>COUNTIF(Evalucion!AY:AY,$E5)/AY$7</f>
        <v>0</v>
      </c>
      <c r="AZ5" s="3">
        <f>COUNTIF(Evalucion!AZ:AZ,$E5)/AZ$7</f>
        <v>0</v>
      </c>
      <c r="BA5" s="3">
        <f>COUNTIF(Evalucion!BA:BA,$E5)/BA$7</f>
        <v>0</v>
      </c>
      <c r="BB5" s="3">
        <f>COUNTIF(Evalucion!BB:BB,$E5)/BB$7</f>
        <v>0</v>
      </c>
      <c r="BC5" s="3">
        <f>COUNTIF(Evalucion!BC:BC,$E5)/BC$7</f>
        <v>0</v>
      </c>
      <c r="BD5" s="3">
        <f>COUNTIF(Evalucion!BD:BD,$E5)/BD$7</f>
        <v>0.02</v>
      </c>
      <c r="BE5" s="3">
        <f>COUNTIF(Evalucion!BE:BE,$E5)/BE$7</f>
        <v>0</v>
      </c>
      <c r="BF5" s="3">
        <f>COUNTIF(Evalucion!BF:BF,$E5)/BF$7</f>
        <v>0.12</v>
      </c>
      <c r="BG5" s="3">
        <f>COUNTIF(Evalucion!BG:BG,$E5)/BG$7</f>
        <v>0</v>
      </c>
      <c r="BH5" s="3">
        <f>COUNTIF(Evalucion!BH:BH,$E5)/BH$7</f>
        <v>0</v>
      </c>
      <c r="BI5" s="3">
        <f>COUNTIF(Evalucion!BI:BI,$E5)/BI$7</f>
        <v>0</v>
      </c>
      <c r="BJ5" s="3">
        <f>COUNTIF(Evalucion!BJ:BJ,$E5)/BJ$7</f>
        <v>0.02</v>
      </c>
      <c r="BK5" s="3">
        <f>COUNTIF(Evalucion!BK:BK,$E5)/BK$7</f>
        <v>0</v>
      </c>
      <c r="BL5" s="3">
        <f>COUNTIF(Evalucion!BL:BL,$E5)/BL$7</f>
        <v>0.02</v>
      </c>
      <c r="BM5" s="3">
        <f>COUNTIF(Evalucion!BM:BM,$E5)/BM$7</f>
        <v>0</v>
      </c>
      <c r="BN5" s="3">
        <f>COUNTIF(Evalucion!BN:BN,$E5)/BN$7</f>
        <v>0.04</v>
      </c>
      <c r="BO5" s="3">
        <f>COUNTIF(Evalucion!BO:BO,$E5)/BO$7</f>
        <v>0</v>
      </c>
      <c r="BP5" s="3">
        <f>COUNTIF(Evalucion!BP:BP,$E5)/BP$7</f>
        <v>0</v>
      </c>
      <c r="BQ5" s="3">
        <f>COUNTIF(Evalucion!BQ:BQ,$E5)/BQ$7</f>
        <v>0</v>
      </c>
      <c r="BR5" s="3">
        <f>COUNTIF(Evalucion!BR:BR,$E5)/BR$7</f>
        <v>0.26</v>
      </c>
      <c r="BS5" s="3">
        <f>COUNTIF(Evalucion!BS:BS,$E5)/BS$7</f>
        <v>0</v>
      </c>
      <c r="BT5" s="3">
        <f>COUNTIF(Evalucion!BT:BT,$E5)/BT$7</f>
        <v>0.24</v>
      </c>
      <c r="BU5" s="3">
        <f>COUNTIF(Evalucion!BU:BU,$E5)/BU$7</f>
        <v>0</v>
      </c>
      <c r="BV5" s="3">
        <f>COUNTIF(Evalucion!BV:BV,$E5)/BV$7</f>
        <v>0.42</v>
      </c>
      <c r="BW5" s="3">
        <f>COUNTIF(Evalucion!BW:BW,$E5)/BW$7</f>
        <v>0</v>
      </c>
      <c r="BX5" s="3">
        <f>COUNTIF(Evalucion!BX:BX,$E5)/BX$7</f>
        <v>0.1</v>
      </c>
      <c r="BY5" s="3">
        <f>COUNTIF(Evalucion!BY:BY,$E5)/BY$7</f>
        <v>0</v>
      </c>
      <c r="BZ5" s="3">
        <f>COUNTIF(Evalucion!BZ:BZ,$E5)/BZ$7</f>
        <v>0</v>
      </c>
      <c r="CA5" s="3">
        <f>COUNTIF(Evalucion!CA:CA,$E5)/CA$7</f>
        <v>0</v>
      </c>
      <c r="CB5" s="3">
        <f>COUNTIF(Evalucion!CB:CB,$E5)/CB$7</f>
        <v>0.02</v>
      </c>
      <c r="CC5" s="3">
        <f>COUNTIF(Evalucion!CC:CC,$E5)/CC$7</f>
        <v>0</v>
      </c>
      <c r="CD5" s="3">
        <f>COUNTIF(Evalucion!CD:CD,$E5)/CD$7</f>
        <v>0.1</v>
      </c>
      <c r="CE5" s="3">
        <f>COUNTIF(Evalucion!CE:CE,$E5)/CE$7</f>
        <v>0</v>
      </c>
      <c r="CF5" s="3">
        <f>COUNTIF(Evalucion!CF:CF,$E5)/CF$7</f>
        <v>0.64</v>
      </c>
      <c r="CG5" s="3">
        <f>COUNTIF(Evalucion!CG:CG,$E5)/CG$7</f>
        <v>0</v>
      </c>
      <c r="CH5" s="3">
        <f>COUNTIF(Evalucion!CH:CH,$E5)/CH$7</f>
        <v>0.26</v>
      </c>
      <c r="CI5" s="3">
        <f>COUNTIF(Evalucion!CI:CI,$E5)/CI$7</f>
        <v>0</v>
      </c>
      <c r="CJ5" s="3">
        <f>COUNTIF(Evalucion!CJ:CJ,$E5)/CJ$7</f>
        <v>0.56000000000000005</v>
      </c>
      <c r="CK5" s="3">
        <f>COUNTIF(Evalucion!CK:CK,$E5)/CK$7</f>
        <v>0</v>
      </c>
      <c r="CL5" s="3">
        <f>COUNTIF(Evalucion!CL:CL,$E5)/CL$7</f>
        <v>0</v>
      </c>
      <c r="CM5" s="3">
        <f>COUNTIF(Evalucion!CM:CM,$E5)/CM$7</f>
        <v>0</v>
      </c>
      <c r="CN5" s="3">
        <f>COUNTIF(Evalucion!CN:CN,$E5)/CN$7</f>
        <v>0.46</v>
      </c>
      <c r="CO5" s="3">
        <f>COUNTIF(Evalucion!CO:CO,$E5)/CO$7</f>
        <v>0</v>
      </c>
      <c r="CP5" s="3">
        <f>COUNTIF(Evalucion!CP:CP,$E5)/CP$7</f>
        <v>0</v>
      </c>
      <c r="CQ5" s="3">
        <f>COUNTIF(Evalucion!CQ:CQ,$E5)/CQ$7</f>
        <v>0</v>
      </c>
      <c r="CR5" s="3">
        <f>COUNTIF(Evalucion!CR:CR,$E5)/CR$7</f>
        <v>0.4</v>
      </c>
      <c r="CS5" s="3">
        <f>COUNTIF(Evalucion!CS:CS,$E5)/CS$7</f>
        <v>0</v>
      </c>
      <c r="CT5" s="3">
        <f>COUNTIF(Evalucion!CT:CT,$E5)/CT$7</f>
        <v>0.48</v>
      </c>
      <c r="CU5" s="3">
        <f>COUNTIF(Evalucion!CU:CU,$E5)/CU$7</f>
        <v>0</v>
      </c>
      <c r="CV5" s="3">
        <f>COUNTIF(Evalucion!CV:CV,$E5)/CV$7</f>
        <v>0.48</v>
      </c>
      <c r="CW5" s="3">
        <f>COUNTIF(Evalucion!CW:CW,$E5)/CW$7</f>
        <v>0</v>
      </c>
      <c r="CX5" s="3">
        <f>COUNTIF(Evalucion!CX:CX,$E5)/CX$7</f>
        <v>0.64</v>
      </c>
      <c r="CY5" s="3">
        <f>COUNTIF(Evalucion!CY:CY,$E5)/CY$7</f>
        <v>0</v>
      </c>
      <c r="CZ5" s="3">
        <f>COUNTIF(Evalucion!CZ:CZ,$E5)/CZ$7</f>
        <v>0.64</v>
      </c>
      <c r="DA5" s="3">
        <f>COUNTIF(Evalucion!DA:DA,$E5)/DA$7</f>
        <v>0</v>
      </c>
      <c r="DB5" s="3">
        <f>COUNTIF(Evalucion!DB:DB,$E5)/DB$7</f>
        <v>0.78</v>
      </c>
      <c r="DC5" s="3">
        <f>COUNTIF(Evalucion!DC:DC,$E5)/DC$7</f>
        <v>0</v>
      </c>
      <c r="DD5" s="3">
        <f>COUNTIF(Evalucion!DD:DD,$E5)/DD$7</f>
        <v>0</v>
      </c>
      <c r="DE5" s="3">
        <f>COUNTIF(Evalucion!DE:DE,$E5)/DE$7</f>
        <v>0</v>
      </c>
      <c r="DF5" s="3">
        <f>COUNTIF(Evalucion!DF:DF,$E5)/DF$7</f>
        <v>0.14000000000000001</v>
      </c>
      <c r="DG5" s="3">
        <f>COUNTIF(Evalucion!DG:DG,$E5)/DG$7</f>
        <v>0</v>
      </c>
      <c r="DH5" s="3">
        <f>COUNTIF(Evalucion!DH:DH,$E5)/DH$7</f>
        <v>0.36</v>
      </c>
      <c r="DI5" s="3">
        <f>COUNTIF(Evalucion!DI:DI,$E5)/DI$7</f>
        <v>0</v>
      </c>
      <c r="DJ5" s="3">
        <f>COUNTIF(Evalucion!DJ:DJ,$E5)/DJ$7</f>
        <v>0</v>
      </c>
      <c r="DK5" s="3">
        <f>COUNTIF(Evalucion!DK:DK,$E5)/DK$7</f>
        <v>0</v>
      </c>
      <c r="DL5" s="3">
        <f>COUNTIF(Evalucion!DL:DL,$E5)/DL$7</f>
        <v>0.08</v>
      </c>
      <c r="DM5" s="3">
        <f>COUNTIF(Evalucion!DM:DM,$E5)/DM$7</f>
        <v>0</v>
      </c>
      <c r="DN5" s="3">
        <f>COUNTIF(Evalucion!DN:DN,$E5)/DN$7</f>
        <v>0.24</v>
      </c>
      <c r="DO5" s="3">
        <f>COUNTIF(Evalucion!DO:DO,$E5)/DO$7</f>
        <v>0</v>
      </c>
      <c r="DP5" s="3">
        <f>COUNTIF(Evalucion!DP:DP,$E5)/DP$7</f>
        <v>0</v>
      </c>
      <c r="DQ5" s="3">
        <f>COUNTIF(Evalucion!DQ:DQ,$E5)/DQ$7</f>
        <v>0</v>
      </c>
      <c r="DR5" s="3">
        <f>COUNTIF(Evalucion!DR:DR,$E5)/DR$7</f>
        <v>0.56000000000000005</v>
      </c>
      <c r="DS5" s="3">
        <f>COUNTIF(Evalucion!DS:DS,$E5)/DS$7</f>
        <v>0</v>
      </c>
      <c r="DT5" s="3">
        <f>COUNTIF(Evalucion!DT:DT,$E5)/DT$7</f>
        <v>0.42</v>
      </c>
      <c r="DU5" s="3">
        <f>COUNTIF(Evalucion!DU:DU,$E5)/DU$7</f>
        <v>0</v>
      </c>
      <c r="DV5" s="3">
        <f>COUNTIF(Evalucion!DV:DV,$E5)/DV$7</f>
        <v>0.4</v>
      </c>
      <c r="DW5" s="3">
        <f>COUNTIF(Evalucion!DW:DW,$E5)/DW$7</f>
        <v>0</v>
      </c>
      <c r="DX5" s="3">
        <f>COUNTIF(Evalucion!DX:DX,$E5)/DX$7</f>
        <v>0.22</v>
      </c>
      <c r="DY5" s="3">
        <f>COUNTIF(Evalucion!DY:DY,$E5)/DY$7</f>
        <v>0</v>
      </c>
      <c r="DZ5" s="3">
        <f>COUNTIF(Evalucion!DZ:DZ,$E5)/DZ$7</f>
        <v>0.38</v>
      </c>
      <c r="EA5" s="3">
        <f>COUNTIF(Evalucion!EA:EA,$E5)/EA$7</f>
        <v>0</v>
      </c>
      <c r="EB5" s="3">
        <f>COUNTIF(Evalucion!EB:EB,$E5)/EB$7</f>
        <v>0</v>
      </c>
      <c r="EC5" s="3">
        <f>COUNTIF(Evalucion!EC:EC,$E5)/EC$7</f>
        <v>0</v>
      </c>
      <c r="ED5" s="3">
        <f>COUNTIF(Evalucion!ED:ED,$E5)/ED$7</f>
        <v>0.6</v>
      </c>
      <c r="EE5" s="3">
        <f>COUNTIF(Evalucion!EE:EE,$E5)/EE$7</f>
        <v>0</v>
      </c>
      <c r="EF5" s="3">
        <f>COUNTIF(Evalucion!EF:EF,$E5)/EF$7</f>
        <v>0</v>
      </c>
      <c r="EG5" s="3">
        <f>COUNTIF(Evalucion!EG:EG,$E5)/EG$7</f>
        <v>0</v>
      </c>
      <c r="EH5" s="3">
        <f>COUNTIF(Evalucion!EH:EH,$E5)/EH$7</f>
        <v>0.14000000000000001</v>
      </c>
      <c r="EI5" s="3">
        <f>COUNTIF(Evalucion!EI:EI,$E5)/EI$7</f>
        <v>0</v>
      </c>
      <c r="EJ5" s="3">
        <f>COUNTIF(Evalucion!EJ:EJ,$E5)/EJ$7</f>
        <v>0.04</v>
      </c>
      <c r="EK5" s="3">
        <f>COUNTIF(Evalucion!EK:EK,$E5)/EK$7</f>
        <v>0</v>
      </c>
      <c r="EL5" s="3">
        <f>COUNTIF(Evalucion!EL:EL,$E5)/EL$7</f>
        <v>0.12</v>
      </c>
      <c r="EM5" s="3">
        <f>COUNTIF(Evalucion!EM:EM,$E5)/EM$7</f>
        <v>0</v>
      </c>
      <c r="EN5" s="3">
        <f>COUNTIF(Evalucion!EN:EN,$E5)/EN$7</f>
        <v>0.12</v>
      </c>
      <c r="EO5" s="3">
        <f>COUNTIF(Evalucion!EO:EO,$E5)/EO$7</f>
        <v>0</v>
      </c>
      <c r="EP5" s="3">
        <f>COUNTIF(Evalucion!EP:EP,$E5)/EP$7</f>
        <v>0.06</v>
      </c>
      <c r="EQ5" s="3">
        <f>COUNTIF(Evalucion!EQ:EQ,$E5)/EQ$7</f>
        <v>0</v>
      </c>
      <c r="ER5" s="3">
        <f>COUNTIF(Evalucion!ER:ER,$E5)/ER$7</f>
        <v>0</v>
      </c>
      <c r="ES5" s="3">
        <f>COUNTIF(Evalucion!ES:ES,$E5)/ES$7</f>
        <v>0</v>
      </c>
      <c r="ET5" s="3">
        <f>COUNTIF(Evalucion!ET:ET,$E5)/ET$7</f>
        <v>0</v>
      </c>
      <c r="EU5" s="3">
        <f>COUNTIF(Evalucion!EU:EU,$E5)/EU$7</f>
        <v>0</v>
      </c>
      <c r="EV5" s="3">
        <f>COUNTIF(Evalucion!EV:EV,$E5)/EV$7</f>
        <v>0.34</v>
      </c>
      <c r="EW5" s="3">
        <f>COUNTIF(Evalucion!EW:EW,$E5)/EW$7</f>
        <v>0</v>
      </c>
      <c r="EX5" s="3">
        <f>COUNTIF(Evalucion!EX:EX,$E5)/EX$7</f>
        <v>0</v>
      </c>
      <c r="EY5" s="3">
        <f>COUNTIF(Evalucion!EY:EY,$E5)/EY$7</f>
        <v>0</v>
      </c>
      <c r="EZ5" s="3">
        <f>COUNTIF(Evalucion!EZ:EZ,$E5)/EZ$7</f>
        <v>0.7</v>
      </c>
    </row>
    <row r="6" spans="1:156" x14ac:dyDescent="0.2">
      <c r="E6" t="s">
        <v>147</v>
      </c>
      <c r="F6" s="3">
        <f>COUNTIF(Evalucion!F:F,$E6)/F$7</f>
        <v>0</v>
      </c>
      <c r="G6" s="3">
        <f>COUNTIF(Evalucion!G:G,$E6)/G$7</f>
        <v>0.12</v>
      </c>
      <c r="H6" s="3">
        <f>COUNTIF(Evalucion!H:H,$E6)/H$7</f>
        <v>0</v>
      </c>
      <c r="I6" s="3">
        <f>COUNTIF(Evalucion!I:I,$E6)/I$7</f>
        <v>0.56000000000000005</v>
      </c>
      <c r="J6" s="3">
        <f>COUNTIF(Evalucion!J:J,$E6)/J$7</f>
        <v>0</v>
      </c>
      <c r="K6" s="3">
        <f>COUNTIF(Evalucion!K:K,$E6)/K$7</f>
        <v>0.5</v>
      </c>
      <c r="L6" s="3">
        <f>COUNTIF(Evalucion!L:L,$E6)/L$7</f>
        <v>0</v>
      </c>
      <c r="M6" s="3">
        <f>COUNTIF(Evalucion!M:M,$E6)/M$7</f>
        <v>0</v>
      </c>
      <c r="N6" s="3">
        <f>COUNTIF(Evalucion!N:N,$E6)/N$7</f>
        <v>0</v>
      </c>
      <c r="O6" s="3">
        <f>COUNTIF(Evalucion!O:O,$E6)/O$7</f>
        <v>0</v>
      </c>
      <c r="P6" s="3">
        <f>COUNTIF(Evalucion!P:P,$E6)/P$7</f>
        <v>0</v>
      </c>
      <c r="Q6" s="3">
        <f>COUNTIF(Evalucion!Q:Q,$E6)/Q$7</f>
        <v>0.34</v>
      </c>
      <c r="R6" s="3">
        <f>COUNTIF(Evalucion!R:R,$E6)/R$7</f>
        <v>0</v>
      </c>
      <c r="S6" s="3">
        <f>COUNTIF(Evalucion!S:S,$E6)/S$7</f>
        <v>0.2</v>
      </c>
      <c r="T6" s="3">
        <f>COUNTIF(Evalucion!T:T,$E6)/T$7</f>
        <v>0</v>
      </c>
      <c r="U6" s="3">
        <f>COUNTIF(Evalucion!U:U,$E6)/U$7</f>
        <v>0.36</v>
      </c>
      <c r="V6" s="3">
        <f>COUNTIF(Evalucion!V:V,$E6)/V$7</f>
        <v>0</v>
      </c>
      <c r="W6" s="3">
        <f>COUNTIF(Evalucion!W:W,$E6)/W$7</f>
        <v>0.34</v>
      </c>
      <c r="X6" s="3">
        <f>COUNTIF(Evalucion!X:X,$E6)/X$7</f>
        <v>0</v>
      </c>
      <c r="Y6" s="3">
        <f>COUNTIF(Evalucion!Y:Y,$E6)/Y$7</f>
        <v>0.36</v>
      </c>
      <c r="Z6" s="3">
        <f>COUNTIF(Evalucion!Z:Z,$E6)/Z$7</f>
        <v>0</v>
      </c>
      <c r="AA6" s="3">
        <f>COUNTIF(Evalucion!AA:AA,$E6)/AA$7</f>
        <v>0.34</v>
      </c>
      <c r="AB6" s="3">
        <f>COUNTIF(Evalucion!AB:AB,$E6)/AB$7</f>
        <v>0</v>
      </c>
      <c r="AC6" s="3">
        <f>COUNTIF(Evalucion!AC:AC,$E6)/AC$7</f>
        <v>0.36</v>
      </c>
      <c r="AD6" s="3">
        <f>COUNTIF(Evalucion!AD:AD,$E6)/AD$7</f>
        <v>0</v>
      </c>
      <c r="AE6" s="3">
        <f>COUNTIF(Evalucion!AE:AE,$E6)/AE$7</f>
        <v>0.16</v>
      </c>
      <c r="AF6" s="3">
        <f>COUNTIF(Evalucion!AF:AF,$E6)/AF$7</f>
        <v>0</v>
      </c>
      <c r="AG6" s="3">
        <f>COUNTIF(Evalucion!AG:AG,$E6)/AG$7</f>
        <v>0.2</v>
      </c>
      <c r="AH6" s="3" t="e">
        <f>COUNTIF(Evalucion!AH:AH,$E6)/AH$7</f>
        <v>#DIV/0!</v>
      </c>
      <c r="AI6" s="3" t="e">
        <f>COUNTIF(Evalucion!AI:AI,$E6)/AI$7</f>
        <v>#DIV/0!</v>
      </c>
      <c r="AJ6" s="3" t="e">
        <f>COUNTIF(Evalucion!AJ:AJ,$E6)/AJ$7</f>
        <v>#DIV/0!</v>
      </c>
      <c r="AK6" s="3" t="e">
        <f>COUNTIF(Evalucion!AK:AK,$E6)/AK$7</f>
        <v>#DIV/0!</v>
      </c>
      <c r="AL6" s="3" t="e">
        <f>COUNTIF(Evalucion!AL:AL,$E6)/AL$7</f>
        <v>#DIV/0!</v>
      </c>
      <c r="AM6" s="3" t="e">
        <f>COUNTIF(Evalucion!AM:AM,$E6)/AM$7</f>
        <v>#DIV/0!</v>
      </c>
      <c r="AN6" s="3" t="e">
        <f>COUNTIF(Evalucion!AN:AN,$E6)/AN$7</f>
        <v>#DIV/0!</v>
      </c>
      <c r="AO6" s="3" t="e">
        <f>COUNTIF(Evalucion!AO:AO,$E6)/AO$7</f>
        <v>#DIV/0!</v>
      </c>
      <c r="AP6" s="3">
        <f>COUNTIF(Evalucion!AP:AP,$E6)/AP$7</f>
        <v>0</v>
      </c>
      <c r="AQ6" s="3">
        <f>COUNTIF(Evalucion!AQ:AQ,$E6)/AQ$7</f>
        <v>0</v>
      </c>
      <c r="AR6" s="3">
        <f>COUNTIF(Evalucion!AR:AR,$E6)/AR$7</f>
        <v>0</v>
      </c>
      <c r="AS6" s="3">
        <f>COUNTIF(Evalucion!AS:AS,$E6)/AS$7</f>
        <v>0.78</v>
      </c>
      <c r="AT6" s="3">
        <f>COUNTIF(Evalucion!AT:AT,$E6)/AT$7</f>
        <v>0</v>
      </c>
      <c r="AU6" s="3">
        <f>COUNTIF(Evalucion!AU:AU,$E6)/AU$7</f>
        <v>0.04</v>
      </c>
      <c r="AV6" s="3" t="e">
        <f>COUNTIF(Evalucion!AV:AV,$E6)/AV$7</f>
        <v>#DIV/0!</v>
      </c>
      <c r="AW6" s="3">
        <f>COUNTIF(Evalucion!AW:AW,$E6)/AW$7</f>
        <v>0</v>
      </c>
      <c r="AX6" s="3">
        <f>COUNTIF(Evalucion!AX:AX,$E6)/AX$7</f>
        <v>0.32</v>
      </c>
      <c r="AY6" s="3">
        <f>COUNTIF(Evalucion!AY:AY,$E6)/AY$7</f>
        <v>0</v>
      </c>
      <c r="AZ6" s="3">
        <f>COUNTIF(Evalucion!AZ:AZ,$E6)/AZ$7</f>
        <v>0.1</v>
      </c>
      <c r="BA6" s="3">
        <f>COUNTIF(Evalucion!BA:BA,$E6)/BA$7</f>
        <v>0</v>
      </c>
      <c r="BB6" s="3">
        <f>COUNTIF(Evalucion!BB:BB,$E6)/BB$7</f>
        <v>0</v>
      </c>
      <c r="BC6" s="3">
        <f>COUNTIF(Evalucion!BC:BC,$E6)/BC$7</f>
        <v>0</v>
      </c>
      <c r="BD6" s="3">
        <f>COUNTIF(Evalucion!BD:BD,$E6)/BD$7</f>
        <v>0.72</v>
      </c>
      <c r="BE6" s="3">
        <f>COUNTIF(Evalucion!BE:BE,$E6)/BE$7</f>
        <v>0</v>
      </c>
      <c r="BF6" s="3">
        <f>COUNTIF(Evalucion!BF:BF,$E6)/BF$7</f>
        <v>0.62</v>
      </c>
      <c r="BG6" s="3">
        <f>COUNTIF(Evalucion!BG:BG,$E6)/BG$7</f>
        <v>0</v>
      </c>
      <c r="BH6" s="3">
        <f>COUNTIF(Evalucion!BH:BH,$E6)/BH$7</f>
        <v>0</v>
      </c>
      <c r="BI6" s="3">
        <f>COUNTIF(Evalucion!BI:BI,$E6)/BI$7</f>
        <v>0</v>
      </c>
      <c r="BJ6" s="3">
        <f>COUNTIF(Evalucion!BJ:BJ,$E6)/BJ$7</f>
        <v>0.28000000000000003</v>
      </c>
      <c r="BK6" s="3">
        <f>COUNTIF(Evalucion!BK:BK,$E6)/BK$7</f>
        <v>0</v>
      </c>
      <c r="BL6" s="3">
        <f>COUNTIF(Evalucion!BL:BL,$E6)/BL$7</f>
        <v>0.4</v>
      </c>
      <c r="BM6" s="3">
        <f>COUNTIF(Evalucion!BM:BM,$E6)/BM$7</f>
        <v>0</v>
      </c>
      <c r="BN6" s="3">
        <f>COUNTIF(Evalucion!BN:BN,$E6)/BN$7</f>
        <v>0.4</v>
      </c>
      <c r="BO6" s="3">
        <f>COUNTIF(Evalucion!BO:BO,$E6)/BO$7</f>
        <v>0</v>
      </c>
      <c r="BP6" s="3">
        <f>COUNTIF(Evalucion!BP:BP,$E6)/BP$7</f>
        <v>0.1</v>
      </c>
      <c r="BQ6" s="3">
        <f>COUNTIF(Evalucion!BQ:BQ,$E6)/BQ$7</f>
        <v>0</v>
      </c>
      <c r="BR6" s="3">
        <f>COUNTIF(Evalucion!BR:BR,$E6)/BR$7</f>
        <v>0.42</v>
      </c>
      <c r="BS6" s="3">
        <f>COUNTIF(Evalucion!BS:BS,$E6)/BS$7</f>
        <v>0</v>
      </c>
      <c r="BT6" s="3">
        <f>COUNTIF(Evalucion!BT:BT,$E6)/BT$7</f>
        <v>0.52</v>
      </c>
      <c r="BU6" s="3">
        <f>COUNTIF(Evalucion!BU:BU,$E6)/BU$7</f>
        <v>0</v>
      </c>
      <c r="BV6" s="3">
        <f>COUNTIF(Evalucion!BV:BV,$E6)/BV$7</f>
        <v>0.3</v>
      </c>
      <c r="BW6" s="3">
        <f>COUNTIF(Evalucion!BW:BW,$E6)/BW$7</f>
        <v>0</v>
      </c>
      <c r="BX6" s="3">
        <f>COUNTIF(Evalucion!BX:BX,$E6)/BX$7</f>
        <v>0</v>
      </c>
      <c r="BY6" s="3">
        <f>COUNTIF(Evalucion!BY:BY,$E6)/BY$7</f>
        <v>0</v>
      </c>
      <c r="BZ6" s="3">
        <f>COUNTIF(Evalucion!BZ:BZ,$E6)/BZ$7</f>
        <v>0.3</v>
      </c>
      <c r="CA6" s="3">
        <f>COUNTIF(Evalucion!CA:CA,$E6)/CA$7</f>
        <v>0</v>
      </c>
      <c r="CB6" s="3">
        <f>COUNTIF(Evalucion!CB:CB,$E6)/CB$7</f>
        <v>0.36</v>
      </c>
      <c r="CC6" s="3">
        <f>COUNTIF(Evalucion!CC:CC,$E6)/CC$7</f>
        <v>0</v>
      </c>
      <c r="CD6" s="3">
        <f>COUNTIF(Evalucion!CD:CD,$E6)/CD$7</f>
        <v>0</v>
      </c>
      <c r="CE6" s="3">
        <f>COUNTIF(Evalucion!CE:CE,$E6)/CE$7</f>
        <v>0</v>
      </c>
      <c r="CF6" s="3">
        <f>COUNTIF(Evalucion!CF:CF,$E6)/CF$7</f>
        <v>0.2</v>
      </c>
      <c r="CG6" s="3">
        <f>COUNTIF(Evalucion!CG:CG,$E6)/CG$7</f>
        <v>0</v>
      </c>
      <c r="CH6" s="3">
        <f>COUNTIF(Evalucion!CH:CH,$E6)/CH$7</f>
        <v>0.6</v>
      </c>
      <c r="CI6" s="3">
        <f>COUNTIF(Evalucion!CI:CI,$E6)/CI$7</f>
        <v>0</v>
      </c>
      <c r="CJ6" s="3">
        <f>COUNTIF(Evalucion!CJ:CJ,$E6)/CJ$7</f>
        <v>0.22</v>
      </c>
      <c r="CK6" s="3">
        <f>COUNTIF(Evalucion!CK:CK,$E6)/CK$7</f>
        <v>0</v>
      </c>
      <c r="CL6" s="3">
        <f>COUNTIF(Evalucion!CL:CL,$E6)/CL$7</f>
        <v>0.1</v>
      </c>
      <c r="CM6" s="3">
        <f>COUNTIF(Evalucion!CM:CM,$E6)/CM$7</f>
        <v>0</v>
      </c>
      <c r="CN6" s="3">
        <f>COUNTIF(Evalucion!CN:CN,$E6)/CN$7</f>
        <v>0</v>
      </c>
      <c r="CO6" s="3">
        <f>COUNTIF(Evalucion!CO:CO,$E6)/CO$7</f>
        <v>0</v>
      </c>
      <c r="CP6" s="3">
        <f>COUNTIF(Evalucion!CP:CP,$E6)/CP$7</f>
        <v>0</v>
      </c>
      <c r="CQ6" s="3">
        <f>COUNTIF(Evalucion!CQ:CQ,$E6)/CQ$7</f>
        <v>0</v>
      </c>
      <c r="CR6" s="3">
        <f>COUNTIF(Evalucion!CR:CR,$E6)/CR$7</f>
        <v>0.48</v>
      </c>
      <c r="CS6" s="3">
        <f>COUNTIF(Evalucion!CS:CS,$E6)/CS$7</f>
        <v>0</v>
      </c>
      <c r="CT6" s="3">
        <f>COUNTIF(Evalucion!CT:CT,$E6)/CT$7</f>
        <v>0.28000000000000003</v>
      </c>
      <c r="CU6" s="3">
        <f>COUNTIF(Evalucion!CU:CU,$E6)/CU$7</f>
        <v>0</v>
      </c>
      <c r="CV6" s="3">
        <f>COUNTIF(Evalucion!CV:CV,$E6)/CV$7</f>
        <v>0.4</v>
      </c>
      <c r="CW6" s="3">
        <f>COUNTIF(Evalucion!CW:CW,$E6)/CW$7</f>
        <v>0</v>
      </c>
      <c r="CX6" s="3">
        <f>COUNTIF(Evalucion!CX:CX,$E6)/CX$7</f>
        <v>0.1</v>
      </c>
      <c r="CY6" s="3">
        <f>COUNTIF(Evalucion!CY:CY,$E6)/CY$7</f>
        <v>0</v>
      </c>
      <c r="CZ6" s="3">
        <f>COUNTIF(Evalucion!CZ:CZ,$E6)/CZ$7</f>
        <v>0.1</v>
      </c>
      <c r="DA6" s="3">
        <f>COUNTIF(Evalucion!DA:DA,$E6)/DA$7</f>
        <v>0</v>
      </c>
      <c r="DB6" s="3">
        <f>COUNTIF(Evalucion!DB:DB,$E6)/DB$7</f>
        <v>0.16</v>
      </c>
      <c r="DC6" s="3">
        <f>COUNTIF(Evalucion!DC:DC,$E6)/DC$7</f>
        <v>0</v>
      </c>
      <c r="DD6" s="3">
        <f>COUNTIF(Evalucion!DD:DD,$E6)/DD$7</f>
        <v>0.1</v>
      </c>
      <c r="DE6" s="3">
        <f>COUNTIF(Evalucion!DE:DE,$E6)/DE$7</f>
        <v>0</v>
      </c>
      <c r="DF6" s="3">
        <f>COUNTIF(Evalucion!DF:DF,$E6)/DF$7</f>
        <v>0.76</v>
      </c>
      <c r="DG6" s="3">
        <f>COUNTIF(Evalucion!DG:DG,$E6)/DG$7</f>
        <v>0</v>
      </c>
      <c r="DH6" s="3">
        <f>COUNTIF(Evalucion!DH:DH,$E6)/DH$7</f>
        <v>0.02</v>
      </c>
      <c r="DI6" s="3">
        <f>COUNTIF(Evalucion!DI:DI,$E6)/DI$7</f>
        <v>0</v>
      </c>
      <c r="DJ6" s="3">
        <f>COUNTIF(Evalucion!DJ:DJ,$E6)/DJ$7</f>
        <v>0.74</v>
      </c>
      <c r="DK6" s="3">
        <f>COUNTIF(Evalucion!DK:DK,$E6)/DK$7</f>
        <v>0</v>
      </c>
      <c r="DL6" s="3">
        <f>COUNTIF(Evalucion!DL:DL,$E6)/DL$7</f>
        <v>0.68</v>
      </c>
      <c r="DM6" s="3">
        <f>COUNTIF(Evalucion!DM:DM,$E6)/DM$7</f>
        <v>0</v>
      </c>
      <c r="DN6" s="3">
        <f>COUNTIF(Evalucion!DN:DN,$E6)/DN$7</f>
        <v>0.5</v>
      </c>
      <c r="DO6" s="3">
        <f>COUNTIF(Evalucion!DO:DO,$E6)/DO$7</f>
        <v>0</v>
      </c>
      <c r="DP6" s="3">
        <f>COUNTIF(Evalucion!DP:DP,$E6)/DP$7</f>
        <v>0.42</v>
      </c>
      <c r="DQ6" s="3">
        <f>COUNTIF(Evalucion!DQ:DQ,$E6)/DQ$7</f>
        <v>0</v>
      </c>
      <c r="DR6" s="3">
        <f>COUNTIF(Evalucion!DR:DR,$E6)/DR$7</f>
        <v>0.26</v>
      </c>
      <c r="DS6" s="3">
        <f>COUNTIF(Evalucion!DS:DS,$E6)/DS$7</f>
        <v>0</v>
      </c>
      <c r="DT6" s="3">
        <f>COUNTIF(Evalucion!DT:DT,$E6)/DT$7</f>
        <v>0.46</v>
      </c>
      <c r="DU6" s="3">
        <f>COUNTIF(Evalucion!DU:DU,$E6)/DU$7</f>
        <v>0</v>
      </c>
      <c r="DV6" s="3">
        <f>COUNTIF(Evalucion!DV:DV,$E6)/DV$7</f>
        <v>0.26</v>
      </c>
      <c r="DW6" s="3">
        <f>COUNTIF(Evalucion!DW:DW,$E6)/DW$7</f>
        <v>0</v>
      </c>
      <c r="DX6" s="3">
        <f>COUNTIF(Evalucion!DX:DX,$E6)/DX$7</f>
        <v>0.46</v>
      </c>
      <c r="DY6" s="3">
        <f>COUNTIF(Evalucion!DY:DY,$E6)/DY$7</f>
        <v>0</v>
      </c>
      <c r="DZ6" s="3">
        <f>COUNTIF(Evalucion!DZ:DZ,$E6)/DZ$7</f>
        <v>0.48</v>
      </c>
      <c r="EA6" s="3">
        <f>COUNTIF(Evalucion!EA:EA,$E6)/EA$7</f>
        <v>0</v>
      </c>
      <c r="EB6" s="3">
        <f>COUNTIF(Evalucion!EB:EB,$E6)/EB$7</f>
        <v>0.2</v>
      </c>
      <c r="EC6" s="3">
        <f>COUNTIF(Evalucion!EC:EC,$E6)/EC$7</f>
        <v>0</v>
      </c>
      <c r="ED6" s="3">
        <f>COUNTIF(Evalucion!ED:ED,$E6)/ED$7</f>
        <v>0.2</v>
      </c>
      <c r="EE6" s="3">
        <f>COUNTIF(Evalucion!EE:EE,$E6)/EE$7</f>
        <v>0</v>
      </c>
      <c r="EF6" s="3">
        <f>COUNTIF(Evalucion!EF:EF,$E6)/EF$7</f>
        <v>0.4</v>
      </c>
      <c r="EG6" s="3">
        <f>COUNTIF(Evalucion!EG:EG,$E6)/EG$7</f>
        <v>0</v>
      </c>
      <c r="EH6" s="3">
        <f>COUNTIF(Evalucion!EH:EH,$E6)/EH$7</f>
        <v>0.18</v>
      </c>
      <c r="EI6" s="3">
        <f>COUNTIF(Evalucion!EI:EI,$E6)/EI$7</f>
        <v>0</v>
      </c>
      <c r="EJ6" s="3">
        <f>COUNTIF(Evalucion!EJ:EJ,$E6)/EJ$7</f>
        <v>0.48</v>
      </c>
      <c r="EK6" s="3">
        <f>COUNTIF(Evalucion!EK:EK,$E6)/EK$7</f>
        <v>0</v>
      </c>
      <c r="EL6" s="3">
        <f>COUNTIF(Evalucion!EL:EL,$E6)/EL$7</f>
        <v>0.4</v>
      </c>
      <c r="EM6" s="3">
        <f>COUNTIF(Evalucion!EM:EM,$E6)/EM$7</f>
        <v>0</v>
      </c>
      <c r="EN6" s="3">
        <f>COUNTIF(Evalucion!EN:EN,$E6)/EN$7</f>
        <v>0.2</v>
      </c>
      <c r="EO6" s="3">
        <f>COUNTIF(Evalucion!EO:EO,$E6)/EO$7</f>
        <v>0</v>
      </c>
      <c r="EP6" s="3">
        <f>COUNTIF(Evalucion!EP:EP,$E6)/EP$7</f>
        <v>0.46</v>
      </c>
      <c r="EQ6" s="3">
        <f>COUNTIF(Evalucion!EQ:EQ,$E6)/EQ$7</f>
        <v>0</v>
      </c>
      <c r="ER6" s="3">
        <f>COUNTIF(Evalucion!ER:ER,$E6)/ER$7</f>
        <v>0.52</v>
      </c>
      <c r="ES6" s="3">
        <f>COUNTIF(Evalucion!ES:ES,$E6)/ES$7</f>
        <v>0</v>
      </c>
      <c r="ET6" s="3">
        <f>COUNTIF(Evalucion!ET:ET,$E6)/ET$7</f>
        <v>0.2</v>
      </c>
      <c r="EU6" s="3">
        <f>COUNTIF(Evalucion!EU:EU,$E6)/EU$7</f>
        <v>0</v>
      </c>
      <c r="EV6" s="3">
        <f>COUNTIF(Evalucion!EV:EV,$E6)/EV$7</f>
        <v>0.64</v>
      </c>
      <c r="EW6" s="3">
        <f>COUNTIF(Evalucion!EW:EW,$E6)/EW$7</f>
        <v>0</v>
      </c>
      <c r="EX6" s="3">
        <f>COUNTIF(Evalucion!EX:EX,$E6)/EX$7</f>
        <v>0</v>
      </c>
      <c r="EY6" s="3">
        <f>COUNTIF(Evalucion!EY:EY,$E6)/EY$7</f>
        <v>0</v>
      </c>
      <c r="EZ6" s="3">
        <f>COUNTIF(Evalucion!EZ:EZ,$E6)/EZ$7</f>
        <v>0.2</v>
      </c>
    </row>
    <row r="7" spans="1:156" x14ac:dyDescent="0.2">
      <c r="F7" s="3">
        <f>COUNTIF(Evalucion!F:F,$E3)+COUNTIF(Evalucion!F:F,$E2)+COUNTIF(Evalucion!F:F,$E4)+COUNTIF(Evalucion!F:F,$E5)+COUNTIF(Evalucion!F:F,$E6)</f>
        <v>50</v>
      </c>
      <c r="G7" s="3">
        <f>COUNTIF(Evalucion!G:G,$E3)+COUNTIF(Evalucion!G:G,$E2)+COUNTIF(Evalucion!G:G,$E4)+COUNTIF(Evalucion!G:G,$E5)+COUNTIF(Evalucion!G:G,$E6)</f>
        <v>50</v>
      </c>
      <c r="H7" s="3">
        <f>COUNTIF(Evalucion!H:H,$E3)+COUNTIF(Evalucion!H:H,$E2)+COUNTIF(Evalucion!H:H,$E4)+COUNTIF(Evalucion!H:H,$E5)+COUNTIF(Evalucion!H:H,$E6)</f>
        <v>50</v>
      </c>
      <c r="I7" s="3">
        <f>COUNTIF(Evalucion!I:I,$E3)+COUNTIF(Evalucion!I:I,$E2)+COUNTIF(Evalucion!I:I,$E4)+COUNTIF(Evalucion!I:I,$E5)+COUNTIF(Evalucion!I:I,$E6)</f>
        <v>50</v>
      </c>
      <c r="J7" s="3">
        <f>COUNTIF(Evalucion!J:J,$E3)+COUNTIF(Evalucion!J:J,$E2)+COUNTIF(Evalucion!J:J,$E4)+COUNTIF(Evalucion!J:J,$E5)+COUNTIF(Evalucion!J:J,$E6)</f>
        <v>50</v>
      </c>
      <c r="K7" s="3">
        <f>COUNTIF(Evalucion!K:K,$E3)+COUNTIF(Evalucion!K:K,$E2)+COUNTIF(Evalucion!K:K,$E4)+COUNTIF(Evalucion!K:K,$E5)+COUNTIF(Evalucion!K:K,$E6)</f>
        <v>50</v>
      </c>
      <c r="L7" s="3">
        <f>COUNTIF(Evalucion!L:L,$E3)+COUNTIF(Evalucion!L:L,$E2)+COUNTIF(Evalucion!L:L,$E4)+COUNTIF(Evalucion!L:L,$E5)+COUNTIF(Evalucion!L:L,$E6)</f>
        <v>50</v>
      </c>
      <c r="M7" s="3">
        <f>COUNTIF(Evalucion!M:M,$E3)+COUNTIF(Evalucion!M:M,$E2)+COUNTIF(Evalucion!M:M,$E4)+COUNTIF(Evalucion!M:M,$E5)+COUNTIF(Evalucion!M:M,$E6)</f>
        <v>50</v>
      </c>
      <c r="N7" s="3">
        <f>COUNTIF(Evalucion!N:N,$E3)+COUNTIF(Evalucion!N:N,$E2)+COUNTIF(Evalucion!N:N,$E4)+COUNTIF(Evalucion!N:N,$E5)+COUNTIF(Evalucion!N:N,$E6)</f>
        <v>50</v>
      </c>
      <c r="O7" s="3">
        <f>COUNTIF(Evalucion!O:O,$E3)+COUNTIF(Evalucion!O:O,$E2)+COUNTIF(Evalucion!O:O,$E4)+COUNTIF(Evalucion!O:O,$E5)+COUNTIF(Evalucion!O:O,$E6)</f>
        <v>50</v>
      </c>
      <c r="P7" s="3">
        <f>COUNTIF(Evalucion!P:P,$E3)+COUNTIF(Evalucion!P:P,$E2)+COUNTIF(Evalucion!P:P,$E4)+COUNTIF(Evalucion!P:P,$E5)+COUNTIF(Evalucion!P:P,$E6)</f>
        <v>50</v>
      </c>
      <c r="Q7" s="3">
        <f>COUNTIF(Evalucion!Q:Q,$E3)+COUNTIF(Evalucion!Q:Q,$E2)+COUNTIF(Evalucion!Q:Q,$E4)+COUNTIF(Evalucion!Q:Q,$E5)+COUNTIF(Evalucion!Q:Q,$E6)</f>
        <v>50</v>
      </c>
      <c r="R7" s="3">
        <f>COUNTIF(Evalucion!R:R,$E3)+COUNTIF(Evalucion!R:R,$E2)+COUNTIF(Evalucion!R:R,$E4)+COUNTIF(Evalucion!R:R,$E5)+COUNTIF(Evalucion!R:R,$E6)</f>
        <v>50</v>
      </c>
      <c r="S7" s="3">
        <f>COUNTIF(Evalucion!S:S,$E3)+COUNTIF(Evalucion!S:S,$E2)+COUNTIF(Evalucion!S:S,$E4)+COUNTIF(Evalucion!S:S,$E5)+COUNTIF(Evalucion!S:S,$E6)</f>
        <v>50</v>
      </c>
      <c r="T7" s="3">
        <f>COUNTIF(Evalucion!T:T,$E3)+COUNTIF(Evalucion!T:T,$E2)+COUNTIF(Evalucion!T:T,$E4)+COUNTIF(Evalucion!T:T,$E5)+COUNTIF(Evalucion!T:T,$E6)</f>
        <v>50</v>
      </c>
      <c r="U7" s="3">
        <f>COUNTIF(Evalucion!U:U,$E3)+COUNTIF(Evalucion!U:U,$E2)+COUNTIF(Evalucion!U:U,$E4)+COUNTIF(Evalucion!U:U,$E5)+COUNTIF(Evalucion!U:U,$E6)</f>
        <v>50</v>
      </c>
      <c r="V7" s="3">
        <f>COUNTIF(Evalucion!V:V,$E3)+COUNTIF(Evalucion!V:V,$E2)+COUNTIF(Evalucion!V:V,$E4)+COUNTIF(Evalucion!V:V,$E5)+COUNTIF(Evalucion!V:V,$E6)</f>
        <v>50</v>
      </c>
      <c r="W7" s="3">
        <f>COUNTIF(Evalucion!W:W,$E3)+COUNTIF(Evalucion!W:W,$E2)+COUNTIF(Evalucion!W:W,$E4)+COUNTIF(Evalucion!W:W,$E5)+COUNTIF(Evalucion!W:W,$E6)</f>
        <v>50</v>
      </c>
      <c r="X7" s="3">
        <f>COUNTIF(Evalucion!X:X,$E3)+COUNTIF(Evalucion!X:X,$E2)+COUNTIF(Evalucion!X:X,$E4)+COUNTIF(Evalucion!X:X,$E5)+COUNTIF(Evalucion!X:X,$E6)</f>
        <v>50</v>
      </c>
      <c r="Y7" s="3">
        <f>COUNTIF(Evalucion!Y:Y,$E3)+COUNTIF(Evalucion!Y:Y,$E2)+COUNTIF(Evalucion!Y:Y,$E4)+COUNTIF(Evalucion!Y:Y,$E5)+COUNTIF(Evalucion!Y:Y,$E6)</f>
        <v>50</v>
      </c>
      <c r="Z7" s="3">
        <f>COUNTIF(Evalucion!Z:Z,$E3)+COUNTIF(Evalucion!Z:Z,$E2)+COUNTIF(Evalucion!Z:Z,$E4)+COUNTIF(Evalucion!Z:Z,$E5)+COUNTIF(Evalucion!Z:Z,$E6)</f>
        <v>50</v>
      </c>
      <c r="AA7" s="3">
        <f>COUNTIF(Evalucion!AA:AA,$E3)+COUNTIF(Evalucion!AA:AA,$E2)+COUNTIF(Evalucion!AA:AA,$E4)+COUNTIF(Evalucion!AA:AA,$E5)+COUNTIF(Evalucion!AA:AA,$E6)</f>
        <v>50</v>
      </c>
      <c r="AB7" s="3">
        <f>COUNTIF(Evalucion!AB:AB,$E3)+COUNTIF(Evalucion!AB:AB,$E2)+COUNTIF(Evalucion!AB:AB,$E4)+COUNTIF(Evalucion!AB:AB,$E5)+COUNTIF(Evalucion!AB:AB,$E6)</f>
        <v>50</v>
      </c>
      <c r="AC7" s="3">
        <f>COUNTIF(Evalucion!AC:AC,$E3)+COUNTIF(Evalucion!AC:AC,$E2)+COUNTIF(Evalucion!AC:AC,$E4)+COUNTIF(Evalucion!AC:AC,$E5)+COUNTIF(Evalucion!AC:AC,$E6)</f>
        <v>50</v>
      </c>
      <c r="AD7" s="3">
        <f>COUNTIF(Evalucion!AD:AD,$E3)+COUNTIF(Evalucion!AD:AD,$E2)+COUNTIF(Evalucion!AD:AD,$E4)+COUNTIF(Evalucion!AD:AD,$E5)+COUNTIF(Evalucion!AD:AD,$E6)</f>
        <v>50</v>
      </c>
      <c r="AE7" s="3">
        <f>COUNTIF(Evalucion!AE:AE,$E3)+COUNTIF(Evalucion!AE:AE,$E2)+COUNTIF(Evalucion!AE:AE,$E4)+COUNTIF(Evalucion!AE:AE,$E5)+COUNTIF(Evalucion!AE:AE,$E6)</f>
        <v>50</v>
      </c>
      <c r="AF7" s="3">
        <f>COUNTIF(Evalucion!AF:AF,$E3)+COUNTIF(Evalucion!AF:AF,$E2)+COUNTIF(Evalucion!AF:AF,$E4)+COUNTIF(Evalucion!AF:AF,$E5)+COUNTIF(Evalucion!AF:AF,$E6)</f>
        <v>50</v>
      </c>
      <c r="AG7" s="3">
        <f>COUNTIF(Evalucion!AG:AG,$E3)+COUNTIF(Evalucion!AG:AG,$E2)+COUNTIF(Evalucion!AG:AG,$E4)+COUNTIF(Evalucion!AG:AG,$E5)+COUNTIF(Evalucion!AG:AG,$E6)</f>
        <v>50</v>
      </c>
      <c r="AH7" s="3">
        <f>COUNTIF(Evalucion!AH:AH,$E3)+COUNTIF(Evalucion!AH:AH,$E2)+COUNTIF(Evalucion!AH:AH,$E4)+COUNTIF(Evalucion!AH:AH,$E5)+COUNTIF(Evalucion!AH:AH,$E6)</f>
        <v>0</v>
      </c>
      <c r="AI7" s="3">
        <f>COUNTIF(Evalucion!AI:AI,$E3)+COUNTIF(Evalucion!AI:AI,$E2)+COUNTIF(Evalucion!AI:AI,$E4)+COUNTIF(Evalucion!AI:AI,$E5)+COUNTIF(Evalucion!AI:AI,$E6)</f>
        <v>0</v>
      </c>
      <c r="AJ7" s="3">
        <f>COUNTIF(Evalucion!AJ:AJ,$E3)+COUNTIF(Evalucion!AJ:AJ,$E2)+COUNTIF(Evalucion!AJ:AJ,$E4)+COUNTIF(Evalucion!AJ:AJ,$E5)+COUNTIF(Evalucion!AJ:AJ,$E6)</f>
        <v>0</v>
      </c>
      <c r="AK7" s="3">
        <f>COUNTIF(Evalucion!AK:AK,$E3)+COUNTIF(Evalucion!AK:AK,$E2)+COUNTIF(Evalucion!AK:AK,$E4)+COUNTIF(Evalucion!AK:AK,$E5)+COUNTIF(Evalucion!AK:AK,$E6)</f>
        <v>0</v>
      </c>
      <c r="AL7" s="3">
        <f>COUNTIF(Evalucion!AL:AL,$E3)+COUNTIF(Evalucion!AL:AL,$E2)+COUNTIF(Evalucion!AL:AL,$E4)+COUNTIF(Evalucion!AL:AL,$E5)+COUNTIF(Evalucion!AL:AL,$E6)</f>
        <v>0</v>
      </c>
      <c r="AM7" s="3">
        <f>COUNTIF(Evalucion!AM:AM,$E3)+COUNTIF(Evalucion!AM:AM,$E2)+COUNTIF(Evalucion!AM:AM,$E4)+COUNTIF(Evalucion!AM:AM,$E5)+COUNTIF(Evalucion!AM:AM,$E6)</f>
        <v>0</v>
      </c>
      <c r="AN7" s="3">
        <f>COUNTIF(Evalucion!AN:AN,$E3)+COUNTIF(Evalucion!AN:AN,$E2)+COUNTIF(Evalucion!AN:AN,$E4)+COUNTIF(Evalucion!AN:AN,$E5)+COUNTIF(Evalucion!AN:AN,$E6)</f>
        <v>0</v>
      </c>
      <c r="AO7" s="3">
        <f>COUNTIF(Evalucion!AO:AO,$E3)+COUNTIF(Evalucion!AO:AO,$E2)+COUNTIF(Evalucion!AO:AO,$E4)+COUNTIF(Evalucion!AO:AO,$E5)+COUNTIF(Evalucion!AO:AO,$E6)</f>
        <v>0</v>
      </c>
      <c r="AP7" s="3">
        <f>COUNTIF(Evalucion!AP:AP,$E3)+COUNTIF(Evalucion!AP:AP,$E2)+COUNTIF(Evalucion!AP:AP,$E4)+COUNTIF(Evalucion!AP:AP,$E5)+COUNTIF(Evalucion!AP:AP,$E6)</f>
        <v>50</v>
      </c>
      <c r="AQ7" s="3">
        <f>COUNTIF(Evalucion!AQ:AQ,$E3)+COUNTIF(Evalucion!AQ:AQ,$E2)+COUNTIF(Evalucion!AQ:AQ,$E4)+COUNTIF(Evalucion!AQ:AQ,$E5)+COUNTIF(Evalucion!AQ:AQ,$E6)</f>
        <v>50</v>
      </c>
      <c r="AR7" s="3">
        <f>COUNTIF(Evalucion!AR:AR,$E3)+COUNTIF(Evalucion!AR:AR,$E2)+COUNTIF(Evalucion!AR:AR,$E4)+COUNTIF(Evalucion!AR:AR,$E5)+COUNTIF(Evalucion!AR:AR,$E6)</f>
        <v>50</v>
      </c>
      <c r="AS7" s="3">
        <f>COUNTIF(Evalucion!AS:AS,$E3)+COUNTIF(Evalucion!AS:AS,$E2)+COUNTIF(Evalucion!AS:AS,$E4)+COUNTIF(Evalucion!AS:AS,$E5)+COUNTIF(Evalucion!AS:AS,$E6)</f>
        <v>50</v>
      </c>
      <c r="AT7" s="3">
        <f>COUNTIF(Evalucion!AT:AT,$E3)+COUNTIF(Evalucion!AT:AT,$E2)+COUNTIF(Evalucion!AT:AT,$E4)+COUNTIF(Evalucion!AT:AT,$E5)+COUNTIF(Evalucion!AT:AT,$E6)</f>
        <v>50</v>
      </c>
      <c r="AU7" s="3">
        <f>COUNTIF(Evalucion!AU:AU,$E3)+COUNTIF(Evalucion!AU:AU,$E2)+COUNTIF(Evalucion!AU:AU,$E4)+COUNTIF(Evalucion!AU:AU,$E5)+COUNTIF(Evalucion!AU:AU,$E6)</f>
        <v>50</v>
      </c>
      <c r="AV7" s="3">
        <f>COUNTIF(Evalucion!AV:AV,$E3)+COUNTIF(Evalucion!AV:AV,$E2)+COUNTIF(Evalucion!AV:AV,$E4)+COUNTIF(Evalucion!AV:AV,$E5)+COUNTIF(Evalucion!AV:AV,$E6)</f>
        <v>0</v>
      </c>
      <c r="AW7" s="3">
        <f>COUNTIF(Evalucion!AW:AW,$E3)+COUNTIF(Evalucion!AW:AW,$E2)+COUNTIF(Evalucion!AW:AW,$E4)+COUNTIF(Evalucion!AW:AW,$E5)+COUNTIF(Evalucion!AW:AW,$E6)</f>
        <v>50</v>
      </c>
      <c r="AX7" s="3">
        <f>COUNTIF(Evalucion!AX:AX,$E3)+COUNTIF(Evalucion!AX:AX,$E2)+COUNTIF(Evalucion!AX:AX,$E4)+COUNTIF(Evalucion!AX:AX,$E5)+COUNTIF(Evalucion!AX:AX,$E6)</f>
        <v>50</v>
      </c>
      <c r="AY7" s="3">
        <f>COUNTIF(Evalucion!AY:AY,$E3)+COUNTIF(Evalucion!AY:AY,$E2)+COUNTIF(Evalucion!AY:AY,$E4)+COUNTIF(Evalucion!AY:AY,$E5)+COUNTIF(Evalucion!AY:AY,$E6)</f>
        <v>50</v>
      </c>
      <c r="AZ7" s="3">
        <f>COUNTIF(Evalucion!AZ:AZ,$E3)+COUNTIF(Evalucion!AZ:AZ,$E2)+COUNTIF(Evalucion!AZ:AZ,$E4)+COUNTIF(Evalucion!AZ:AZ,$E5)+COUNTIF(Evalucion!AZ:AZ,$E6)</f>
        <v>50</v>
      </c>
      <c r="BA7" s="3">
        <f>COUNTIF(Evalucion!BA:BA,$E3)+COUNTIF(Evalucion!BA:BA,$E2)+COUNTIF(Evalucion!BA:BA,$E4)+COUNTIF(Evalucion!BA:BA,$E5)+COUNTIF(Evalucion!BA:BA,$E6)</f>
        <v>50</v>
      </c>
      <c r="BB7" s="3">
        <f>COUNTIF(Evalucion!BB:BB,$E3)+COUNTIF(Evalucion!BB:BB,$E2)+COUNTIF(Evalucion!BB:BB,$E4)+COUNTIF(Evalucion!BB:BB,$E5)+COUNTIF(Evalucion!BB:BB,$E6)</f>
        <v>50</v>
      </c>
      <c r="BC7" s="3">
        <f>COUNTIF(Evalucion!BC:BC,$E3)+COUNTIF(Evalucion!BC:BC,$E2)+COUNTIF(Evalucion!BC:BC,$E4)+COUNTIF(Evalucion!BC:BC,$E5)+COUNTIF(Evalucion!BC:BC,$E6)</f>
        <v>50</v>
      </c>
      <c r="BD7" s="3">
        <f>COUNTIF(Evalucion!BD:BD,$E3)+COUNTIF(Evalucion!BD:BD,$E2)+COUNTIF(Evalucion!BD:BD,$E4)+COUNTIF(Evalucion!BD:BD,$E5)+COUNTIF(Evalucion!BD:BD,$E6)</f>
        <v>50</v>
      </c>
      <c r="BE7" s="3">
        <f>COUNTIF(Evalucion!BE:BE,$E3)+COUNTIF(Evalucion!BE:BE,$E2)+COUNTIF(Evalucion!BE:BE,$E4)+COUNTIF(Evalucion!BE:BE,$E5)+COUNTIF(Evalucion!BE:BE,$E6)</f>
        <v>50</v>
      </c>
      <c r="BF7" s="3">
        <f>COUNTIF(Evalucion!BF:BF,$E3)+COUNTIF(Evalucion!BF:BF,$E2)+COUNTIF(Evalucion!BF:BF,$E4)+COUNTIF(Evalucion!BF:BF,$E5)+COUNTIF(Evalucion!BF:BF,$E6)</f>
        <v>50</v>
      </c>
      <c r="BG7" s="3">
        <f>COUNTIF(Evalucion!BG:BG,$E3)+COUNTIF(Evalucion!BG:BG,$E2)+COUNTIF(Evalucion!BG:BG,$E4)+COUNTIF(Evalucion!BG:BG,$E5)+COUNTIF(Evalucion!BG:BG,$E6)</f>
        <v>50</v>
      </c>
      <c r="BH7" s="3">
        <f>COUNTIF(Evalucion!BH:BH,$E3)+COUNTIF(Evalucion!BH:BH,$E2)+COUNTIF(Evalucion!BH:BH,$E4)+COUNTIF(Evalucion!BH:BH,$E5)+COUNTIF(Evalucion!BH:BH,$E6)</f>
        <v>50</v>
      </c>
      <c r="BI7" s="3">
        <f>COUNTIF(Evalucion!BI:BI,$E3)+COUNTIF(Evalucion!BI:BI,$E2)+COUNTIF(Evalucion!BI:BI,$E4)+COUNTIF(Evalucion!BI:BI,$E5)+COUNTIF(Evalucion!BI:BI,$E6)</f>
        <v>50</v>
      </c>
      <c r="BJ7" s="3">
        <f>COUNTIF(Evalucion!BJ:BJ,$E3)+COUNTIF(Evalucion!BJ:BJ,$E2)+COUNTIF(Evalucion!BJ:BJ,$E4)+COUNTIF(Evalucion!BJ:BJ,$E5)+COUNTIF(Evalucion!BJ:BJ,$E6)</f>
        <v>50</v>
      </c>
      <c r="BK7" s="3">
        <f>COUNTIF(Evalucion!BK:BK,$E3)+COUNTIF(Evalucion!BK:BK,$E2)+COUNTIF(Evalucion!BK:BK,$E4)+COUNTIF(Evalucion!BK:BK,$E5)+COUNTIF(Evalucion!BK:BK,$E6)</f>
        <v>50</v>
      </c>
      <c r="BL7" s="3">
        <f>COUNTIF(Evalucion!BL:BL,$E3)+COUNTIF(Evalucion!BL:BL,$E2)+COUNTIF(Evalucion!BL:BL,$E4)+COUNTIF(Evalucion!BL:BL,$E5)+COUNTIF(Evalucion!BL:BL,$E6)</f>
        <v>50</v>
      </c>
      <c r="BM7" s="3">
        <f>COUNTIF(Evalucion!BM:BM,$E3)+COUNTIF(Evalucion!BM:BM,$E2)+COUNTIF(Evalucion!BM:BM,$E4)+COUNTIF(Evalucion!BM:BM,$E5)+COUNTIF(Evalucion!BM:BM,$E6)</f>
        <v>50</v>
      </c>
      <c r="BN7" s="3">
        <f>COUNTIF(Evalucion!BN:BN,$E3)+COUNTIF(Evalucion!BN:BN,$E2)+COUNTIF(Evalucion!BN:BN,$E4)+COUNTIF(Evalucion!BN:BN,$E5)+COUNTIF(Evalucion!BN:BN,$E6)</f>
        <v>50</v>
      </c>
      <c r="BO7" s="3">
        <f>COUNTIF(Evalucion!BO:BO,$E3)+COUNTIF(Evalucion!BO:BO,$E2)+COUNTIF(Evalucion!BO:BO,$E4)+COUNTIF(Evalucion!BO:BO,$E5)+COUNTIF(Evalucion!BO:BO,$E6)</f>
        <v>50</v>
      </c>
      <c r="BP7" s="3">
        <f>COUNTIF(Evalucion!BP:BP,$E3)+COUNTIF(Evalucion!BP:BP,$E2)+COUNTIF(Evalucion!BP:BP,$E4)+COUNTIF(Evalucion!BP:BP,$E5)+COUNTIF(Evalucion!BP:BP,$E6)</f>
        <v>50</v>
      </c>
      <c r="BQ7" s="3">
        <f>COUNTIF(Evalucion!BQ:BQ,$E3)+COUNTIF(Evalucion!BQ:BQ,$E2)+COUNTIF(Evalucion!BQ:BQ,$E4)+COUNTIF(Evalucion!BQ:BQ,$E5)+COUNTIF(Evalucion!BQ:BQ,$E6)</f>
        <v>50</v>
      </c>
      <c r="BR7" s="3">
        <f>COUNTIF(Evalucion!BR:BR,$E3)+COUNTIF(Evalucion!BR:BR,$E2)+COUNTIF(Evalucion!BR:BR,$E4)+COUNTIF(Evalucion!BR:BR,$E5)+COUNTIF(Evalucion!BR:BR,$E6)</f>
        <v>50</v>
      </c>
      <c r="BS7" s="3">
        <f>COUNTIF(Evalucion!BS:BS,$E3)+COUNTIF(Evalucion!BS:BS,$E2)+COUNTIF(Evalucion!BS:BS,$E4)+COUNTIF(Evalucion!BS:BS,$E5)+COUNTIF(Evalucion!BS:BS,$E6)</f>
        <v>50</v>
      </c>
      <c r="BT7" s="3">
        <f>COUNTIF(Evalucion!BT:BT,$E3)+COUNTIF(Evalucion!BT:BT,$E2)+COUNTIF(Evalucion!BT:BT,$E4)+COUNTIF(Evalucion!BT:BT,$E5)+COUNTIF(Evalucion!BT:BT,$E6)</f>
        <v>50</v>
      </c>
      <c r="BU7" s="3">
        <f>COUNTIF(Evalucion!BU:BU,$E3)+COUNTIF(Evalucion!BU:BU,$E2)+COUNTIF(Evalucion!BU:BU,$E4)+COUNTIF(Evalucion!BU:BU,$E5)+COUNTIF(Evalucion!BU:BU,$E6)</f>
        <v>50</v>
      </c>
      <c r="BV7" s="3">
        <f>COUNTIF(Evalucion!BV:BV,$E3)+COUNTIF(Evalucion!BV:BV,$E2)+COUNTIF(Evalucion!BV:BV,$E4)+COUNTIF(Evalucion!BV:BV,$E5)+COUNTIF(Evalucion!BV:BV,$E6)</f>
        <v>50</v>
      </c>
      <c r="BW7" s="3">
        <f>COUNTIF(Evalucion!BW:BW,$E3)+COUNTIF(Evalucion!BW:BW,$E2)+COUNTIF(Evalucion!BW:BW,$E4)+COUNTIF(Evalucion!BW:BW,$E5)+COUNTIF(Evalucion!BW:BW,$E6)</f>
        <v>50</v>
      </c>
      <c r="BX7" s="3">
        <f>COUNTIF(Evalucion!BX:BX,$E3)+COUNTIF(Evalucion!BX:BX,$E2)+COUNTIF(Evalucion!BX:BX,$E4)+COUNTIF(Evalucion!BX:BX,$E5)+COUNTIF(Evalucion!BX:BX,$E6)</f>
        <v>50</v>
      </c>
      <c r="BY7" s="3">
        <f>COUNTIF(Evalucion!BY:BY,$E3)+COUNTIF(Evalucion!BY:BY,$E2)+COUNTIF(Evalucion!BY:BY,$E4)+COUNTIF(Evalucion!BY:BY,$E5)+COUNTIF(Evalucion!BY:BY,$E6)</f>
        <v>50</v>
      </c>
      <c r="BZ7" s="3">
        <f>COUNTIF(Evalucion!BZ:BZ,$E3)+COUNTIF(Evalucion!BZ:BZ,$E2)+COUNTIF(Evalucion!BZ:BZ,$E4)+COUNTIF(Evalucion!BZ:BZ,$E5)+COUNTIF(Evalucion!BZ:BZ,$E6)</f>
        <v>50</v>
      </c>
      <c r="CA7" s="3">
        <f>COUNTIF(Evalucion!CA:CA,$E3)+COUNTIF(Evalucion!CA:CA,$E2)+COUNTIF(Evalucion!CA:CA,$E4)+COUNTIF(Evalucion!CA:CA,$E5)+COUNTIF(Evalucion!CA:CA,$E6)</f>
        <v>50</v>
      </c>
      <c r="CB7" s="3">
        <f>COUNTIF(Evalucion!CB:CB,$E3)+COUNTIF(Evalucion!CB:CB,$E2)+COUNTIF(Evalucion!CB:CB,$E4)+COUNTIF(Evalucion!CB:CB,$E5)+COUNTIF(Evalucion!CB:CB,$E6)</f>
        <v>50</v>
      </c>
      <c r="CC7" s="3">
        <f>COUNTIF(Evalucion!CC:CC,$E3)+COUNTIF(Evalucion!CC:CC,$E2)+COUNTIF(Evalucion!CC:CC,$E4)+COUNTIF(Evalucion!CC:CC,$E5)+COUNTIF(Evalucion!CC:CC,$E6)</f>
        <v>50</v>
      </c>
      <c r="CD7" s="3">
        <f>COUNTIF(Evalucion!CD:CD,$E3)+COUNTIF(Evalucion!CD:CD,$E2)+COUNTIF(Evalucion!CD:CD,$E4)+COUNTIF(Evalucion!CD:CD,$E5)+COUNTIF(Evalucion!CD:CD,$E6)</f>
        <v>50</v>
      </c>
      <c r="CE7" s="3">
        <f>COUNTIF(Evalucion!CE:CE,$E3)+COUNTIF(Evalucion!CE:CE,$E2)+COUNTIF(Evalucion!CE:CE,$E4)+COUNTIF(Evalucion!CE:CE,$E5)+COUNTIF(Evalucion!CE:CE,$E6)</f>
        <v>50</v>
      </c>
      <c r="CF7" s="3">
        <f>COUNTIF(Evalucion!CF:CF,$E3)+COUNTIF(Evalucion!CF:CF,$E2)+COUNTIF(Evalucion!CF:CF,$E4)+COUNTIF(Evalucion!CF:CF,$E5)+COUNTIF(Evalucion!CF:CF,$E6)</f>
        <v>50</v>
      </c>
      <c r="CG7" s="3">
        <f>COUNTIF(Evalucion!CG:CG,$E3)+COUNTIF(Evalucion!CG:CG,$E2)+COUNTIF(Evalucion!CG:CG,$E4)+COUNTIF(Evalucion!CG:CG,$E5)+COUNTIF(Evalucion!CG:CG,$E6)</f>
        <v>50</v>
      </c>
      <c r="CH7" s="3">
        <f>COUNTIF(Evalucion!CH:CH,$E3)+COUNTIF(Evalucion!CH:CH,$E2)+COUNTIF(Evalucion!CH:CH,$E4)+COUNTIF(Evalucion!CH:CH,$E5)+COUNTIF(Evalucion!CH:CH,$E6)</f>
        <v>50</v>
      </c>
      <c r="CI7" s="3">
        <f>COUNTIF(Evalucion!CI:CI,$E3)+COUNTIF(Evalucion!CI:CI,$E2)+COUNTIF(Evalucion!CI:CI,$E4)+COUNTIF(Evalucion!CI:CI,$E5)+COUNTIF(Evalucion!CI:CI,$E6)</f>
        <v>50</v>
      </c>
      <c r="CJ7" s="3">
        <f>COUNTIF(Evalucion!CJ:CJ,$E3)+COUNTIF(Evalucion!CJ:CJ,$E2)+COUNTIF(Evalucion!CJ:CJ,$E4)+COUNTIF(Evalucion!CJ:CJ,$E5)+COUNTIF(Evalucion!CJ:CJ,$E6)</f>
        <v>50</v>
      </c>
      <c r="CK7" s="3">
        <f>COUNTIF(Evalucion!CK:CK,$E3)+COUNTIF(Evalucion!CK:CK,$E2)+COUNTIF(Evalucion!CK:CK,$E4)+COUNTIF(Evalucion!CK:CK,$E5)+COUNTIF(Evalucion!CK:CK,$E6)</f>
        <v>50</v>
      </c>
      <c r="CL7" s="3">
        <f>COUNTIF(Evalucion!CL:CL,$E3)+COUNTIF(Evalucion!CL:CL,$E2)+COUNTIF(Evalucion!CL:CL,$E4)+COUNTIF(Evalucion!CL:CL,$E5)+COUNTIF(Evalucion!CL:CL,$E6)</f>
        <v>50</v>
      </c>
      <c r="CM7" s="3">
        <f>COUNTIF(Evalucion!CM:CM,$E3)+COUNTIF(Evalucion!CM:CM,$E2)+COUNTIF(Evalucion!CM:CM,$E4)+COUNTIF(Evalucion!CM:CM,$E5)+COUNTIF(Evalucion!CM:CM,$E6)</f>
        <v>50</v>
      </c>
      <c r="CN7" s="3">
        <f>COUNTIF(Evalucion!CN:CN,$E3)+COUNTIF(Evalucion!CN:CN,$E2)+COUNTIF(Evalucion!CN:CN,$E4)+COUNTIF(Evalucion!CN:CN,$E5)+COUNTIF(Evalucion!CN:CN,$E6)</f>
        <v>50</v>
      </c>
      <c r="CO7" s="3">
        <f>COUNTIF(Evalucion!CO:CO,$E3)+COUNTIF(Evalucion!CO:CO,$E2)+COUNTIF(Evalucion!CO:CO,$E4)+COUNTIF(Evalucion!CO:CO,$E5)+COUNTIF(Evalucion!CO:CO,$E6)</f>
        <v>50</v>
      </c>
      <c r="CP7" s="3">
        <f>COUNTIF(Evalucion!CP:CP,$E3)+COUNTIF(Evalucion!CP:CP,$E2)+COUNTIF(Evalucion!CP:CP,$E4)+COUNTIF(Evalucion!CP:CP,$E5)+COUNTIF(Evalucion!CP:CP,$E6)</f>
        <v>50</v>
      </c>
      <c r="CQ7" s="3">
        <f>COUNTIF(Evalucion!CQ:CQ,$E3)+COUNTIF(Evalucion!CQ:CQ,$E2)+COUNTIF(Evalucion!CQ:CQ,$E4)+COUNTIF(Evalucion!CQ:CQ,$E5)+COUNTIF(Evalucion!CQ:CQ,$E6)</f>
        <v>50</v>
      </c>
      <c r="CR7" s="3">
        <f>COUNTIF(Evalucion!CR:CR,$E3)+COUNTIF(Evalucion!CR:CR,$E2)+COUNTIF(Evalucion!CR:CR,$E4)+COUNTIF(Evalucion!CR:CR,$E5)+COUNTIF(Evalucion!CR:CR,$E6)</f>
        <v>50</v>
      </c>
      <c r="CS7" s="3">
        <f>COUNTIF(Evalucion!CS:CS,$E3)+COUNTIF(Evalucion!CS:CS,$E2)+COUNTIF(Evalucion!CS:CS,$E4)+COUNTIF(Evalucion!CS:CS,$E5)+COUNTIF(Evalucion!CS:CS,$E6)</f>
        <v>50</v>
      </c>
      <c r="CT7" s="3">
        <f>COUNTIF(Evalucion!CT:CT,$E3)+COUNTIF(Evalucion!CT:CT,$E2)+COUNTIF(Evalucion!CT:CT,$E4)+COUNTIF(Evalucion!CT:CT,$E5)+COUNTIF(Evalucion!CT:CT,$E6)</f>
        <v>50</v>
      </c>
      <c r="CU7" s="3">
        <f>COUNTIF(Evalucion!CU:CU,$E3)+COUNTIF(Evalucion!CU:CU,$E2)+COUNTIF(Evalucion!CU:CU,$E4)+COUNTIF(Evalucion!CU:CU,$E5)+COUNTIF(Evalucion!CU:CU,$E6)</f>
        <v>50</v>
      </c>
      <c r="CV7" s="3">
        <f>COUNTIF(Evalucion!CV:CV,$E3)+COUNTIF(Evalucion!CV:CV,$E2)+COUNTIF(Evalucion!CV:CV,$E4)+COUNTIF(Evalucion!CV:CV,$E5)+COUNTIF(Evalucion!CV:CV,$E6)</f>
        <v>50</v>
      </c>
      <c r="CW7" s="3">
        <f>COUNTIF(Evalucion!CW:CW,$E3)+COUNTIF(Evalucion!CW:CW,$E2)+COUNTIF(Evalucion!CW:CW,$E4)+COUNTIF(Evalucion!CW:CW,$E5)+COUNTIF(Evalucion!CW:CW,$E6)</f>
        <v>50</v>
      </c>
      <c r="CX7" s="3">
        <f>COUNTIF(Evalucion!CX:CX,$E3)+COUNTIF(Evalucion!CX:CX,$E2)+COUNTIF(Evalucion!CX:CX,$E4)+COUNTIF(Evalucion!CX:CX,$E5)+COUNTIF(Evalucion!CX:CX,$E6)</f>
        <v>50</v>
      </c>
      <c r="CY7" s="3">
        <f>COUNTIF(Evalucion!CY:CY,$E3)+COUNTIF(Evalucion!CY:CY,$E2)+COUNTIF(Evalucion!CY:CY,$E4)+COUNTIF(Evalucion!CY:CY,$E5)+COUNTIF(Evalucion!CY:CY,$E6)</f>
        <v>50</v>
      </c>
      <c r="CZ7" s="3">
        <f>COUNTIF(Evalucion!CZ:CZ,$E3)+COUNTIF(Evalucion!CZ:CZ,$E2)+COUNTIF(Evalucion!CZ:CZ,$E4)+COUNTIF(Evalucion!CZ:CZ,$E5)+COUNTIF(Evalucion!CZ:CZ,$E6)</f>
        <v>50</v>
      </c>
      <c r="DA7" s="3">
        <f>COUNTIF(Evalucion!DA:DA,$E3)+COUNTIF(Evalucion!DA:DA,$E2)+COUNTIF(Evalucion!DA:DA,$E4)+COUNTIF(Evalucion!DA:DA,$E5)+COUNTIF(Evalucion!DA:DA,$E6)</f>
        <v>50</v>
      </c>
      <c r="DB7" s="3">
        <f>COUNTIF(Evalucion!DB:DB,$E3)+COUNTIF(Evalucion!DB:DB,$E2)+COUNTIF(Evalucion!DB:DB,$E4)+COUNTIF(Evalucion!DB:DB,$E5)+COUNTIF(Evalucion!DB:DB,$E6)</f>
        <v>50</v>
      </c>
      <c r="DC7" s="3">
        <f>COUNTIF(Evalucion!DC:DC,$E3)+COUNTIF(Evalucion!DC:DC,$E2)+COUNTIF(Evalucion!DC:DC,$E4)+COUNTIF(Evalucion!DC:DC,$E5)+COUNTIF(Evalucion!DC:DC,$E6)</f>
        <v>50</v>
      </c>
      <c r="DD7" s="3">
        <f>COUNTIF(Evalucion!DD:DD,$E3)+COUNTIF(Evalucion!DD:DD,$E2)+COUNTIF(Evalucion!DD:DD,$E4)+COUNTIF(Evalucion!DD:DD,$E5)+COUNTIF(Evalucion!DD:DD,$E6)</f>
        <v>50</v>
      </c>
      <c r="DE7" s="3">
        <f>COUNTIF(Evalucion!DE:DE,$E3)+COUNTIF(Evalucion!DE:DE,$E2)+COUNTIF(Evalucion!DE:DE,$E4)+COUNTIF(Evalucion!DE:DE,$E5)+COUNTIF(Evalucion!DE:DE,$E6)</f>
        <v>50</v>
      </c>
      <c r="DF7" s="3">
        <f>COUNTIF(Evalucion!DF:DF,$E3)+COUNTIF(Evalucion!DF:DF,$E2)+COUNTIF(Evalucion!DF:DF,$E4)+COUNTIF(Evalucion!DF:DF,$E5)+COUNTIF(Evalucion!DF:DF,$E6)</f>
        <v>50</v>
      </c>
      <c r="DG7" s="3">
        <f>COUNTIF(Evalucion!DG:DG,$E3)+COUNTIF(Evalucion!DG:DG,$E2)+COUNTIF(Evalucion!DG:DG,$E4)+COUNTIF(Evalucion!DG:DG,$E5)+COUNTIF(Evalucion!DG:DG,$E6)</f>
        <v>50</v>
      </c>
      <c r="DH7" s="3">
        <f>COUNTIF(Evalucion!DH:DH,$E3)+COUNTIF(Evalucion!DH:DH,$E2)+COUNTIF(Evalucion!DH:DH,$E4)+COUNTIF(Evalucion!DH:DH,$E5)+COUNTIF(Evalucion!DH:DH,$E6)</f>
        <v>50</v>
      </c>
      <c r="DI7" s="3">
        <f>COUNTIF(Evalucion!DI:DI,$E3)+COUNTIF(Evalucion!DI:DI,$E2)+COUNTIF(Evalucion!DI:DI,$E4)+COUNTIF(Evalucion!DI:DI,$E5)+COUNTIF(Evalucion!DI:DI,$E6)</f>
        <v>50</v>
      </c>
      <c r="DJ7" s="3">
        <f>COUNTIF(Evalucion!DJ:DJ,$E3)+COUNTIF(Evalucion!DJ:DJ,$E2)+COUNTIF(Evalucion!DJ:DJ,$E4)+COUNTIF(Evalucion!DJ:DJ,$E5)+COUNTIF(Evalucion!DJ:DJ,$E6)</f>
        <v>50</v>
      </c>
      <c r="DK7" s="3">
        <f>COUNTIF(Evalucion!DK:DK,$E3)+COUNTIF(Evalucion!DK:DK,$E2)+COUNTIF(Evalucion!DK:DK,$E4)+COUNTIF(Evalucion!DK:DK,$E5)+COUNTIF(Evalucion!DK:DK,$E6)</f>
        <v>50</v>
      </c>
      <c r="DL7" s="3">
        <f>COUNTIF(Evalucion!DL:DL,$E3)+COUNTIF(Evalucion!DL:DL,$E2)+COUNTIF(Evalucion!DL:DL,$E4)+COUNTIF(Evalucion!DL:DL,$E5)+COUNTIF(Evalucion!DL:DL,$E6)</f>
        <v>50</v>
      </c>
      <c r="DM7" s="3">
        <f>COUNTIF(Evalucion!DM:DM,$E3)+COUNTIF(Evalucion!DM:DM,$E2)+COUNTIF(Evalucion!DM:DM,$E4)+COUNTIF(Evalucion!DM:DM,$E5)+COUNTIF(Evalucion!DM:DM,$E6)</f>
        <v>50</v>
      </c>
      <c r="DN7" s="3">
        <f>COUNTIF(Evalucion!DN:DN,$E3)+COUNTIF(Evalucion!DN:DN,$E2)+COUNTIF(Evalucion!DN:DN,$E4)+COUNTIF(Evalucion!DN:DN,$E5)+COUNTIF(Evalucion!DN:DN,$E6)</f>
        <v>50</v>
      </c>
      <c r="DO7" s="3">
        <f>COUNTIF(Evalucion!DO:DO,$E3)+COUNTIF(Evalucion!DO:DO,$E2)+COUNTIF(Evalucion!DO:DO,$E4)+COUNTIF(Evalucion!DO:DO,$E5)+COUNTIF(Evalucion!DO:DO,$E6)</f>
        <v>50</v>
      </c>
      <c r="DP7" s="3">
        <f>COUNTIF(Evalucion!DP:DP,$E3)+COUNTIF(Evalucion!DP:DP,$E2)+COUNTIF(Evalucion!DP:DP,$E4)+COUNTIF(Evalucion!DP:DP,$E5)+COUNTIF(Evalucion!DP:DP,$E6)</f>
        <v>50</v>
      </c>
      <c r="DQ7" s="3">
        <f>COUNTIF(Evalucion!DQ:DQ,$E3)+COUNTIF(Evalucion!DQ:DQ,$E2)+COUNTIF(Evalucion!DQ:DQ,$E4)+COUNTIF(Evalucion!DQ:DQ,$E5)+COUNTIF(Evalucion!DQ:DQ,$E6)</f>
        <v>50</v>
      </c>
      <c r="DR7" s="3">
        <f>COUNTIF(Evalucion!DR:DR,$E3)+COUNTIF(Evalucion!DR:DR,$E2)+COUNTIF(Evalucion!DR:DR,$E4)+COUNTIF(Evalucion!DR:DR,$E5)+COUNTIF(Evalucion!DR:DR,$E6)</f>
        <v>50</v>
      </c>
      <c r="DS7" s="3">
        <f>COUNTIF(Evalucion!DS:DS,$E3)+COUNTIF(Evalucion!DS:DS,$E2)+COUNTIF(Evalucion!DS:DS,$E4)+COUNTIF(Evalucion!DS:DS,$E5)+COUNTIF(Evalucion!DS:DS,$E6)</f>
        <v>50</v>
      </c>
      <c r="DT7" s="3">
        <f>COUNTIF(Evalucion!DT:DT,$E3)+COUNTIF(Evalucion!DT:DT,$E2)+COUNTIF(Evalucion!DT:DT,$E4)+COUNTIF(Evalucion!DT:DT,$E5)+COUNTIF(Evalucion!DT:DT,$E6)</f>
        <v>50</v>
      </c>
      <c r="DU7" s="3">
        <f>COUNTIF(Evalucion!DU:DU,$E3)+COUNTIF(Evalucion!DU:DU,$E2)+COUNTIF(Evalucion!DU:DU,$E4)+COUNTIF(Evalucion!DU:DU,$E5)+COUNTIF(Evalucion!DU:DU,$E6)</f>
        <v>50</v>
      </c>
      <c r="DV7" s="3">
        <f>COUNTIF(Evalucion!DV:DV,$E3)+COUNTIF(Evalucion!DV:DV,$E2)+COUNTIF(Evalucion!DV:DV,$E4)+COUNTIF(Evalucion!DV:DV,$E5)+COUNTIF(Evalucion!DV:DV,$E6)</f>
        <v>50</v>
      </c>
      <c r="DW7" s="3">
        <f>COUNTIF(Evalucion!DW:DW,$E3)+COUNTIF(Evalucion!DW:DW,$E2)+COUNTIF(Evalucion!DW:DW,$E4)+COUNTIF(Evalucion!DW:DW,$E5)+COUNTIF(Evalucion!DW:DW,$E6)</f>
        <v>50</v>
      </c>
      <c r="DX7" s="3">
        <f>COUNTIF(Evalucion!DX:DX,$E3)+COUNTIF(Evalucion!DX:DX,$E2)+COUNTIF(Evalucion!DX:DX,$E4)+COUNTIF(Evalucion!DX:DX,$E5)+COUNTIF(Evalucion!DX:DX,$E6)</f>
        <v>50</v>
      </c>
      <c r="DY7" s="3">
        <f>COUNTIF(Evalucion!DY:DY,$E3)+COUNTIF(Evalucion!DY:DY,$E2)+COUNTIF(Evalucion!DY:DY,$E4)+COUNTIF(Evalucion!DY:DY,$E5)+COUNTIF(Evalucion!DY:DY,$E6)</f>
        <v>50</v>
      </c>
      <c r="DZ7" s="3">
        <f>COUNTIF(Evalucion!DZ:DZ,$E3)+COUNTIF(Evalucion!DZ:DZ,$E2)+COUNTIF(Evalucion!DZ:DZ,$E4)+COUNTIF(Evalucion!DZ:DZ,$E5)+COUNTIF(Evalucion!DZ:DZ,$E6)</f>
        <v>50</v>
      </c>
      <c r="EA7" s="3">
        <f>COUNTIF(Evalucion!EA:EA,$E3)+COUNTIF(Evalucion!EA:EA,$E2)+COUNTIF(Evalucion!EA:EA,$E4)+COUNTIF(Evalucion!EA:EA,$E5)+COUNTIF(Evalucion!EA:EA,$E6)</f>
        <v>50</v>
      </c>
      <c r="EB7" s="3">
        <f>COUNTIF(Evalucion!EB:EB,$E3)+COUNTIF(Evalucion!EB:EB,$E2)+COUNTIF(Evalucion!EB:EB,$E4)+COUNTIF(Evalucion!EB:EB,$E5)+COUNTIF(Evalucion!EB:EB,$E6)</f>
        <v>50</v>
      </c>
      <c r="EC7" s="3">
        <f>COUNTIF(Evalucion!EC:EC,$E3)+COUNTIF(Evalucion!EC:EC,$E2)+COUNTIF(Evalucion!EC:EC,$E4)+COUNTIF(Evalucion!EC:EC,$E5)+COUNTIF(Evalucion!EC:EC,$E6)</f>
        <v>50</v>
      </c>
      <c r="ED7" s="3">
        <f>COUNTIF(Evalucion!ED:ED,$E3)+COUNTIF(Evalucion!ED:ED,$E2)+COUNTIF(Evalucion!ED:ED,$E4)+COUNTIF(Evalucion!ED:ED,$E5)+COUNTIF(Evalucion!ED:ED,$E6)</f>
        <v>50</v>
      </c>
      <c r="EE7" s="3">
        <f>COUNTIF(Evalucion!EE:EE,$E3)+COUNTIF(Evalucion!EE:EE,$E2)+COUNTIF(Evalucion!EE:EE,$E4)+COUNTIF(Evalucion!EE:EE,$E5)+COUNTIF(Evalucion!EE:EE,$E6)</f>
        <v>50</v>
      </c>
      <c r="EF7" s="3">
        <f>COUNTIF(Evalucion!EF:EF,$E3)+COUNTIF(Evalucion!EF:EF,$E2)+COUNTIF(Evalucion!EF:EF,$E4)+COUNTIF(Evalucion!EF:EF,$E5)+COUNTIF(Evalucion!EF:EF,$E6)</f>
        <v>50</v>
      </c>
      <c r="EG7" s="3">
        <f>COUNTIF(Evalucion!EG:EG,$E3)+COUNTIF(Evalucion!EG:EG,$E2)+COUNTIF(Evalucion!EG:EG,$E4)+COUNTIF(Evalucion!EG:EG,$E5)+COUNTIF(Evalucion!EG:EG,$E6)</f>
        <v>50</v>
      </c>
      <c r="EH7" s="3">
        <f>COUNTIF(Evalucion!EH:EH,$E3)+COUNTIF(Evalucion!EH:EH,$E2)+COUNTIF(Evalucion!EH:EH,$E4)+COUNTIF(Evalucion!EH:EH,$E5)+COUNTIF(Evalucion!EH:EH,$E6)</f>
        <v>50</v>
      </c>
      <c r="EI7" s="3">
        <f>COUNTIF(Evalucion!EI:EI,$E3)+COUNTIF(Evalucion!EI:EI,$E2)+COUNTIF(Evalucion!EI:EI,$E4)+COUNTIF(Evalucion!EI:EI,$E5)+COUNTIF(Evalucion!EI:EI,$E6)</f>
        <v>50</v>
      </c>
      <c r="EJ7" s="3">
        <f>COUNTIF(Evalucion!EJ:EJ,$E3)+COUNTIF(Evalucion!EJ:EJ,$E2)+COUNTIF(Evalucion!EJ:EJ,$E4)+COUNTIF(Evalucion!EJ:EJ,$E5)+COUNTIF(Evalucion!EJ:EJ,$E6)</f>
        <v>50</v>
      </c>
      <c r="EK7" s="3">
        <f>COUNTIF(Evalucion!EK:EK,$E3)+COUNTIF(Evalucion!EK:EK,$E2)+COUNTIF(Evalucion!EK:EK,$E4)+COUNTIF(Evalucion!EK:EK,$E5)+COUNTIF(Evalucion!EK:EK,$E6)</f>
        <v>50</v>
      </c>
      <c r="EL7" s="3">
        <f>COUNTIF(Evalucion!EL:EL,$E3)+COUNTIF(Evalucion!EL:EL,$E2)+COUNTIF(Evalucion!EL:EL,$E4)+COUNTIF(Evalucion!EL:EL,$E5)+COUNTIF(Evalucion!EL:EL,$E6)</f>
        <v>50</v>
      </c>
      <c r="EM7" s="3">
        <f>COUNTIF(Evalucion!EM:EM,$E3)+COUNTIF(Evalucion!EM:EM,$E2)+COUNTIF(Evalucion!EM:EM,$E4)+COUNTIF(Evalucion!EM:EM,$E5)+COUNTIF(Evalucion!EM:EM,$E6)</f>
        <v>50</v>
      </c>
      <c r="EN7" s="3">
        <f>COUNTIF(Evalucion!EN:EN,$E3)+COUNTIF(Evalucion!EN:EN,$E2)+COUNTIF(Evalucion!EN:EN,$E4)+COUNTIF(Evalucion!EN:EN,$E5)+COUNTIF(Evalucion!EN:EN,$E6)</f>
        <v>50</v>
      </c>
      <c r="EO7" s="3">
        <f>COUNTIF(Evalucion!EO:EO,$E3)+COUNTIF(Evalucion!EO:EO,$E2)+COUNTIF(Evalucion!EO:EO,$E4)+COUNTIF(Evalucion!EO:EO,$E5)+COUNTIF(Evalucion!EO:EO,$E6)</f>
        <v>50</v>
      </c>
      <c r="EP7" s="3">
        <f>COUNTIF(Evalucion!EP:EP,$E3)+COUNTIF(Evalucion!EP:EP,$E2)+COUNTIF(Evalucion!EP:EP,$E4)+COUNTIF(Evalucion!EP:EP,$E5)+COUNTIF(Evalucion!EP:EP,$E6)</f>
        <v>50</v>
      </c>
      <c r="EQ7" s="3">
        <f>COUNTIF(Evalucion!EQ:EQ,$E3)+COUNTIF(Evalucion!EQ:EQ,$E2)+COUNTIF(Evalucion!EQ:EQ,$E4)+COUNTIF(Evalucion!EQ:EQ,$E5)+COUNTIF(Evalucion!EQ:EQ,$E6)</f>
        <v>50</v>
      </c>
      <c r="ER7" s="3">
        <f>COUNTIF(Evalucion!ER:ER,$E3)+COUNTIF(Evalucion!ER:ER,$E2)+COUNTIF(Evalucion!ER:ER,$E4)+COUNTIF(Evalucion!ER:ER,$E5)+COUNTIF(Evalucion!ER:ER,$E6)</f>
        <v>50</v>
      </c>
      <c r="ES7" s="3">
        <f>COUNTIF(Evalucion!ES:ES,$E3)+COUNTIF(Evalucion!ES:ES,$E2)+COUNTIF(Evalucion!ES:ES,$E4)+COUNTIF(Evalucion!ES:ES,$E5)+COUNTIF(Evalucion!ES:ES,$E6)</f>
        <v>50</v>
      </c>
      <c r="ET7" s="3">
        <f>COUNTIF(Evalucion!ET:ET,$E3)+COUNTIF(Evalucion!ET:ET,$E2)+COUNTIF(Evalucion!ET:ET,$E4)+COUNTIF(Evalucion!ET:ET,$E5)+COUNTIF(Evalucion!ET:ET,$E6)</f>
        <v>50</v>
      </c>
      <c r="EU7" s="3">
        <f>COUNTIF(Evalucion!EU:EU,$E3)+COUNTIF(Evalucion!EU:EU,$E2)+COUNTIF(Evalucion!EU:EU,$E4)+COUNTIF(Evalucion!EU:EU,$E5)+COUNTIF(Evalucion!EU:EU,$E6)</f>
        <v>50</v>
      </c>
      <c r="EV7" s="3">
        <f>COUNTIF(Evalucion!EV:EV,$E3)+COUNTIF(Evalucion!EV:EV,$E2)+COUNTIF(Evalucion!EV:EV,$E4)+COUNTIF(Evalucion!EV:EV,$E5)+COUNTIF(Evalucion!EV:EV,$E6)</f>
        <v>50</v>
      </c>
      <c r="EW7" s="3">
        <f>COUNTIF(Evalucion!EW:EW,$E3)+COUNTIF(Evalucion!EW:EW,$E2)+COUNTIF(Evalucion!EW:EW,$E4)+COUNTIF(Evalucion!EW:EW,$E5)+COUNTIF(Evalucion!EW:EW,$E6)</f>
        <v>50</v>
      </c>
      <c r="EX7" s="3">
        <f>COUNTIF(Evalucion!EX:EX,$E3)+COUNTIF(Evalucion!EX:EX,$E2)+COUNTIF(Evalucion!EX:EX,$E4)+COUNTIF(Evalucion!EX:EX,$E5)+COUNTIF(Evalucion!EX:EX,$E6)</f>
        <v>50</v>
      </c>
      <c r="EY7" s="3">
        <f>COUNTIF(Evalucion!EY:EY,$E3)+COUNTIF(Evalucion!EY:EY,$E2)+COUNTIF(Evalucion!EY:EY,$E4)+COUNTIF(Evalucion!EY:EY,$E5)+COUNTIF(Evalucion!EY:EY,$E6)</f>
        <v>50</v>
      </c>
      <c r="EZ7" s="3">
        <f>COUNTIF(Evalucion!EZ:EZ,$E3)+COUNTIF(Evalucion!EZ:EZ,$E2)+COUNTIF(Evalucion!EZ:EZ,$E4)+COUNTIF(Evalucion!EZ:EZ,$E5)+COUNTIF(Evalucion!EZ:EZ,$E6)</f>
        <v>50</v>
      </c>
    </row>
    <row r="8" spans="1:156" x14ac:dyDescent="0.2">
      <c r="A8" t="s">
        <v>160</v>
      </c>
      <c r="B8" t="s">
        <v>155</v>
      </c>
      <c r="F8" t="s">
        <v>165</v>
      </c>
      <c r="G8" t="str">
        <f>CONCATENATE($B$8,G11,$B$9)</f>
        <v>Calidad del Contenido de los Items de la Sección 1 de las FDS Analizadas</v>
      </c>
      <c r="S8" t="str">
        <f>CONCATENATE($B$8,S11,$B$9)</f>
        <v>Calidad del Contenido de los Items de la Sección 2 de las FDS Analizadas</v>
      </c>
      <c r="AF8" t="str">
        <f>CONCATENATE($B$8,AF11,$B$9)</f>
        <v>Calidad del Contenido de los Items de la Sección 3 de las FDS Analizadas</v>
      </c>
      <c r="AZ8" t="str">
        <f>CONCATENATE($B$8,AZ11,$B$9)</f>
        <v>Calidad del Contenido de los Items de la Sección 4 de las FDS Analizadas</v>
      </c>
      <c r="BH8" t="str">
        <f>CONCATENATE($B$8,BH11,$B$9)</f>
        <v>Calidad del Contenido de los Items de la Sección 5 de las FDS Analizadas</v>
      </c>
      <c r="BP8" t="str">
        <f>CONCATENATE($B$8,BP11,$B$9)</f>
        <v>Calidad del Contenido de los Items de la Sección 6 de las FDS Analizadas</v>
      </c>
      <c r="BX8" t="str">
        <f>CONCATENATE($B$8,BX11,$B$9)</f>
        <v>Calidad del Contenido de los Items de la Sección 7 de las FDS Analizadas</v>
      </c>
      <c r="CD8" t="str">
        <f>CONCATENATE($B$8,CD11,$B$9)</f>
        <v>Calidad del Contenido de los Items de la Sección 8 de las FDS Analizadas</v>
      </c>
      <c r="CL8" t="str">
        <f>CONCATENATE($B$8,CL11,$B$9)</f>
        <v>Calidad del Contenido de los Items de la Sección 9 de las FDS Analizadas</v>
      </c>
      <c r="CP8" t="str">
        <f>CONCATENATE($B$8,CP11,$B$9)</f>
        <v>Calidad del Contenido de los Items de la Sección 10 de las FDS Analizadas</v>
      </c>
      <c r="DD8" t="str">
        <f>CONCATENATE($B$8,DD11,$B$9)</f>
        <v>Calidad del Contenido de los Items de la Sección 11 de las FDS Analizadas</v>
      </c>
      <c r="DP8" t="str">
        <f>CONCATENATE($B$8,DP11,$B$9)</f>
        <v>Calidad del Contenido de los Items de la Sección 12 de las FDS Analizadas</v>
      </c>
      <c r="EB8" t="str">
        <f>CONCATENATE($B$8,EB11,$B$9)</f>
        <v>Calidad del Contenido de los Items de la Sección 13 de las FDS Analizadas</v>
      </c>
      <c r="EF8" t="str">
        <f>CONCATENATE($B$8,EF11,$B$9)</f>
        <v>Calidad del Contenido de los Items de la Sección 14 de las FDS Analizadas</v>
      </c>
      <c r="ET8" t="str">
        <f>CONCATENATE($B$8,ET11,$B$9)</f>
        <v>Calidad del Contenido de los Items de la Sección 15 de las FDS Analizadas</v>
      </c>
      <c r="EX8" t="str">
        <f>CONCATENATE($B$8,EX11,$B$9)</f>
        <v>Calidad del Contenido de los Items de la Sección 16 de las FDS Analizadas</v>
      </c>
    </row>
    <row r="9" spans="1:156" x14ac:dyDescent="0.2">
      <c r="A9" t="s">
        <v>161</v>
      </c>
      <c r="B9" t="s">
        <v>156</v>
      </c>
      <c r="F9" t="s">
        <v>164</v>
      </c>
      <c r="G9" t="str">
        <f>$B$10</f>
        <v>Porcentaje de Cumplimiento del Contenido de los Items</v>
      </c>
      <c r="S9" t="str">
        <f>$B$10</f>
        <v>Porcentaje de Cumplimiento del Contenido de los Items</v>
      </c>
      <c r="AF9" t="str">
        <f>$B$10</f>
        <v>Porcentaje de Cumplimiento del Contenido de los Items</v>
      </c>
      <c r="AZ9" t="str">
        <f>$B$10</f>
        <v>Porcentaje de Cumplimiento del Contenido de los Items</v>
      </c>
      <c r="BH9" t="str">
        <f>$B$10</f>
        <v>Porcentaje de Cumplimiento del Contenido de los Items</v>
      </c>
      <c r="BP9" t="str">
        <f>$B$10</f>
        <v>Porcentaje de Cumplimiento del Contenido de los Items</v>
      </c>
      <c r="BX9" t="str">
        <f>$B$10</f>
        <v>Porcentaje de Cumplimiento del Contenido de los Items</v>
      </c>
      <c r="CD9" t="str">
        <f>$B$10</f>
        <v>Porcentaje de Cumplimiento del Contenido de los Items</v>
      </c>
      <c r="CL9" t="str">
        <f>$B$10</f>
        <v>Porcentaje de Cumplimiento del Contenido de los Items</v>
      </c>
      <c r="CP9" t="str">
        <f>$B$10</f>
        <v>Porcentaje de Cumplimiento del Contenido de los Items</v>
      </c>
      <c r="DD9" t="str">
        <f>$B$10</f>
        <v>Porcentaje de Cumplimiento del Contenido de los Items</v>
      </c>
      <c r="DP9" t="str">
        <f>$B$10</f>
        <v>Porcentaje de Cumplimiento del Contenido de los Items</v>
      </c>
      <c r="EB9" t="str">
        <f>$B$10</f>
        <v>Porcentaje de Cumplimiento del Contenido de los Items</v>
      </c>
      <c r="EF9" t="str">
        <f>$B$10</f>
        <v>Porcentaje de Cumplimiento del Contenido de los Items</v>
      </c>
      <c r="ET9" t="str">
        <f>$B$10</f>
        <v>Porcentaje de Cumplimiento del Contenido de los Items</v>
      </c>
      <c r="EX9" t="str">
        <f>$B$10</f>
        <v>Porcentaje de Cumplimiento del Contenido de los Items</v>
      </c>
    </row>
    <row r="10" spans="1:156" x14ac:dyDescent="0.2">
      <c r="A10" t="s">
        <v>159</v>
      </c>
      <c r="B10" t="s">
        <v>151</v>
      </c>
      <c r="F10" t="s">
        <v>166</v>
      </c>
      <c r="G10" t="str">
        <f>CONCATENATE($B$11,G11,$B$12)</f>
        <v>Contenido de los Items de la Sección 1 de la FDS</v>
      </c>
      <c r="S10" t="str">
        <f>CONCATENATE($B$11,S11,$B$12)</f>
        <v>Contenido de los Items de la Sección 2 de la FDS</v>
      </c>
      <c r="AF10" t="str">
        <f>CONCATENATE($B$11,AF11,$B$12)</f>
        <v>Contenido de los Items de la Sección 3 de la FDS</v>
      </c>
      <c r="AZ10" t="str">
        <f>CONCATENATE($B$11,AZ11,$B$12)</f>
        <v>Contenido de los Items de la Sección 4 de la FDS</v>
      </c>
      <c r="BH10" t="str">
        <f>CONCATENATE($B$11,BH11,$B$12)</f>
        <v>Contenido de los Items de la Sección 5 de la FDS</v>
      </c>
      <c r="BP10" t="str">
        <f>CONCATENATE($B$11,BP11,$B$12)</f>
        <v>Contenido de los Items de la Sección 6 de la FDS</v>
      </c>
      <c r="BX10" t="str">
        <f>CONCATENATE($B$11,BX11,$B$12)</f>
        <v>Contenido de los Items de la Sección 7 de la FDS</v>
      </c>
      <c r="CD10" t="str">
        <f>CONCATENATE($B$11,CD11,$B$12)</f>
        <v>Contenido de los Items de la Sección 8 de la FDS</v>
      </c>
      <c r="CL10" t="str">
        <f>CONCATENATE($B$11,CL11,$B$12)</f>
        <v>Contenido de los Items de la Sección 9 de la FDS</v>
      </c>
      <c r="CP10" t="str">
        <f>CONCATENATE($B$11,CP11,$B$12)</f>
        <v>Contenido de los Items de la Sección 10 de la FDS</v>
      </c>
      <c r="DD10" t="str">
        <f>CONCATENATE($B$11,DD11,$B$12)</f>
        <v>Contenido de los Items de la Sección 11 de la FDS</v>
      </c>
      <c r="DP10" t="str">
        <f>CONCATENATE($B$11,DP11,$B$12)</f>
        <v>Contenido de los Items de la Sección 12 de la FDS</v>
      </c>
      <c r="EB10" t="str">
        <f>CONCATENATE($B$11,EB11,$B$12)</f>
        <v>Contenido de los Items de la Sección 13 de la FDS</v>
      </c>
      <c r="EF10" t="str">
        <f>CONCATENATE($B$11,EF11,$B$12)</f>
        <v>Contenido de los Items de la Sección 14 de la FDS</v>
      </c>
      <c r="ET10" t="str">
        <f>CONCATENATE($B$11,ET11,$B$12)</f>
        <v>Contenido de los Items de la Sección 15 de la FDS</v>
      </c>
      <c r="EX10" t="str">
        <f>CONCATENATE($B$11,EX11,$B$12)</f>
        <v>Contenido de los Items de la Sección 16 de la FDS</v>
      </c>
    </row>
    <row r="11" spans="1:156" x14ac:dyDescent="0.2">
      <c r="A11" t="s">
        <v>163</v>
      </c>
      <c r="B11" t="s">
        <v>157</v>
      </c>
      <c r="G11">
        <v>1</v>
      </c>
      <c r="S11">
        <v>2</v>
      </c>
      <c r="AF11">
        <v>3</v>
      </c>
      <c r="AZ11">
        <v>4</v>
      </c>
      <c r="BH11">
        <v>5</v>
      </c>
      <c r="BP11">
        <v>6</v>
      </c>
      <c r="BX11">
        <v>7</v>
      </c>
      <c r="CD11">
        <v>8</v>
      </c>
      <c r="CL11">
        <v>9</v>
      </c>
      <c r="CP11">
        <v>10</v>
      </c>
      <c r="DD11">
        <v>11</v>
      </c>
      <c r="DP11">
        <v>12</v>
      </c>
      <c r="EB11">
        <v>13</v>
      </c>
      <c r="EF11">
        <v>14</v>
      </c>
      <c r="ET11">
        <v>15</v>
      </c>
      <c r="EX11">
        <v>16</v>
      </c>
    </row>
    <row r="12" spans="1:156" x14ac:dyDescent="0.2">
      <c r="A12" t="s">
        <v>162</v>
      </c>
      <c r="B12" t="s">
        <v>158</v>
      </c>
    </row>
    <row r="15" spans="1:156" x14ac:dyDescent="0.2">
      <c r="C15" s="2" t="s">
        <v>143</v>
      </c>
      <c r="D15" s="2">
        <v>5</v>
      </c>
    </row>
    <row r="16" spans="1:156" x14ac:dyDescent="0.2">
      <c r="C16" s="2" t="s">
        <v>146</v>
      </c>
      <c r="D16" s="2">
        <v>1</v>
      </c>
    </row>
    <row r="17" spans="3:4" x14ac:dyDescent="0.2">
      <c r="C17" s="2" t="s">
        <v>144</v>
      </c>
      <c r="D17" s="2">
        <v>5</v>
      </c>
    </row>
    <row r="18" spans="3:4" x14ac:dyDescent="0.2">
      <c r="C18" s="2" t="s">
        <v>145</v>
      </c>
      <c r="D18" s="2">
        <v>3</v>
      </c>
    </row>
    <row r="19" spans="3:4" x14ac:dyDescent="0.2">
      <c r="C19" s="2" t="s">
        <v>147</v>
      </c>
      <c r="D19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2:FK74"/>
  <sheetViews>
    <sheetView topLeftCell="EO3" workbookViewId="0">
      <pane ySplit="1" topLeftCell="A4" activePane="bottomLeft" state="frozen"/>
      <selection activeCell="A3" sqref="A3"/>
      <selection pane="bottomLeft" activeCell="AN52" sqref="AG4:AN52"/>
    </sheetView>
  </sheetViews>
  <sheetFormatPr baseColWidth="10" defaultColWidth="8.83203125" defaultRowHeight="15" x14ac:dyDescent="0.2"/>
  <cols>
    <col min="1" max="1" width="3.5" customWidth="1"/>
    <col min="2" max="2" width="31.1640625" customWidth="1"/>
    <col min="4" max="4" width="10.5" customWidth="1"/>
    <col min="5" max="6" width="11.33203125" bestFit="1" customWidth="1"/>
    <col min="154" max="154" width="9.83203125" customWidth="1"/>
  </cols>
  <sheetData>
    <row r="2" spans="1:167" x14ac:dyDescent="0.2">
      <c r="E2" t="s">
        <v>152</v>
      </c>
      <c r="F2" t="s">
        <v>153</v>
      </c>
      <c r="G2" t="s">
        <v>152</v>
      </c>
      <c r="H2" t="s">
        <v>153</v>
      </c>
      <c r="I2" t="s">
        <v>152</v>
      </c>
      <c r="J2" t="s">
        <v>153</v>
      </c>
      <c r="K2" t="s">
        <v>152</v>
      </c>
      <c r="L2" t="s">
        <v>153</v>
      </c>
      <c r="M2" t="s">
        <v>152</v>
      </c>
      <c r="N2" t="s">
        <v>153</v>
      </c>
      <c r="O2" t="s">
        <v>152</v>
      </c>
      <c r="P2" t="s">
        <v>153</v>
      </c>
      <c r="Q2" t="s">
        <v>152</v>
      </c>
      <c r="R2" t="s">
        <v>153</v>
      </c>
      <c r="S2" t="s">
        <v>152</v>
      </c>
      <c r="T2" t="s">
        <v>153</v>
      </c>
      <c r="U2" t="s">
        <v>152</v>
      </c>
      <c r="V2" t="s">
        <v>153</v>
      </c>
      <c r="W2" t="s">
        <v>152</v>
      </c>
      <c r="X2" t="s">
        <v>153</v>
      </c>
      <c r="Y2" t="s">
        <v>152</v>
      </c>
      <c r="Z2" t="s">
        <v>153</v>
      </c>
      <c r="AA2" t="s">
        <v>152</v>
      </c>
      <c r="AB2" t="s">
        <v>153</v>
      </c>
      <c r="AC2" t="s">
        <v>152</v>
      </c>
      <c r="AD2" t="s">
        <v>153</v>
      </c>
      <c r="AE2" t="s">
        <v>152</v>
      </c>
      <c r="AF2" t="s">
        <v>153</v>
      </c>
      <c r="AG2" t="s">
        <v>152</v>
      </c>
      <c r="AH2" t="s">
        <v>153</v>
      </c>
      <c r="AI2" t="s">
        <v>152</v>
      </c>
      <c r="AJ2" t="s">
        <v>153</v>
      </c>
      <c r="AK2" t="s">
        <v>152</v>
      </c>
      <c r="AL2" t="s">
        <v>153</v>
      </c>
      <c r="AM2" t="s">
        <v>152</v>
      </c>
      <c r="AN2" t="s">
        <v>153</v>
      </c>
      <c r="AO2" t="s">
        <v>152</v>
      </c>
      <c r="AP2" t="s">
        <v>153</v>
      </c>
      <c r="AQ2" t="s">
        <v>152</v>
      </c>
      <c r="AR2" t="s">
        <v>153</v>
      </c>
      <c r="AS2" t="s">
        <v>152</v>
      </c>
      <c r="AT2" t="s">
        <v>153</v>
      </c>
      <c r="AV2" t="s">
        <v>152</v>
      </c>
      <c r="AW2" t="s">
        <v>153</v>
      </c>
      <c r="AX2" t="s">
        <v>152</v>
      </c>
      <c r="AY2" t="s">
        <v>153</v>
      </c>
      <c r="AZ2" t="s">
        <v>152</v>
      </c>
      <c r="BA2" t="s">
        <v>153</v>
      </c>
      <c r="BB2" t="s">
        <v>152</v>
      </c>
      <c r="BC2" t="s">
        <v>153</v>
      </c>
      <c r="BD2" t="s">
        <v>152</v>
      </c>
      <c r="BE2" t="s">
        <v>153</v>
      </c>
      <c r="BF2" t="s">
        <v>152</v>
      </c>
      <c r="BG2" t="s">
        <v>153</v>
      </c>
      <c r="BH2" t="s">
        <v>152</v>
      </c>
      <c r="BI2" t="s">
        <v>153</v>
      </c>
      <c r="BJ2" t="s">
        <v>152</v>
      </c>
      <c r="BK2" t="s">
        <v>153</v>
      </c>
      <c r="BL2" t="s">
        <v>152</v>
      </c>
      <c r="BM2" t="s">
        <v>153</v>
      </c>
      <c r="BN2" t="s">
        <v>152</v>
      </c>
      <c r="BO2" t="s">
        <v>153</v>
      </c>
      <c r="BP2" t="s">
        <v>152</v>
      </c>
      <c r="BQ2" t="s">
        <v>153</v>
      </c>
      <c r="BR2" t="s">
        <v>152</v>
      </c>
      <c r="BS2" t="s">
        <v>153</v>
      </c>
      <c r="BT2" t="s">
        <v>152</v>
      </c>
      <c r="BU2" t="s">
        <v>153</v>
      </c>
      <c r="BV2" t="s">
        <v>152</v>
      </c>
      <c r="BW2" t="s">
        <v>153</v>
      </c>
      <c r="BX2" t="s">
        <v>152</v>
      </c>
      <c r="BY2" t="s">
        <v>153</v>
      </c>
      <c r="BZ2" t="s">
        <v>152</v>
      </c>
      <c r="CA2" t="s">
        <v>153</v>
      </c>
      <c r="CB2" t="s">
        <v>152</v>
      </c>
      <c r="CC2" t="s">
        <v>153</v>
      </c>
      <c r="CD2" t="s">
        <v>152</v>
      </c>
      <c r="CE2" t="s">
        <v>153</v>
      </c>
      <c r="CF2" t="s">
        <v>152</v>
      </c>
      <c r="CG2" t="s">
        <v>153</v>
      </c>
      <c r="CH2" t="s">
        <v>152</v>
      </c>
      <c r="CI2" t="s">
        <v>153</v>
      </c>
      <c r="CJ2" t="s">
        <v>152</v>
      </c>
      <c r="CK2" t="s">
        <v>153</v>
      </c>
      <c r="CL2" t="s">
        <v>152</v>
      </c>
      <c r="CM2" t="s">
        <v>153</v>
      </c>
      <c r="CN2" t="s">
        <v>152</v>
      </c>
      <c r="CO2" t="s">
        <v>153</v>
      </c>
      <c r="CP2" t="s">
        <v>152</v>
      </c>
      <c r="CQ2" t="s">
        <v>153</v>
      </c>
      <c r="CR2" t="s">
        <v>152</v>
      </c>
      <c r="CS2" t="s">
        <v>153</v>
      </c>
      <c r="CT2" t="s">
        <v>152</v>
      </c>
      <c r="CU2" t="s">
        <v>153</v>
      </c>
      <c r="CV2" t="s">
        <v>152</v>
      </c>
      <c r="CW2" t="s">
        <v>153</v>
      </c>
      <c r="CX2" t="s">
        <v>152</v>
      </c>
      <c r="CY2" t="s">
        <v>153</v>
      </c>
      <c r="CZ2" t="s">
        <v>152</v>
      </c>
      <c r="DA2" t="s">
        <v>153</v>
      </c>
      <c r="DB2" t="s">
        <v>152</v>
      </c>
      <c r="DC2" t="s">
        <v>153</v>
      </c>
      <c r="DD2" t="s">
        <v>152</v>
      </c>
      <c r="DE2" t="s">
        <v>153</v>
      </c>
      <c r="DF2" t="s">
        <v>152</v>
      </c>
      <c r="DG2" t="s">
        <v>153</v>
      </c>
      <c r="DH2" t="s">
        <v>152</v>
      </c>
      <c r="DI2" t="s">
        <v>153</v>
      </c>
      <c r="DJ2" t="s">
        <v>152</v>
      </c>
      <c r="DK2" t="s">
        <v>153</v>
      </c>
      <c r="DL2" t="s">
        <v>152</v>
      </c>
      <c r="DM2" t="s">
        <v>153</v>
      </c>
      <c r="DN2" t="s">
        <v>152</v>
      </c>
      <c r="DO2" t="s">
        <v>153</v>
      </c>
      <c r="DP2" t="s">
        <v>152</v>
      </c>
      <c r="DQ2" t="s">
        <v>153</v>
      </c>
      <c r="DR2" t="s">
        <v>152</v>
      </c>
      <c r="DS2" t="s">
        <v>153</v>
      </c>
      <c r="DT2" t="s">
        <v>152</v>
      </c>
      <c r="DU2" t="s">
        <v>153</v>
      </c>
      <c r="DV2" t="s">
        <v>152</v>
      </c>
      <c r="DW2" t="s">
        <v>153</v>
      </c>
      <c r="DX2" t="s">
        <v>152</v>
      </c>
      <c r="DY2" t="s">
        <v>153</v>
      </c>
      <c r="DZ2" t="s">
        <v>152</v>
      </c>
      <c r="EA2" t="s">
        <v>153</v>
      </c>
      <c r="EB2" t="s">
        <v>152</v>
      </c>
      <c r="EC2" t="s">
        <v>153</v>
      </c>
      <c r="ED2" t="s">
        <v>152</v>
      </c>
      <c r="EE2" t="s">
        <v>153</v>
      </c>
      <c r="EF2" t="s">
        <v>152</v>
      </c>
      <c r="EG2" t="s">
        <v>153</v>
      </c>
      <c r="EH2" t="s">
        <v>152</v>
      </c>
      <c r="EI2" t="s">
        <v>153</v>
      </c>
      <c r="EJ2" t="s">
        <v>152</v>
      </c>
      <c r="EK2" t="s">
        <v>153</v>
      </c>
      <c r="EL2" t="s">
        <v>152</v>
      </c>
      <c r="EM2" t="s">
        <v>153</v>
      </c>
      <c r="EN2" t="s">
        <v>152</v>
      </c>
      <c r="EO2" t="s">
        <v>153</v>
      </c>
      <c r="EP2" t="s">
        <v>152</v>
      </c>
      <c r="EQ2" t="s">
        <v>153</v>
      </c>
      <c r="ER2" t="s">
        <v>152</v>
      </c>
      <c r="ES2" t="s">
        <v>153</v>
      </c>
      <c r="ET2" t="s">
        <v>152</v>
      </c>
      <c r="EU2" t="s">
        <v>153</v>
      </c>
      <c r="EV2" t="s">
        <v>152</v>
      </c>
      <c r="EW2" t="s">
        <v>153</v>
      </c>
      <c r="EX2" t="s">
        <v>152</v>
      </c>
      <c r="EY2" t="s">
        <v>153</v>
      </c>
      <c r="FA2">
        <f>COUNTIF(E2:EZ2,FA3)</f>
        <v>75</v>
      </c>
      <c r="FB2">
        <f>COUNTIF(E2:EY2,FB3)</f>
        <v>75</v>
      </c>
    </row>
    <row r="3" spans="1:16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316</v>
      </c>
      <c r="CQ3" t="s">
        <v>317</v>
      </c>
      <c r="CR3" t="s">
        <v>318</v>
      </c>
      <c r="CS3" t="s">
        <v>319</v>
      </c>
      <c r="CT3" t="s">
        <v>320</v>
      </c>
      <c r="CU3" t="s">
        <v>321</v>
      </c>
      <c r="CV3" t="s">
        <v>322</v>
      </c>
      <c r="CW3" t="s">
        <v>323</v>
      </c>
      <c r="CX3" t="s">
        <v>324</v>
      </c>
      <c r="CY3" t="s">
        <v>325</v>
      </c>
      <c r="CZ3" t="s">
        <v>326</v>
      </c>
      <c r="DA3" t="s">
        <v>327</v>
      </c>
      <c r="DB3" t="s">
        <v>93</v>
      </c>
      <c r="DC3" t="s">
        <v>94</v>
      </c>
      <c r="DD3" t="s">
        <v>95</v>
      </c>
      <c r="DE3" t="s">
        <v>96</v>
      </c>
      <c r="DF3" t="s">
        <v>97</v>
      </c>
      <c r="DG3" t="s">
        <v>98</v>
      </c>
      <c r="DH3" t="s">
        <v>99</v>
      </c>
      <c r="DI3" t="s">
        <v>100</v>
      </c>
      <c r="DJ3" t="s">
        <v>101</v>
      </c>
      <c r="DK3" t="s">
        <v>102</v>
      </c>
      <c r="DL3" t="s">
        <v>103</v>
      </c>
      <c r="DM3" t="s">
        <v>104</v>
      </c>
      <c r="DN3" t="s">
        <v>105</v>
      </c>
      <c r="DO3" t="s">
        <v>106</v>
      </c>
      <c r="DP3" t="s">
        <v>107</v>
      </c>
      <c r="DQ3" t="s">
        <v>108</v>
      </c>
      <c r="DR3" t="s">
        <v>109</v>
      </c>
      <c r="DS3" t="s">
        <v>110</v>
      </c>
      <c r="DT3" t="s">
        <v>111</v>
      </c>
      <c r="DU3" t="s">
        <v>112</v>
      </c>
      <c r="DV3" t="s">
        <v>113</v>
      </c>
      <c r="DW3" t="s">
        <v>114</v>
      </c>
      <c r="DX3" t="s">
        <v>115</v>
      </c>
      <c r="DY3" t="s">
        <v>116</v>
      </c>
      <c r="DZ3" t="s">
        <v>117</v>
      </c>
      <c r="EA3" t="s">
        <v>118</v>
      </c>
      <c r="EB3" t="s">
        <v>119</v>
      </c>
      <c r="EC3" t="s">
        <v>120</v>
      </c>
      <c r="ED3" t="s">
        <v>121</v>
      </c>
      <c r="EE3" t="s">
        <v>122</v>
      </c>
      <c r="EF3" t="s">
        <v>123</v>
      </c>
      <c r="EG3" t="s">
        <v>124</v>
      </c>
      <c r="EH3" t="s">
        <v>125</v>
      </c>
      <c r="EI3" t="s">
        <v>126</v>
      </c>
      <c r="EJ3" t="s">
        <v>127</v>
      </c>
      <c r="EK3" t="s">
        <v>128</v>
      </c>
      <c r="EL3" t="s">
        <v>129</v>
      </c>
      <c r="EM3" t="s">
        <v>130</v>
      </c>
      <c r="EN3" t="s">
        <v>131</v>
      </c>
      <c r="EO3" t="s">
        <v>132</v>
      </c>
      <c r="EP3" t="s">
        <v>133</v>
      </c>
      <c r="EQ3" t="s">
        <v>134</v>
      </c>
      <c r="ER3" t="s">
        <v>135</v>
      </c>
      <c r="ES3" t="s">
        <v>136</v>
      </c>
      <c r="ET3" t="s">
        <v>137</v>
      </c>
      <c r="EU3" t="s">
        <v>138</v>
      </c>
      <c r="EV3" t="s">
        <v>139</v>
      </c>
      <c r="EW3" t="s">
        <v>140</v>
      </c>
      <c r="EX3" t="s">
        <v>141</v>
      </c>
      <c r="EY3" t="s">
        <v>142</v>
      </c>
      <c r="FA3" t="s">
        <v>152</v>
      </c>
      <c r="FB3" t="s">
        <v>153</v>
      </c>
      <c r="FC3" t="s">
        <v>154</v>
      </c>
    </row>
    <row r="4" spans="1:167" x14ac:dyDescent="0.2">
      <c r="A4">
        <v>1</v>
      </c>
      <c r="B4" t="s">
        <v>245</v>
      </c>
      <c r="C4" t="s">
        <v>191</v>
      </c>
      <c r="D4" s="1">
        <v>44094</v>
      </c>
      <c r="E4">
        <f>IF(Evalucion!F2=Datos!$C$15,Datos!$D$15,IF(Evalucion!F2=Datos!$C$16,Datos!$D$16,IF(Evalucion!F2=Datos!$C$17,Datos!$D$17,IF(Evalucion!F2=Datos!$C$18,Datos!$D$18,IF(Evalucion!F2=Datos!$C$19,Datos!$D$19,"=")))))</f>
        <v>5</v>
      </c>
      <c r="F4">
        <f>IF(Evalucion!G2=Datos!$C$15,Datos!$D$15,IF(Evalucion!G2=Datos!$C$16,Datos!$D$16,IF(Evalucion!G2=Datos!$C$17,Datos!$D$17,IF(Evalucion!G2=Datos!$C$18,Datos!$D$18,IF(Evalucion!G2=Datos!$C$19,Datos!$D$19,"=")))))</f>
        <v>1</v>
      </c>
      <c r="G4">
        <f>IF(Evalucion!H2=Datos!$C$15,Datos!$D$15,IF(Evalucion!H2=Datos!$C$16,Datos!$D$16,IF(Evalucion!H2=Datos!$C$17,Datos!$D$17,IF(Evalucion!H2=Datos!$C$18,Datos!$D$18,IF(Evalucion!H2=Datos!$C$19,Datos!$D$19,"=")))))</f>
        <v>5</v>
      </c>
      <c r="H4">
        <f>IF(Evalucion!I2=Datos!$C$15,Datos!$D$15,IF(Evalucion!I2=Datos!$C$16,Datos!$D$16,IF(Evalucion!I2=Datos!$C$17,Datos!$D$17,IF(Evalucion!I2=Datos!$C$18,Datos!$D$18,IF(Evalucion!I2=Datos!$C$19,Datos!$D$19,"=")))))</f>
        <v>3</v>
      </c>
      <c r="I4">
        <f>IF(Evalucion!J2=Datos!$C$15,Datos!$D$15,IF(Evalucion!J2=Datos!$C$16,Datos!$D$16,IF(Evalucion!J2=Datos!$C$17,Datos!$D$17,IF(Evalucion!J2=Datos!$C$18,Datos!$D$18,IF(Evalucion!J2=Datos!$C$19,Datos!$D$19,"=")))))</f>
        <v>5</v>
      </c>
      <c r="J4">
        <f>IF(Evalucion!K2=Datos!$C$15,Datos!$D$15,IF(Evalucion!K2=Datos!$C$16,Datos!$D$16,IF(Evalucion!K2=Datos!$C$17,Datos!$D$17,IF(Evalucion!K2=Datos!$C$18,Datos!$D$18,IF(Evalucion!K2=Datos!$C$19,Datos!$D$19,"=")))))</f>
        <v>3</v>
      </c>
      <c r="K4">
        <f>IF(Evalucion!L2=Datos!$C$15,Datos!$D$15,IF(Evalucion!L2=Datos!$C$16,Datos!$D$16,IF(Evalucion!L2=Datos!$C$17,Datos!$D$17,IF(Evalucion!L2=Datos!$C$18,Datos!$D$18,IF(Evalucion!L2=Datos!$C$19,Datos!$D$19,"=")))))</f>
        <v>5</v>
      </c>
      <c r="L4">
        <f>IF(Evalucion!M2=Datos!$C$15,Datos!$D$15,IF(Evalucion!M2=Datos!$C$16,Datos!$D$16,IF(Evalucion!M2=Datos!$C$17,Datos!$D$17,IF(Evalucion!M2=Datos!$C$18,Datos!$D$18,IF(Evalucion!M2=Datos!$C$19,Datos!$D$19,"=")))))</f>
        <v>5</v>
      </c>
      <c r="M4">
        <f>IF(Evalucion!N2=Datos!$C$15,Datos!$D$15,IF(Evalucion!N2=Datos!$C$16,Datos!$D$16,IF(Evalucion!N2=Datos!$C$17,Datos!$D$17,IF(Evalucion!N2=Datos!$C$18,Datos!$D$18,IF(Evalucion!N2=Datos!$C$19,Datos!$D$19,"=")))))</f>
        <v>5</v>
      </c>
      <c r="N4">
        <f>IF(Evalucion!O2=Datos!$C$15,Datos!$D$15,IF(Evalucion!O2=Datos!$C$16,Datos!$D$16,IF(Evalucion!O2=Datos!$C$17,Datos!$D$17,IF(Evalucion!O2=Datos!$C$18,Datos!$D$18,IF(Evalucion!O2=Datos!$C$19,Datos!$D$19,"=")))))</f>
        <v>5</v>
      </c>
      <c r="O4">
        <f>IF(Evalucion!P2=Datos!$C$15,Datos!$D$15,IF(Evalucion!P2=Datos!$C$16,Datos!$D$16,IF(Evalucion!P2=Datos!$C$17,Datos!$D$17,IF(Evalucion!P2=Datos!$C$18,Datos!$D$18,IF(Evalucion!P2=Datos!$C$19,Datos!$D$19,"=")))))</f>
        <v>5</v>
      </c>
      <c r="P4">
        <f>IF(Evalucion!Q2=Datos!$C$15,Datos!$D$15,IF(Evalucion!Q2=Datos!$C$16,Datos!$D$16,IF(Evalucion!Q2=Datos!$C$17,Datos!$D$17,IF(Evalucion!Q2=Datos!$C$18,Datos!$D$18,IF(Evalucion!Q2=Datos!$C$19,Datos!$D$19,"=")))))</f>
        <v>3</v>
      </c>
      <c r="Q4">
        <f>IF(Evalucion!R2=Datos!$C$15,Datos!$D$15,IF(Evalucion!R2=Datos!$C$16,Datos!$D$16,IF(Evalucion!R2=Datos!$C$17,Datos!$D$17,IF(Evalucion!R2=Datos!$C$18,Datos!$D$18,IF(Evalucion!R2=Datos!$C$19,Datos!$D$19,"=")))))</f>
        <v>5</v>
      </c>
      <c r="R4">
        <f>IF(Evalucion!S2=Datos!$C$15,Datos!$D$15,IF(Evalucion!S2=Datos!$C$16,Datos!$D$16,IF(Evalucion!S2=Datos!$C$17,Datos!$D$17,IF(Evalucion!S2=Datos!$C$18,Datos!$D$18,IF(Evalucion!S2=Datos!$C$19,Datos!$D$19,"=")))))</f>
        <v>5</v>
      </c>
      <c r="S4">
        <f>IF(Evalucion!T2=Datos!$C$15,Datos!$D$15,IF(Evalucion!T2=Datos!$C$16,Datos!$D$16,IF(Evalucion!T2=Datos!$C$17,Datos!$D$17,IF(Evalucion!T2=Datos!$C$18,Datos!$D$18,IF(Evalucion!T2=Datos!$C$19,Datos!$D$19,"=")))))</f>
        <v>5</v>
      </c>
      <c r="T4">
        <f>IF(Evalucion!U2=Datos!$C$15,Datos!$D$15,IF(Evalucion!U2=Datos!$C$16,Datos!$D$16,IF(Evalucion!U2=Datos!$C$17,Datos!$D$17,IF(Evalucion!U2=Datos!$C$18,Datos!$D$18,IF(Evalucion!U2=Datos!$C$19,Datos!$D$19,"=")))))</f>
        <v>5</v>
      </c>
      <c r="U4">
        <f>IF(Evalucion!V2=Datos!$C$15,Datos!$D$15,IF(Evalucion!V2=Datos!$C$16,Datos!$D$16,IF(Evalucion!V2=Datos!$C$17,Datos!$D$17,IF(Evalucion!V2=Datos!$C$18,Datos!$D$18,IF(Evalucion!V2=Datos!$C$19,Datos!$D$19,"=")))))</f>
        <v>5</v>
      </c>
      <c r="V4">
        <f>IF(Evalucion!W2=Datos!$C$15,Datos!$D$15,IF(Evalucion!W2=Datos!$C$16,Datos!$D$16,IF(Evalucion!W2=Datos!$C$17,Datos!$D$17,IF(Evalucion!W2=Datos!$C$18,Datos!$D$18,IF(Evalucion!W2=Datos!$C$19,Datos!$D$19,"=")))))</f>
        <v>5</v>
      </c>
      <c r="W4">
        <f>IF(Evalucion!X2=Datos!$C$15,Datos!$D$15,IF(Evalucion!X2=Datos!$C$16,Datos!$D$16,IF(Evalucion!X2=Datos!$C$17,Datos!$D$17,IF(Evalucion!X2=Datos!$C$18,Datos!$D$18,IF(Evalucion!X2=Datos!$C$19,Datos!$D$19,"=")))))</f>
        <v>5</v>
      </c>
      <c r="X4">
        <f>IF(Evalucion!Y2=Datos!$C$15,Datos!$D$15,IF(Evalucion!Y2=Datos!$C$16,Datos!$D$16,IF(Evalucion!Y2=Datos!$C$17,Datos!$D$17,IF(Evalucion!Y2=Datos!$C$18,Datos!$D$18,IF(Evalucion!Y2=Datos!$C$19,Datos!$D$19,"=")))))</f>
        <v>5</v>
      </c>
      <c r="Y4">
        <f>IF(Evalucion!Z2=Datos!$C$15,Datos!$D$15,IF(Evalucion!Z2=Datos!$C$16,Datos!$D$16,IF(Evalucion!Z2=Datos!$C$17,Datos!$D$17,IF(Evalucion!Z2=Datos!$C$18,Datos!$D$18,IF(Evalucion!Z2=Datos!$C$19,Datos!$D$19,"=")))))</f>
        <v>5</v>
      </c>
      <c r="Z4">
        <f>IF(Evalucion!AA2=Datos!$C$15,Datos!$D$15,IF(Evalucion!AA2=Datos!$C$16,Datos!$D$16,IF(Evalucion!AA2=Datos!$C$17,Datos!$D$17,IF(Evalucion!AA2=Datos!$C$18,Datos!$D$18,IF(Evalucion!AA2=Datos!$C$19,Datos!$D$19,"=")))))</f>
        <v>5</v>
      </c>
      <c r="AA4">
        <f>IF(Evalucion!AB2=Datos!$C$15,Datos!$D$15,IF(Evalucion!AB2=Datos!$C$16,Datos!$D$16,IF(Evalucion!AB2=Datos!$C$17,Datos!$D$17,IF(Evalucion!AB2=Datos!$C$18,Datos!$D$18,IF(Evalucion!AB2=Datos!$C$19,Datos!$D$19,"=")))))</f>
        <v>5</v>
      </c>
      <c r="AB4">
        <f>IF(Evalucion!AC2=Datos!$C$15,Datos!$D$15,IF(Evalucion!AC2=Datos!$C$16,Datos!$D$16,IF(Evalucion!AC2=Datos!$C$17,Datos!$D$17,IF(Evalucion!AC2=Datos!$C$18,Datos!$D$18,IF(Evalucion!AC2=Datos!$C$19,Datos!$D$19,"=")))))</f>
        <v>5</v>
      </c>
      <c r="AC4">
        <f>IF(Evalucion!AD2=Datos!$C$15,Datos!$D$15,IF(Evalucion!AD2=Datos!$C$16,Datos!$D$16,IF(Evalucion!AD2=Datos!$C$17,Datos!$D$17,IF(Evalucion!AD2=Datos!$C$18,Datos!$D$18,IF(Evalucion!AD2=Datos!$C$19,Datos!$D$19,"=")))))</f>
        <v>5</v>
      </c>
      <c r="AD4">
        <f>IF(Evalucion!AE2=Datos!$C$15,Datos!$D$15,IF(Evalucion!AE2=Datos!$C$16,Datos!$D$16,IF(Evalucion!AE2=Datos!$C$17,Datos!$D$17,IF(Evalucion!AE2=Datos!$C$18,Datos!$D$18,IF(Evalucion!AE2=Datos!$C$19,Datos!$D$19,"=")))))</f>
        <v>5</v>
      </c>
      <c r="AE4">
        <f>IF(Evalucion!AF2=Datos!$C$15,Datos!$D$15,IF(Evalucion!AF2=Datos!$C$16,Datos!$D$16,IF(Evalucion!AF2=Datos!$C$17,Datos!$D$17,IF(Evalucion!AF2=Datos!$C$18,Datos!$D$18,IF(Evalucion!AF2=Datos!$C$19,Datos!$D$19,"=")))))</f>
        <v>5</v>
      </c>
      <c r="AF4">
        <f>IF(Evalucion!AG2=Datos!$C$15,Datos!$D$15,IF(Evalucion!AG2=Datos!$C$16,Datos!$D$16,IF(Evalucion!AG2=Datos!$C$17,Datos!$D$17,IF(Evalucion!AG2=Datos!$C$18,Datos!$D$18,IF(Evalucion!AG2=Datos!$C$19,Datos!$D$19,"=")))))</f>
        <v>5</v>
      </c>
      <c r="AO4">
        <f>IF(Evalucion!AP2=Datos!$C$15,Datos!$D$15,IF(Evalucion!AP2=Datos!$C$16,Datos!$D$16,IF(Evalucion!AP2=Datos!$C$17,Datos!$D$17,IF(Evalucion!AP2=Datos!$C$18,Datos!$D$18,IF(Evalucion!AP2=Datos!$C$19,Datos!$D$19,"=")))))</f>
        <v>5</v>
      </c>
      <c r="AP4">
        <f>IF(Evalucion!AQ2=Datos!$C$15,Datos!$D$15,IF(Evalucion!AQ2=Datos!$C$16,Datos!$D$16,IF(Evalucion!AQ2=Datos!$C$17,Datos!$D$17,IF(Evalucion!AQ2=Datos!$C$18,Datos!$D$18,IF(Evalucion!AQ2=Datos!$C$19,Datos!$D$19,"=")))))</f>
        <v>5</v>
      </c>
      <c r="AQ4">
        <f>IF(Evalucion!AR2=Datos!$C$15,Datos!$D$15,IF(Evalucion!AR2=Datos!$C$16,Datos!$D$16,IF(Evalucion!AR2=Datos!$C$17,Datos!$D$17,IF(Evalucion!AR2=Datos!$C$18,Datos!$D$18,IF(Evalucion!AR2=Datos!$C$19,Datos!$D$19,"=")))))</f>
        <v>1</v>
      </c>
      <c r="AR4">
        <f>IF(Evalucion!AS2=Datos!$C$15,Datos!$D$15,IF(Evalucion!AS2=Datos!$C$16,Datos!$D$16,IF(Evalucion!AS2=Datos!$C$17,Datos!$D$17,IF(Evalucion!AS2=Datos!$C$18,Datos!$D$18,IF(Evalucion!AS2=Datos!$C$19,Datos!$D$19,"=")))))</f>
        <v>5</v>
      </c>
      <c r="AS4">
        <f>IF(Evalucion!AT2=Datos!$C$15,Datos!$D$15,IF(Evalucion!AT2=Datos!$C$16,Datos!$D$16,IF(Evalucion!AT2=Datos!$C$17,Datos!$D$17,IF(Evalucion!AT2=Datos!$C$18,Datos!$D$18,IF(Evalucion!AT2=Datos!$C$19,Datos!$D$19,"=")))))</f>
        <v>1</v>
      </c>
      <c r="AT4">
        <f>IF(Evalucion!AU2=Datos!$C$15,Datos!$D$15,IF(Evalucion!AU2=Datos!$C$16,Datos!$D$16,IF(Evalucion!AU2=Datos!$C$17,Datos!$D$17,IF(Evalucion!AU2=Datos!$C$18,Datos!$D$18,IF(Evalucion!AU2=Datos!$C$19,Datos!$D$19,"=")))))</f>
        <v>5</v>
      </c>
      <c r="AV4">
        <f>IF(Evalucion!AW2=Datos!$C$15,Datos!$D$15,IF(Evalucion!AW2=Datos!$C$16,Datos!$D$16,IF(Evalucion!AW2=Datos!$C$17,Datos!$D$17,IF(Evalucion!AW2=Datos!$C$18,Datos!$D$18,IF(Evalucion!AW2=Datos!$C$19,Datos!$D$19,"=")))))</f>
        <v>1</v>
      </c>
      <c r="AW4">
        <f>IF(Evalucion!AX2=Datos!$C$15,Datos!$D$15,IF(Evalucion!AX2=Datos!$C$16,Datos!$D$16,IF(Evalucion!AX2=Datos!$C$17,Datos!$D$17,IF(Evalucion!AX2=Datos!$C$18,Datos!$D$18,IF(Evalucion!AX2=Datos!$C$19,Datos!$D$19,"=")))))</f>
        <v>5</v>
      </c>
      <c r="AX4">
        <f>IF(Evalucion!AY2=Datos!$C$15,Datos!$D$15,IF(Evalucion!AY2=Datos!$C$16,Datos!$D$16,IF(Evalucion!AY2=Datos!$C$17,Datos!$D$17,IF(Evalucion!AY2=Datos!$C$18,Datos!$D$18,IF(Evalucion!AY2=Datos!$C$19,Datos!$D$19,"=")))))</f>
        <v>5</v>
      </c>
      <c r="AY4">
        <f>IF(Evalucion!AZ2=Datos!$C$15,Datos!$D$15,IF(Evalucion!AZ2=Datos!$C$16,Datos!$D$16,IF(Evalucion!AZ2=Datos!$C$17,Datos!$D$17,IF(Evalucion!AZ2=Datos!$C$18,Datos!$D$18,IF(Evalucion!AZ2=Datos!$C$19,Datos!$D$19,"=")))))</f>
        <v>5</v>
      </c>
      <c r="AZ4">
        <f>IF(Evalucion!BA2=Datos!$C$15,Datos!$D$15,IF(Evalucion!BA2=Datos!$C$16,Datos!$D$16,IF(Evalucion!BA2=Datos!$C$17,Datos!$D$17,IF(Evalucion!BA2=Datos!$C$18,Datos!$D$18,IF(Evalucion!BA2=Datos!$C$19,Datos!$D$19,"=")))))</f>
        <v>5</v>
      </c>
      <c r="BA4">
        <f>IF(Evalucion!BB2=Datos!$C$15,Datos!$D$15,IF(Evalucion!BB2=Datos!$C$16,Datos!$D$16,IF(Evalucion!BB2=Datos!$C$17,Datos!$D$17,IF(Evalucion!BB2=Datos!$C$18,Datos!$D$18,IF(Evalucion!BB2=Datos!$C$19,Datos!$D$19,"=")))))</f>
        <v>5</v>
      </c>
      <c r="BB4">
        <f>IF(Evalucion!BC2=Datos!$C$15,Datos!$D$15,IF(Evalucion!BC2=Datos!$C$16,Datos!$D$16,IF(Evalucion!BC2=Datos!$C$17,Datos!$D$17,IF(Evalucion!BC2=Datos!$C$18,Datos!$D$18,IF(Evalucion!BC2=Datos!$C$19,Datos!$D$19,"=")))))</f>
        <v>5</v>
      </c>
      <c r="BC4">
        <f>IF(Evalucion!BD2=Datos!$C$15,Datos!$D$15,IF(Evalucion!BD2=Datos!$C$16,Datos!$D$16,IF(Evalucion!BD2=Datos!$C$17,Datos!$D$17,IF(Evalucion!BD2=Datos!$C$18,Datos!$D$18,IF(Evalucion!BD2=Datos!$C$19,Datos!$D$19,"=")))))</f>
        <v>5</v>
      </c>
      <c r="BD4">
        <f>IF(Evalucion!BE2=Datos!$C$15,Datos!$D$15,IF(Evalucion!BE2=Datos!$C$16,Datos!$D$16,IF(Evalucion!BE2=Datos!$C$17,Datos!$D$17,IF(Evalucion!BE2=Datos!$C$18,Datos!$D$18,IF(Evalucion!BE2=Datos!$C$19,Datos!$D$19,"=")))))</f>
        <v>5</v>
      </c>
      <c r="BE4">
        <f>IF(Evalucion!BF2=Datos!$C$15,Datos!$D$15,IF(Evalucion!BF2=Datos!$C$16,Datos!$D$16,IF(Evalucion!BF2=Datos!$C$17,Datos!$D$17,IF(Evalucion!BF2=Datos!$C$18,Datos!$D$18,IF(Evalucion!BF2=Datos!$C$19,Datos!$D$19,"=")))))</f>
        <v>5</v>
      </c>
      <c r="BF4">
        <f>IF(Evalucion!BG2=Datos!$C$15,Datos!$D$15,IF(Evalucion!BG2=Datos!$C$16,Datos!$D$16,IF(Evalucion!BG2=Datos!$C$17,Datos!$D$17,IF(Evalucion!BG2=Datos!$C$18,Datos!$D$18,IF(Evalucion!BG2=Datos!$C$19,Datos!$D$19,"=")))))</f>
        <v>5</v>
      </c>
      <c r="BG4">
        <f>IF(Evalucion!BH2=Datos!$C$15,Datos!$D$15,IF(Evalucion!BH2=Datos!$C$16,Datos!$D$16,IF(Evalucion!BH2=Datos!$C$17,Datos!$D$17,IF(Evalucion!BH2=Datos!$C$18,Datos!$D$18,IF(Evalucion!BH2=Datos!$C$19,Datos!$D$19,"=")))))</f>
        <v>5</v>
      </c>
      <c r="BH4">
        <f>IF(Evalucion!BI2=Datos!$C$15,Datos!$D$15,IF(Evalucion!BI2=Datos!$C$16,Datos!$D$16,IF(Evalucion!BI2=Datos!$C$17,Datos!$D$17,IF(Evalucion!BI2=Datos!$C$18,Datos!$D$18,IF(Evalucion!BI2=Datos!$C$19,Datos!$D$19,"=")))))</f>
        <v>5</v>
      </c>
      <c r="BI4">
        <f>IF(Evalucion!BJ2=Datos!$C$15,Datos!$D$15,IF(Evalucion!BJ2=Datos!$C$16,Datos!$D$16,IF(Evalucion!BJ2=Datos!$C$17,Datos!$D$17,IF(Evalucion!BJ2=Datos!$C$18,Datos!$D$18,IF(Evalucion!BJ2=Datos!$C$19,Datos!$D$19,"=")))))</f>
        <v>5</v>
      </c>
      <c r="BJ4">
        <f>IF(Evalucion!BK2=Datos!$C$15,Datos!$D$15,IF(Evalucion!BK2=Datos!$C$16,Datos!$D$16,IF(Evalucion!BK2=Datos!$C$17,Datos!$D$17,IF(Evalucion!BK2=Datos!$C$18,Datos!$D$18,IF(Evalucion!BK2=Datos!$C$19,Datos!$D$19,"=")))))</f>
        <v>5</v>
      </c>
      <c r="BK4">
        <f>IF(Evalucion!BL2=Datos!$C$15,Datos!$D$15,IF(Evalucion!BL2=Datos!$C$16,Datos!$D$16,IF(Evalucion!BL2=Datos!$C$17,Datos!$D$17,IF(Evalucion!BL2=Datos!$C$18,Datos!$D$18,IF(Evalucion!BL2=Datos!$C$19,Datos!$D$19,"=")))))</f>
        <v>5</v>
      </c>
      <c r="BL4">
        <f>IF(Evalucion!BM2=Datos!$C$15,Datos!$D$15,IF(Evalucion!BM2=Datos!$C$16,Datos!$D$16,IF(Evalucion!BM2=Datos!$C$17,Datos!$D$17,IF(Evalucion!BM2=Datos!$C$18,Datos!$D$18,IF(Evalucion!BM2=Datos!$C$19,Datos!$D$19,"=")))))</f>
        <v>5</v>
      </c>
      <c r="BM4">
        <f>IF(Evalucion!BN2=Datos!$C$15,Datos!$D$15,IF(Evalucion!BN2=Datos!$C$16,Datos!$D$16,IF(Evalucion!BN2=Datos!$C$17,Datos!$D$17,IF(Evalucion!BN2=Datos!$C$18,Datos!$D$18,IF(Evalucion!BN2=Datos!$C$19,Datos!$D$19,"=")))))</f>
        <v>5</v>
      </c>
      <c r="BN4">
        <f>IF(Evalucion!BO2=Datos!$C$15,Datos!$D$15,IF(Evalucion!BO2=Datos!$C$16,Datos!$D$16,IF(Evalucion!BO2=Datos!$C$17,Datos!$D$17,IF(Evalucion!BO2=Datos!$C$18,Datos!$D$18,IF(Evalucion!BO2=Datos!$C$19,Datos!$D$19,"=")))))</f>
        <v>5</v>
      </c>
      <c r="BO4">
        <f>IF(Evalucion!BP2=Datos!$C$15,Datos!$D$15,IF(Evalucion!BP2=Datos!$C$16,Datos!$D$16,IF(Evalucion!BP2=Datos!$C$17,Datos!$D$17,IF(Evalucion!BP2=Datos!$C$18,Datos!$D$18,IF(Evalucion!BP2=Datos!$C$19,Datos!$D$19,"=")))))</f>
        <v>5</v>
      </c>
      <c r="BP4">
        <f>IF(Evalucion!BQ2=Datos!$C$15,Datos!$D$15,IF(Evalucion!BQ2=Datos!$C$16,Datos!$D$16,IF(Evalucion!BQ2=Datos!$C$17,Datos!$D$17,IF(Evalucion!BQ2=Datos!$C$18,Datos!$D$18,IF(Evalucion!BQ2=Datos!$C$19,Datos!$D$19,"=")))))</f>
        <v>5</v>
      </c>
      <c r="BQ4">
        <f>IF(Evalucion!BR2=Datos!$C$15,Datos!$D$15,IF(Evalucion!BR2=Datos!$C$16,Datos!$D$16,IF(Evalucion!BR2=Datos!$C$17,Datos!$D$17,IF(Evalucion!BR2=Datos!$C$18,Datos!$D$18,IF(Evalucion!BR2=Datos!$C$19,Datos!$D$19,"=")))))</f>
        <v>5</v>
      </c>
      <c r="BR4">
        <f>IF(Evalucion!BS2=Datos!$C$15,Datos!$D$15,IF(Evalucion!BS2=Datos!$C$16,Datos!$D$16,IF(Evalucion!BS2=Datos!$C$17,Datos!$D$17,IF(Evalucion!BS2=Datos!$C$18,Datos!$D$18,IF(Evalucion!BS2=Datos!$C$19,Datos!$D$19,"=")))))</f>
        <v>1</v>
      </c>
      <c r="BS4">
        <f>IF(Evalucion!BT2=Datos!$C$15,Datos!$D$15,IF(Evalucion!BT2=Datos!$C$16,Datos!$D$16,IF(Evalucion!BT2=Datos!$C$17,Datos!$D$17,IF(Evalucion!BT2=Datos!$C$18,Datos!$D$18,IF(Evalucion!BT2=Datos!$C$19,Datos!$D$19,"=")))))</f>
        <v>5</v>
      </c>
      <c r="BT4">
        <f>IF(Evalucion!BU2=Datos!$C$15,Datos!$D$15,IF(Evalucion!BU2=Datos!$C$16,Datos!$D$16,IF(Evalucion!BU2=Datos!$C$17,Datos!$D$17,IF(Evalucion!BU2=Datos!$C$18,Datos!$D$18,IF(Evalucion!BU2=Datos!$C$19,Datos!$D$19,"=")))))</f>
        <v>5</v>
      </c>
      <c r="BU4">
        <f>IF(Evalucion!BV2=Datos!$C$15,Datos!$D$15,IF(Evalucion!BV2=Datos!$C$16,Datos!$D$16,IF(Evalucion!BV2=Datos!$C$17,Datos!$D$17,IF(Evalucion!BV2=Datos!$C$18,Datos!$D$18,IF(Evalucion!BV2=Datos!$C$19,Datos!$D$19,"=")))))</f>
        <v>5</v>
      </c>
      <c r="BV4">
        <f>IF(Evalucion!BW2=Datos!$C$15,Datos!$D$15,IF(Evalucion!BW2=Datos!$C$16,Datos!$D$16,IF(Evalucion!BW2=Datos!$C$17,Datos!$D$17,IF(Evalucion!BW2=Datos!$C$18,Datos!$D$18,IF(Evalucion!BW2=Datos!$C$19,Datos!$D$19,"=")))))</f>
        <v>5</v>
      </c>
      <c r="BW4">
        <f>IF(Evalucion!BX2=Datos!$C$15,Datos!$D$15,IF(Evalucion!BX2=Datos!$C$16,Datos!$D$16,IF(Evalucion!BX2=Datos!$C$17,Datos!$D$17,IF(Evalucion!BX2=Datos!$C$18,Datos!$D$18,IF(Evalucion!BX2=Datos!$C$19,Datos!$D$19,"=")))))</f>
        <v>5</v>
      </c>
      <c r="BX4">
        <f>IF(Evalucion!BY2=Datos!$C$15,Datos!$D$15,IF(Evalucion!BY2=Datos!$C$16,Datos!$D$16,IF(Evalucion!BY2=Datos!$C$17,Datos!$D$17,IF(Evalucion!BY2=Datos!$C$18,Datos!$D$18,IF(Evalucion!BY2=Datos!$C$19,Datos!$D$19,"=")))))</f>
        <v>5</v>
      </c>
      <c r="BY4">
        <f>IF(Evalucion!BZ2=Datos!$C$15,Datos!$D$15,IF(Evalucion!BZ2=Datos!$C$16,Datos!$D$16,IF(Evalucion!BZ2=Datos!$C$17,Datos!$D$17,IF(Evalucion!BZ2=Datos!$C$18,Datos!$D$18,IF(Evalucion!BZ2=Datos!$C$19,Datos!$D$19,"=")))))</f>
        <v>5</v>
      </c>
      <c r="BZ4">
        <f>IF(Evalucion!CA2=Datos!$C$15,Datos!$D$15,IF(Evalucion!CA2=Datos!$C$16,Datos!$D$16,IF(Evalucion!CA2=Datos!$C$17,Datos!$D$17,IF(Evalucion!CA2=Datos!$C$18,Datos!$D$18,IF(Evalucion!CA2=Datos!$C$19,Datos!$D$19,"=")))))</f>
        <v>1</v>
      </c>
      <c r="CA4">
        <f>IF(Evalucion!CB2=Datos!$C$15,Datos!$D$15,IF(Evalucion!CB2=Datos!$C$16,Datos!$D$16,IF(Evalucion!CB2=Datos!$C$17,Datos!$D$17,IF(Evalucion!CB2=Datos!$C$18,Datos!$D$18,IF(Evalucion!CB2=Datos!$C$19,Datos!$D$19,"=")))))</f>
        <v>5</v>
      </c>
      <c r="CB4">
        <f>IF(Evalucion!CC2=Datos!$C$15,Datos!$D$15,IF(Evalucion!CC2=Datos!$C$16,Datos!$D$16,IF(Evalucion!CC2=Datos!$C$17,Datos!$D$17,IF(Evalucion!CC2=Datos!$C$18,Datos!$D$18,IF(Evalucion!CC2=Datos!$C$19,Datos!$D$19,"=")))))</f>
        <v>5</v>
      </c>
      <c r="CC4">
        <f>IF(Evalucion!CD2=Datos!$C$15,Datos!$D$15,IF(Evalucion!CD2=Datos!$C$16,Datos!$D$16,IF(Evalucion!CD2=Datos!$C$17,Datos!$D$17,IF(Evalucion!CD2=Datos!$C$18,Datos!$D$18,IF(Evalucion!CD2=Datos!$C$19,Datos!$D$19,"=")))))</f>
        <v>5</v>
      </c>
      <c r="CD4">
        <f>IF(Evalucion!CE2=Datos!$C$15,Datos!$D$15,IF(Evalucion!CE2=Datos!$C$16,Datos!$D$16,IF(Evalucion!CE2=Datos!$C$17,Datos!$D$17,IF(Evalucion!CE2=Datos!$C$18,Datos!$D$18,IF(Evalucion!CE2=Datos!$C$19,Datos!$D$19,"=")))))</f>
        <v>5</v>
      </c>
      <c r="CE4">
        <f>IF(Evalucion!CF2=Datos!$C$15,Datos!$D$15,IF(Evalucion!CF2=Datos!$C$16,Datos!$D$16,IF(Evalucion!CF2=Datos!$C$17,Datos!$D$17,IF(Evalucion!CF2=Datos!$C$18,Datos!$D$18,IF(Evalucion!CF2=Datos!$C$19,Datos!$D$19,"=")))))</f>
        <v>5</v>
      </c>
      <c r="CF4">
        <f>IF(Evalucion!CG2=Datos!$C$15,Datos!$D$15,IF(Evalucion!CG2=Datos!$C$16,Datos!$D$16,IF(Evalucion!CG2=Datos!$C$17,Datos!$D$17,IF(Evalucion!CG2=Datos!$C$18,Datos!$D$18,IF(Evalucion!CG2=Datos!$C$19,Datos!$D$19,"=")))))</f>
        <v>5</v>
      </c>
      <c r="CG4">
        <f>IF(Evalucion!CH2=Datos!$C$15,Datos!$D$15,IF(Evalucion!CH2=Datos!$C$16,Datos!$D$16,IF(Evalucion!CH2=Datos!$C$17,Datos!$D$17,IF(Evalucion!CH2=Datos!$C$18,Datos!$D$18,IF(Evalucion!CH2=Datos!$C$19,Datos!$D$19,"=")))))</f>
        <v>3</v>
      </c>
      <c r="CH4">
        <f>IF(Evalucion!CI2=Datos!$C$15,Datos!$D$15,IF(Evalucion!CI2=Datos!$C$16,Datos!$D$16,IF(Evalucion!CI2=Datos!$C$17,Datos!$D$17,IF(Evalucion!CI2=Datos!$C$18,Datos!$D$18,IF(Evalucion!CI2=Datos!$C$19,Datos!$D$19,"=")))))</f>
        <v>5</v>
      </c>
      <c r="CI4">
        <f>IF(Evalucion!CJ2=Datos!$C$15,Datos!$D$15,IF(Evalucion!CJ2=Datos!$C$16,Datos!$D$16,IF(Evalucion!CJ2=Datos!$C$17,Datos!$D$17,IF(Evalucion!CJ2=Datos!$C$18,Datos!$D$18,IF(Evalucion!CJ2=Datos!$C$19,Datos!$D$19,"=")))))</f>
        <v>5</v>
      </c>
      <c r="CJ4">
        <f>IF(Evalucion!CK2=Datos!$C$15,Datos!$D$15,IF(Evalucion!CK2=Datos!$C$16,Datos!$D$16,IF(Evalucion!CK2=Datos!$C$17,Datos!$D$17,IF(Evalucion!CK2=Datos!$C$18,Datos!$D$18,IF(Evalucion!CK2=Datos!$C$19,Datos!$D$19,"=")))))</f>
        <v>5</v>
      </c>
      <c r="CK4">
        <f>IF(Evalucion!CL2=Datos!$C$15,Datos!$D$15,IF(Evalucion!CL2=Datos!$C$16,Datos!$D$16,IF(Evalucion!CL2=Datos!$C$17,Datos!$D$17,IF(Evalucion!CL2=Datos!$C$18,Datos!$D$18,IF(Evalucion!CL2=Datos!$C$19,Datos!$D$19,"=")))))</f>
        <v>5</v>
      </c>
      <c r="CL4">
        <f>IF(Evalucion!CM2=Datos!$C$15,Datos!$D$15,IF(Evalucion!CM2=Datos!$C$16,Datos!$D$16,IF(Evalucion!CM2=Datos!$C$17,Datos!$D$17,IF(Evalucion!CM2=Datos!$C$18,Datos!$D$18,IF(Evalucion!CM2=Datos!$C$19,Datos!$D$19,"=")))))</f>
        <v>5</v>
      </c>
      <c r="CM4">
        <f>IF(Evalucion!CN2=Datos!$C$15,Datos!$D$15,IF(Evalucion!CN2=Datos!$C$16,Datos!$D$16,IF(Evalucion!CN2=Datos!$C$17,Datos!$D$17,IF(Evalucion!CN2=Datos!$C$18,Datos!$D$18,IF(Evalucion!CN2=Datos!$C$19,Datos!$D$19,"=")))))</f>
        <v>5</v>
      </c>
      <c r="CN4">
        <f>IF(Evalucion!CO2=Datos!$C$15,Datos!$D$15,IF(Evalucion!CO2=Datos!$C$16,Datos!$D$16,IF(Evalucion!CO2=Datos!$C$17,Datos!$D$17,IF(Evalucion!CO2=Datos!$C$18,Datos!$D$18,IF(Evalucion!CO2=Datos!$C$19,Datos!$D$19,"=")))))</f>
        <v>5</v>
      </c>
      <c r="CO4">
        <f>IF(Evalucion!CP2=Datos!$C$15,Datos!$D$15,IF(Evalucion!CP2=Datos!$C$16,Datos!$D$16,IF(Evalucion!CP2=Datos!$C$17,Datos!$D$17,IF(Evalucion!CP2=Datos!$C$18,Datos!$D$18,IF(Evalucion!CP2=Datos!$C$19,Datos!$D$19,"=")))))</f>
        <v>5</v>
      </c>
      <c r="CP4">
        <f>IF(Evalucion!CQ2=Datos!$C$15,Datos!$D$15,IF(Evalucion!CQ2=Datos!$C$16,Datos!$D$16,IF(Evalucion!CQ2=Datos!$C$17,Datos!$D$17,IF(Evalucion!CQ2=Datos!$C$18,Datos!$D$18,IF(Evalucion!CQ2=Datos!$C$19,Datos!$D$19,"=")))))</f>
        <v>5</v>
      </c>
      <c r="CQ4">
        <f>IF(Evalucion!CR2=Datos!$C$15,Datos!$D$15,IF(Evalucion!CR2=Datos!$C$16,Datos!$D$16,IF(Evalucion!CR2=Datos!$C$17,Datos!$D$17,IF(Evalucion!CR2=Datos!$C$18,Datos!$D$18,IF(Evalucion!CR2=Datos!$C$19,Datos!$D$19,"=")))))</f>
        <v>5</v>
      </c>
      <c r="CR4">
        <f>IF(Evalucion!CS2=Datos!$C$15,Datos!$D$15,IF(Evalucion!CS2=Datos!$C$16,Datos!$D$16,IF(Evalucion!CS2=Datos!$C$17,Datos!$D$17,IF(Evalucion!CS2=Datos!$C$18,Datos!$D$18,IF(Evalucion!CS2=Datos!$C$19,Datos!$D$19,"=")))))</f>
        <v>5</v>
      </c>
      <c r="CS4">
        <f>IF(Evalucion!CT2=Datos!$C$15,Datos!$D$15,IF(Evalucion!CT2=Datos!$C$16,Datos!$D$16,IF(Evalucion!CT2=Datos!$C$17,Datos!$D$17,IF(Evalucion!CT2=Datos!$C$18,Datos!$D$18,IF(Evalucion!CT2=Datos!$C$19,Datos!$D$19,"=")))))</f>
        <v>5</v>
      </c>
      <c r="CT4">
        <f>IF(Evalucion!CU2=Datos!$C$15,Datos!$D$15,IF(Evalucion!CU2=Datos!$C$16,Datos!$D$16,IF(Evalucion!CU2=Datos!$C$17,Datos!$D$17,IF(Evalucion!CU2=Datos!$C$18,Datos!$D$18,IF(Evalucion!CU2=Datos!$C$19,Datos!$D$19,"=")))))</f>
        <v>5</v>
      </c>
      <c r="CU4">
        <f>IF(Evalucion!CV2=Datos!$C$15,Datos!$D$15,IF(Evalucion!CV2=Datos!$C$16,Datos!$D$16,IF(Evalucion!CV2=Datos!$C$17,Datos!$D$17,IF(Evalucion!CV2=Datos!$C$18,Datos!$D$18,IF(Evalucion!CV2=Datos!$C$19,Datos!$D$19,"=")))))</f>
        <v>3</v>
      </c>
      <c r="CV4">
        <f>IF(Evalucion!CW2=Datos!$C$15,Datos!$D$15,IF(Evalucion!CW2=Datos!$C$16,Datos!$D$16,IF(Evalucion!CW2=Datos!$C$17,Datos!$D$17,IF(Evalucion!CW2=Datos!$C$18,Datos!$D$18,IF(Evalucion!CW2=Datos!$C$19,Datos!$D$19,"=")))))</f>
        <v>5</v>
      </c>
      <c r="CW4">
        <f>IF(Evalucion!CX2=Datos!$C$15,Datos!$D$15,IF(Evalucion!CX2=Datos!$C$16,Datos!$D$16,IF(Evalucion!CX2=Datos!$C$17,Datos!$D$17,IF(Evalucion!CX2=Datos!$C$18,Datos!$D$18,IF(Evalucion!CX2=Datos!$C$19,Datos!$D$19,"=")))))</f>
        <v>5</v>
      </c>
      <c r="CX4">
        <f>IF(Evalucion!CY2=Datos!$C$15,Datos!$D$15,IF(Evalucion!CY2=Datos!$C$16,Datos!$D$16,IF(Evalucion!CY2=Datos!$C$17,Datos!$D$17,IF(Evalucion!CY2=Datos!$C$18,Datos!$D$18,IF(Evalucion!CY2=Datos!$C$19,Datos!$D$19,"=")))))</f>
        <v>5</v>
      </c>
      <c r="CY4">
        <f>IF(Evalucion!CZ2=Datos!$C$15,Datos!$D$15,IF(Evalucion!CZ2=Datos!$C$16,Datos!$D$16,IF(Evalucion!CZ2=Datos!$C$17,Datos!$D$17,IF(Evalucion!CZ2=Datos!$C$18,Datos!$D$18,IF(Evalucion!CZ2=Datos!$C$19,Datos!$D$19,"=")))))</f>
        <v>5</v>
      </c>
      <c r="CZ4">
        <f>IF(Evalucion!DA2=Datos!$C$15,Datos!$D$15,IF(Evalucion!DA2=Datos!$C$16,Datos!$D$16,IF(Evalucion!DA2=Datos!$C$17,Datos!$D$17,IF(Evalucion!DA2=Datos!$C$18,Datos!$D$18,IF(Evalucion!DA2=Datos!$C$19,Datos!$D$19,"=")))))</f>
        <v>5</v>
      </c>
      <c r="DA4">
        <f>IF(Evalucion!DB2=Datos!$C$15,Datos!$D$15,IF(Evalucion!DB2=Datos!$C$16,Datos!$D$16,IF(Evalucion!DB2=Datos!$C$17,Datos!$D$17,IF(Evalucion!DB2=Datos!$C$18,Datos!$D$18,IF(Evalucion!DB2=Datos!$C$19,Datos!$D$19,"=")))))</f>
        <v>3</v>
      </c>
      <c r="DB4">
        <f>IF(Evalucion!DC2=Datos!$C$15,Datos!$D$15,IF(Evalucion!DC2=Datos!$C$16,Datos!$D$16,IF(Evalucion!DC2=Datos!$C$17,Datos!$D$17,IF(Evalucion!DC2=Datos!$C$18,Datos!$D$18,IF(Evalucion!DC2=Datos!$C$19,Datos!$D$19,"=")))))</f>
        <v>5</v>
      </c>
      <c r="DC4">
        <f>IF(Evalucion!DD2=Datos!$C$15,Datos!$D$15,IF(Evalucion!DD2=Datos!$C$16,Datos!$D$16,IF(Evalucion!DD2=Datos!$C$17,Datos!$D$17,IF(Evalucion!DD2=Datos!$C$18,Datos!$D$18,IF(Evalucion!DD2=Datos!$C$19,Datos!$D$19,"=")))))</f>
        <v>5</v>
      </c>
      <c r="DD4">
        <f>IF(Evalucion!DE2=Datos!$C$15,Datos!$D$15,IF(Evalucion!DE2=Datos!$C$16,Datos!$D$16,IF(Evalucion!DE2=Datos!$C$17,Datos!$D$17,IF(Evalucion!DE2=Datos!$C$18,Datos!$D$18,IF(Evalucion!DE2=Datos!$C$19,Datos!$D$19,"=")))))</f>
        <v>5</v>
      </c>
      <c r="DE4">
        <f>IF(Evalucion!DF2=Datos!$C$15,Datos!$D$15,IF(Evalucion!DF2=Datos!$C$16,Datos!$D$16,IF(Evalucion!DF2=Datos!$C$17,Datos!$D$17,IF(Evalucion!DF2=Datos!$C$18,Datos!$D$18,IF(Evalucion!DF2=Datos!$C$19,Datos!$D$19,"=")))))</f>
        <v>3</v>
      </c>
      <c r="DF4">
        <f>IF(Evalucion!DG2=Datos!$C$15,Datos!$D$15,IF(Evalucion!DG2=Datos!$C$16,Datos!$D$16,IF(Evalucion!DG2=Datos!$C$17,Datos!$D$17,IF(Evalucion!DG2=Datos!$C$18,Datos!$D$18,IF(Evalucion!DG2=Datos!$C$19,Datos!$D$19,"=")))))</f>
        <v>5</v>
      </c>
      <c r="DG4">
        <f>IF(Evalucion!DH2=Datos!$C$15,Datos!$D$15,IF(Evalucion!DH2=Datos!$C$16,Datos!$D$16,IF(Evalucion!DH2=Datos!$C$17,Datos!$D$17,IF(Evalucion!DH2=Datos!$C$18,Datos!$D$18,IF(Evalucion!DH2=Datos!$C$19,Datos!$D$19,"=")))))</f>
        <v>5</v>
      </c>
      <c r="DH4">
        <f>IF(Evalucion!DI2=Datos!$C$15,Datos!$D$15,IF(Evalucion!DI2=Datos!$C$16,Datos!$D$16,IF(Evalucion!DI2=Datos!$C$17,Datos!$D$17,IF(Evalucion!DI2=Datos!$C$18,Datos!$D$18,IF(Evalucion!DI2=Datos!$C$19,Datos!$D$19,"=")))))</f>
        <v>5</v>
      </c>
      <c r="DI4">
        <f>IF(Evalucion!DJ2=Datos!$C$15,Datos!$D$15,IF(Evalucion!DJ2=Datos!$C$16,Datos!$D$16,IF(Evalucion!DJ2=Datos!$C$17,Datos!$D$17,IF(Evalucion!DJ2=Datos!$C$18,Datos!$D$18,IF(Evalucion!DJ2=Datos!$C$19,Datos!$D$19,"=")))))</f>
        <v>5</v>
      </c>
      <c r="DJ4">
        <f>IF(Evalucion!DK2=Datos!$C$15,Datos!$D$15,IF(Evalucion!DK2=Datos!$C$16,Datos!$D$16,IF(Evalucion!DK2=Datos!$C$17,Datos!$D$17,IF(Evalucion!DK2=Datos!$C$18,Datos!$D$18,IF(Evalucion!DK2=Datos!$C$19,Datos!$D$19,"=")))))</f>
        <v>5</v>
      </c>
      <c r="DK4">
        <f>IF(Evalucion!DL2=Datos!$C$15,Datos!$D$15,IF(Evalucion!DL2=Datos!$C$16,Datos!$D$16,IF(Evalucion!DL2=Datos!$C$17,Datos!$D$17,IF(Evalucion!DL2=Datos!$C$18,Datos!$D$18,IF(Evalucion!DL2=Datos!$C$19,Datos!$D$19,"=")))))</f>
        <v>5</v>
      </c>
      <c r="DL4">
        <f>IF(Evalucion!DM2=Datos!$C$15,Datos!$D$15,IF(Evalucion!DM2=Datos!$C$16,Datos!$D$16,IF(Evalucion!DM2=Datos!$C$17,Datos!$D$17,IF(Evalucion!DM2=Datos!$C$18,Datos!$D$18,IF(Evalucion!DM2=Datos!$C$19,Datos!$D$19,"=")))))</f>
        <v>5</v>
      </c>
      <c r="DM4">
        <f>IF(Evalucion!DN2=Datos!$C$15,Datos!$D$15,IF(Evalucion!DN2=Datos!$C$16,Datos!$D$16,IF(Evalucion!DN2=Datos!$C$17,Datos!$D$17,IF(Evalucion!DN2=Datos!$C$18,Datos!$D$18,IF(Evalucion!DN2=Datos!$C$19,Datos!$D$19,"=")))))</f>
        <v>5</v>
      </c>
      <c r="DN4">
        <f>IF(Evalucion!DO2=Datos!$C$15,Datos!$D$15,IF(Evalucion!DO2=Datos!$C$16,Datos!$D$16,IF(Evalucion!DO2=Datos!$C$17,Datos!$D$17,IF(Evalucion!DO2=Datos!$C$18,Datos!$D$18,IF(Evalucion!DO2=Datos!$C$19,Datos!$D$19,"=")))))</f>
        <v>5</v>
      </c>
      <c r="DO4">
        <f>IF(Evalucion!DP2=Datos!$C$15,Datos!$D$15,IF(Evalucion!DP2=Datos!$C$16,Datos!$D$16,IF(Evalucion!DP2=Datos!$C$17,Datos!$D$17,IF(Evalucion!DP2=Datos!$C$18,Datos!$D$18,IF(Evalucion!DP2=Datos!$C$19,Datos!$D$19,"=")))))</f>
        <v>1</v>
      </c>
      <c r="DP4">
        <f>IF(Evalucion!DQ2=Datos!$C$15,Datos!$D$15,IF(Evalucion!DQ2=Datos!$C$16,Datos!$D$16,IF(Evalucion!DQ2=Datos!$C$17,Datos!$D$17,IF(Evalucion!DQ2=Datos!$C$18,Datos!$D$18,IF(Evalucion!DQ2=Datos!$C$19,Datos!$D$19,"=")))))</f>
        <v>1</v>
      </c>
      <c r="DQ4">
        <f>IF(Evalucion!DR2=Datos!$C$15,Datos!$D$15,IF(Evalucion!DR2=Datos!$C$16,Datos!$D$16,IF(Evalucion!DR2=Datos!$C$17,Datos!$D$17,IF(Evalucion!DR2=Datos!$C$18,Datos!$D$18,IF(Evalucion!DR2=Datos!$C$19,Datos!$D$19,"=")))))</f>
        <v>1</v>
      </c>
      <c r="DR4">
        <f>IF(Evalucion!DS2=Datos!$C$15,Datos!$D$15,IF(Evalucion!DS2=Datos!$C$16,Datos!$D$16,IF(Evalucion!DS2=Datos!$C$17,Datos!$D$17,IF(Evalucion!DS2=Datos!$C$18,Datos!$D$18,IF(Evalucion!DS2=Datos!$C$19,Datos!$D$19,"=")))))</f>
        <v>1</v>
      </c>
      <c r="DS4">
        <f>IF(Evalucion!DT2=Datos!$C$15,Datos!$D$15,IF(Evalucion!DT2=Datos!$C$16,Datos!$D$16,IF(Evalucion!DT2=Datos!$C$17,Datos!$D$17,IF(Evalucion!DT2=Datos!$C$18,Datos!$D$18,IF(Evalucion!DT2=Datos!$C$19,Datos!$D$19,"=")))))</f>
        <v>1</v>
      </c>
      <c r="DT4">
        <f>IF(Evalucion!DU2=Datos!$C$15,Datos!$D$15,IF(Evalucion!DU2=Datos!$C$16,Datos!$D$16,IF(Evalucion!DU2=Datos!$C$17,Datos!$D$17,IF(Evalucion!DU2=Datos!$C$18,Datos!$D$18,IF(Evalucion!DU2=Datos!$C$19,Datos!$D$19,"=")))))</f>
        <v>1</v>
      </c>
      <c r="DU4">
        <f>IF(Evalucion!DV2=Datos!$C$15,Datos!$D$15,IF(Evalucion!DV2=Datos!$C$16,Datos!$D$16,IF(Evalucion!DV2=Datos!$C$17,Datos!$D$17,IF(Evalucion!DV2=Datos!$C$18,Datos!$D$18,IF(Evalucion!DV2=Datos!$C$19,Datos!$D$19,"=")))))</f>
        <v>1</v>
      </c>
      <c r="DV4">
        <f>IF(Evalucion!DW2=Datos!$C$15,Datos!$D$15,IF(Evalucion!DW2=Datos!$C$16,Datos!$D$16,IF(Evalucion!DW2=Datos!$C$17,Datos!$D$17,IF(Evalucion!DW2=Datos!$C$18,Datos!$D$18,IF(Evalucion!DW2=Datos!$C$19,Datos!$D$19,"=")))))</f>
        <v>1</v>
      </c>
      <c r="DW4">
        <f>IF(Evalucion!DX2=Datos!$C$15,Datos!$D$15,IF(Evalucion!DX2=Datos!$C$16,Datos!$D$16,IF(Evalucion!DX2=Datos!$C$17,Datos!$D$17,IF(Evalucion!DX2=Datos!$C$18,Datos!$D$18,IF(Evalucion!DX2=Datos!$C$19,Datos!$D$19,"=")))))</f>
        <v>1</v>
      </c>
      <c r="DX4">
        <f>IF(Evalucion!DY2=Datos!$C$15,Datos!$D$15,IF(Evalucion!DY2=Datos!$C$16,Datos!$D$16,IF(Evalucion!DY2=Datos!$C$17,Datos!$D$17,IF(Evalucion!DY2=Datos!$C$18,Datos!$D$18,IF(Evalucion!DY2=Datos!$C$19,Datos!$D$19,"=")))))</f>
        <v>1</v>
      </c>
      <c r="DY4">
        <f>IF(Evalucion!DZ2=Datos!$C$15,Datos!$D$15,IF(Evalucion!DZ2=Datos!$C$16,Datos!$D$16,IF(Evalucion!DZ2=Datos!$C$17,Datos!$D$17,IF(Evalucion!DZ2=Datos!$C$18,Datos!$D$18,IF(Evalucion!DZ2=Datos!$C$19,Datos!$D$19,"=")))))</f>
        <v>1</v>
      </c>
      <c r="DZ4">
        <f>IF(Evalucion!EA2=Datos!$C$15,Datos!$D$15,IF(Evalucion!EA2=Datos!$C$16,Datos!$D$16,IF(Evalucion!EA2=Datos!$C$17,Datos!$D$17,IF(Evalucion!EA2=Datos!$C$18,Datos!$D$18,IF(Evalucion!EA2=Datos!$C$19,Datos!$D$19,"=")))))</f>
        <v>5</v>
      </c>
      <c r="EA4">
        <f>IF(Evalucion!EB2=Datos!$C$15,Datos!$D$15,IF(Evalucion!EB2=Datos!$C$16,Datos!$D$16,IF(Evalucion!EB2=Datos!$C$17,Datos!$D$17,IF(Evalucion!EB2=Datos!$C$18,Datos!$D$18,IF(Evalucion!EB2=Datos!$C$19,Datos!$D$19,"=")))))</f>
        <v>5</v>
      </c>
      <c r="EB4">
        <f>IF(Evalucion!EC2=Datos!$C$15,Datos!$D$15,IF(Evalucion!EC2=Datos!$C$16,Datos!$D$16,IF(Evalucion!EC2=Datos!$C$17,Datos!$D$17,IF(Evalucion!EC2=Datos!$C$18,Datos!$D$18,IF(Evalucion!EC2=Datos!$C$19,Datos!$D$19,"=")))))</f>
        <v>5</v>
      </c>
      <c r="EC4">
        <f>IF(Evalucion!ED2=Datos!$C$15,Datos!$D$15,IF(Evalucion!ED2=Datos!$C$16,Datos!$D$16,IF(Evalucion!ED2=Datos!$C$17,Datos!$D$17,IF(Evalucion!ED2=Datos!$C$18,Datos!$D$18,IF(Evalucion!ED2=Datos!$C$19,Datos!$D$19,"=")))))</f>
        <v>5</v>
      </c>
      <c r="ED4">
        <f>IF(Evalucion!EE2=Datos!$C$15,Datos!$D$15,IF(Evalucion!EE2=Datos!$C$16,Datos!$D$16,IF(Evalucion!EE2=Datos!$C$17,Datos!$D$17,IF(Evalucion!EE2=Datos!$C$18,Datos!$D$18,IF(Evalucion!EE2=Datos!$C$19,Datos!$D$19,"=")))))</f>
        <v>5</v>
      </c>
      <c r="EE4">
        <f>IF(Evalucion!EF2=Datos!$C$15,Datos!$D$15,IF(Evalucion!EF2=Datos!$C$16,Datos!$D$16,IF(Evalucion!EF2=Datos!$C$17,Datos!$D$17,IF(Evalucion!EF2=Datos!$C$18,Datos!$D$18,IF(Evalucion!EF2=Datos!$C$19,Datos!$D$19,"=")))))</f>
        <v>5</v>
      </c>
      <c r="EF4">
        <f>IF(Evalucion!EG2=Datos!$C$15,Datos!$D$15,IF(Evalucion!EG2=Datos!$C$16,Datos!$D$16,IF(Evalucion!EG2=Datos!$C$17,Datos!$D$17,IF(Evalucion!EG2=Datos!$C$18,Datos!$D$18,IF(Evalucion!EG2=Datos!$C$19,Datos!$D$19,"=")))))</f>
        <v>5</v>
      </c>
      <c r="EG4">
        <f>IF(Evalucion!EH2=Datos!$C$15,Datos!$D$15,IF(Evalucion!EH2=Datos!$C$16,Datos!$D$16,IF(Evalucion!EH2=Datos!$C$17,Datos!$D$17,IF(Evalucion!EH2=Datos!$C$18,Datos!$D$18,IF(Evalucion!EH2=Datos!$C$19,Datos!$D$19,"=")))))</f>
        <v>5</v>
      </c>
      <c r="EH4">
        <f>IF(Evalucion!EI2=Datos!$C$15,Datos!$D$15,IF(Evalucion!EI2=Datos!$C$16,Datos!$D$16,IF(Evalucion!EI2=Datos!$C$17,Datos!$D$17,IF(Evalucion!EI2=Datos!$C$18,Datos!$D$18,IF(Evalucion!EI2=Datos!$C$19,Datos!$D$19,"=")))))</f>
        <v>5</v>
      </c>
      <c r="EI4">
        <f>IF(Evalucion!EJ2=Datos!$C$15,Datos!$D$15,IF(Evalucion!EJ2=Datos!$C$16,Datos!$D$16,IF(Evalucion!EJ2=Datos!$C$17,Datos!$D$17,IF(Evalucion!EJ2=Datos!$C$18,Datos!$D$18,IF(Evalucion!EJ2=Datos!$C$19,Datos!$D$19,"=")))))</f>
        <v>5</v>
      </c>
      <c r="EJ4">
        <f>IF(Evalucion!EK2=Datos!$C$15,Datos!$D$15,IF(Evalucion!EK2=Datos!$C$16,Datos!$D$16,IF(Evalucion!EK2=Datos!$C$17,Datos!$D$17,IF(Evalucion!EK2=Datos!$C$18,Datos!$D$18,IF(Evalucion!EK2=Datos!$C$19,Datos!$D$19,"=")))))</f>
        <v>5</v>
      </c>
      <c r="EK4">
        <f>IF(Evalucion!EL2=Datos!$C$15,Datos!$D$15,IF(Evalucion!EL2=Datos!$C$16,Datos!$D$16,IF(Evalucion!EL2=Datos!$C$17,Datos!$D$17,IF(Evalucion!EL2=Datos!$C$18,Datos!$D$18,IF(Evalucion!EL2=Datos!$C$19,Datos!$D$19,"=")))))</f>
        <v>5</v>
      </c>
      <c r="EL4">
        <f>IF(Evalucion!EM2=Datos!$C$15,Datos!$D$15,IF(Evalucion!EM2=Datos!$C$16,Datos!$D$16,IF(Evalucion!EM2=Datos!$C$17,Datos!$D$17,IF(Evalucion!EM2=Datos!$C$18,Datos!$D$18,IF(Evalucion!EM2=Datos!$C$19,Datos!$D$19,"=")))))</f>
        <v>5</v>
      </c>
      <c r="EM4">
        <f>IF(Evalucion!EN2=Datos!$C$15,Datos!$D$15,IF(Evalucion!EN2=Datos!$C$16,Datos!$D$16,IF(Evalucion!EN2=Datos!$C$17,Datos!$D$17,IF(Evalucion!EN2=Datos!$C$18,Datos!$D$18,IF(Evalucion!EN2=Datos!$C$19,Datos!$D$19,"=")))))</f>
        <v>5</v>
      </c>
      <c r="EN4">
        <f>IF(Evalucion!EO2=Datos!$C$15,Datos!$D$15,IF(Evalucion!EO2=Datos!$C$16,Datos!$D$16,IF(Evalucion!EO2=Datos!$C$17,Datos!$D$17,IF(Evalucion!EO2=Datos!$C$18,Datos!$D$18,IF(Evalucion!EO2=Datos!$C$19,Datos!$D$19,"=")))))</f>
        <v>5</v>
      </c>
      <c r="EO4">
        <f>IF(Evalucion!EP2=Datos!$C$15,Datos!$D$15,IF(Evalucion!EP2=Datos!$C$16,Datos!$D$16,IF(Evalucion!EP2=Datos!$C$17,Datos!$D$17,IF(Evalucion!EP2=Datos!$C$18,Datos!$D$18,IF(Evalucion!EP2=Datos!$C$19,Datos!$D$19,"=")))))</f>
        <v>5</v>
      </c>
      <c r="EP4">
        <f>IF(Evalucion!EQ2=Datos!$C$15,Datos!$D$15,IF(Evalucion!EQ2=Datos!$C$16,Datos!$D$16,IF(Evalucion!EQ2=Datos!$C$17,Datos!$D$17,IF(Evalucion!EQ2=Datos!$C$18,Datos!$D$18,IF(Evalucion!EQ2=Datos!$C$19,Datos!$D$19,"=")))))</f>
        <v>5</v>
      </c>
      <c r="EQ4">
        <f>IF(Evalucion!ER2=Datos!$C$15,Datos!$D$15,IF(Evalucion!ER2=Datos!$C$16,Datos!$D$16,IF(Evalucion!ER2=Datos!$C$17,Datos!$D$17,IF(Evalucion!ER2=Datos!$C$18,Datos!$D$18,IF(Evalucion!ER2=Datos!$C$19,Datos!$D$19,"=")))))</f>
        <v>5</v>
      </c>
      <c r="ER4">
        <f>IF(Evalucion!ES2=Datos!$C$15,Datos!$D$15,IF(Evalucion!ES2=Datos!$C$16,Datos!$D$16,IF(Evalucion!ES2=Datos!$C$17,Datos!$D$17,IF(Evalucion!ES2=Datos!$C$18,Datos!$D$18,IF(Evalucion!ES2=Datos!$C$19,Datos!$D$19,"=")))))</f>
        <v>5</v>
      </c>
      <c r="ES4">
        <f>IF(Evalucion!ET2=Datos!$C$15,Datos!$D$15,IF(Evalucion!ET2=Datos!$C$16,Datos!$D$16,IF(Evalucion!ET2=Datos!$C$17,Datos!$D$17,IF(Evalucion!ET2=Datos!$C$18,Datos!$D$18,IF(Evalucion!ET2=Datos!$C$19,Datos!$D$19,"=")))))</f>
        <v>5</v>
      </c>
      <c r="ET4">
        <f>IF(Evalucion!EU2=Datos!$C$15,Datos!$D$15,IF(Evalucion!EU2=Datos!$C$16,Datos!$D$16,IF(Evalucion!EU2=Datos!$C$17,Datos!$D$17,IF(Evalucion!EU2=Datos!$C$18,Datos!$D$18,IF(Evalucion!EU2=Datos!$C$19,Datos!$D$19,"=")))))</f>
        <v>5</v>
      </c>
      <c r="EU4">
        <f>IF(Evalucion!EV2=Datos!$C$15,Datos!$D$15,IF(Evalucion!EV2=Datos!$C$16,Datos!$D$16,IF(Evalucion!EV2=Datos!$C$17,Datos!$D$17,IF(Evalucion!EV2=Datos!$C$18,Datos!$D$18,IF(Evalucion!EV2=Datos!$C$19,Datos!$D$19,"=")))))</f>
        <v>1</v>
      </c>
      <c r="EV4">
        <f>IF(Evalucion!EW2=Datos!$C$15,Datos!$D$15,IF(Evalucion!EW2=Datos!$C$16,Datos!$D$16,IF(Evalucion!EW2=Datos!$C$17,Datos!$D$17,IF(Evalucion!EW2=Datos!$C$18,Datos!$D$18,IF(Evalucion!EW2=Datos!$C$19,Datos!$D$19,"=")))))</f>
        <v>5</v>
      </c>
      <c r="EW4">
        <f>IF(Evalucion!EX2=Datos!$C$15,Datos!$D$15,IF(Evalucion!EX2=Datos!$C$16,Datos!$D$16,IF(Evalucion!EX2=Datos!$C$17,Datos!$D$17,IF(Evalucion!EX2=Datos!$C$18,Datos!$D$18,IF(Evalucion!EX2=Datos!$C$19,Datos!$D$19,"=")))))</f>
        <v>5</v>
      </c>
      <c r="EX4">
        <f>IF(Evalucion!EY2=Datos!$C$15,Datos!$D$15,IF(Evalucion!EY2=Datos!$C$16,Datos!$D$16,IF(Evalucion!EY2=Datos!$C$17,Datos!$D$17,IF(Evalucion!EY2=Datos!$C$18,Datos!$D$18,IF(Evalucion!EY2=Datos!$C$19,Datos!$D$19,"=")))))</f>
        <v>5</v>
      </c>
      <c r="EY4">
        <f>IF(Evalucion!EZ2=Datos!$C$15,Datos!$D$15,IF(Evalucion!EZ2=Datos!$C$16,Datos!$D$16,IF(Evalucion!EZ2=Datos!$C$17,Datos!$D$17,IF(Evalucion!EZ2=Datos!$C$18,Datos!$D$18,IF(Evalucion!EZ2=Datos!$C$19,Datos!$D$19,"=")))))</f>
        <v>3</v>
      </c>
      <c r="FA4">
        <f>SUMIF($E$2:$EY$2,FA$3,$E4:$EY4)</f>
        <v>315</v>
      </c>
      <c r="FB4">
        <f>SUMIF($E$2:$EY$2,FB$3,$E4:$EY4)</f>
        <v>307</v>
      </c>
      <c r="FC4" s="3">
        <f>FB4/($FB$2*5)</f>
        <v>0.81866666666666665</v>
      </c>
      <c r="FD4" t="str">
        <f t="shared" ref="FD4:FD35" si="0">IF(FC4&gt;0.899,$FI$4,IF(FC4&gt;0.499,$FI$5,$FI$6))</f>
        <v>Conf_CR</v>
      </c>
      <c r="FF4">
        <f t="shared" ref="FF4:FF7" si="1">SUM(E4:EY4)</f>
        <v>622</v>
      </c>
      <c r="FG4">
        <f t="shared" ref="FG4:FG7" si="2">FF4-FB4-FA4</f>
        <v>0</v>
      </c>
      <c r="FI4" s="2" t="s">
        <v>144</v>
      </c>
      <c r="FJ4">
        <f>COUNTIF(FD:FD,FI4)</f>
        <v>0</v>
      </c>
      <c r="FK4" s="3">
        <f>FJ4/$FJ$7</f>
        <v>0</v>
      </c>
    </row>
    <row r="5" spans="1:167" x14ac:dyDescent="0.2">
      <c r="A5">
        <v>2</v>
      </c>
      <c r="B5" t="s">
        <v>246</v>
      </c>
      <c r="C5" t="s">
        <v>191</v>
      </c>
      <c r="D5" s="1">
        <v>43889</v>
      </c>
      <c r="E5">
        <f>IF(Evalucion!F3=Datos!$C$15,Datos!$D$15,IF(Evalucion!F3=Datos!$C$16,Datos!$D$16,IF(Evalucion!F3=Datos!$C$17,Datos!$D$17,IF(Evalucion!F3=Datos!$C$18,Datos!$D$18,IF(Evalucion!F3=Datos!$C$19,Datos!$D$19,"=")))))</f>
        <v>5</v>
      </c>
      <c r="F5">
        <f>IF(Evalucion!G3=Datos!$C$15,Datos!$D$15,IF(Evalucion!G3=Datos!$C$16,Datos!$D$16,IF(Evalucion!G3=Datos!$C$17,Datos!$D$17,IF(Evalucion!G3=Datos!$C$18,Datos!$D$18,IF(Evalucion!G3=Datos!$C$19,Datos!$D$19,"=")))))</f>
        <v>1</v>
      </c>
      <c r="G5">
        <f>IF(Evalucion!H3=Datos!$C$15,Datos!$D$15,IF(Evalucion!H3=Datos!$C$16,Datos!$D$16,IF(Evalucion!H3=Datos!$C$17,Datos!$D$17,IF(Evalucion!H3=Datos!$C$18,Datos!$D$18,IF(Evalucion!H3=Datos!$C$19,Datos!$D$19,"=")))))</f>
        <v>5</v>
      </c>
      <c r="H5">
        <f>IF(Evalucion!I3=Datos!$C$15,Datos!$D$15,IF(Evalucion!I3=Datos!$C$16,Datos!$D$16,IF(Evalucion!I3=Datos!$C$17,Datos!$D$17,IF(Evalucion!I3=Datos!$C$18,Datos!$D$18,IF(Evalucion!I3=Datos!$C$19,Datos!$D$19,"=")))))</f>
        <v>3</v>
      </c>
      <c r="I5">
        <f>IF(Evalucion!J3=Datos!$C$15,Datos!$D$15,IF(Evalucion!J3=Datos!$C$16,Datos!$D$16,IF(Evalucion!J3=Datos!$C$17,Datos!$D$17,IF(Evalucion!J3=Datos!$C$18,Datos!$D$18,IF(Evalucion!J3=Datos!$C$19,Datos!$D$19,"=")))))</f>
        <v>5</v>
      </c>
      <c r="J5">
        <f>IF(Evalucion!K3=Datos!$C$15,Datos!$D$15,IF(Evalucion!K3=Datos!$C$16,Datos!$D$16,IF(Evalucion!K3=Datos!$C$17,Datos!$D$17,IF(Evalucion!K3=Datos!$C$18,Datos!$D$18,IF(Evalucion!K3=Datos!$C$19,Datos!$D$19,"=")))))</f>
        <v>3</v>
      </c>
      <c r="K5">
        <f>IF(Evalucion!L3=Datos!$C$15,Datos!$D$15,IF(Evalucion!L3=Datos!$C$16,Datos!$D$16,IF(Evalucion!L3=Datos!$C$17,Datos!$D$17,IF(Evalucion!L3=Datos!$C$18,Datos!$D$18,IF(Evalucion!L3=Datos!$C$19,Datos!$D$19,"=")))))</f>
        <v>5</v>
      </c>
      <c r="L5">
        <f>IF(Evalucion!M3=Datos!$C$15,Datos!$D$15,IF(Evalucion!M3=Datos!$C$16,Datos!$D$16,IF(Evalucion!M3=Datos!$C$17,Datos!$D$17,IF(Evalucion!M3=Datos!$C$18,Datos!$D$18,IF(Evalucion!M3=Datos!$C$19,Datos!$D$19,"=")))))</f>
        <v>5</v>
      </c>
      <c r="M5">
        <f>IF(Evalucion!N3=Datos!$C$15,Datos!$D$15,IF(Evalucion!N3=Datos!$C$16,Datos!$D$16,IF(Evalucion!N3=Datos!$C$17,Datos!$D$17,IF(Evalucion!N3=Datos!$C$18,Datos!$D$18,IF(Evalucion!N3=Datos!$C$19,Datos!$D$19,"=")))))</f>
        <v>5</v>
      </c>
      <c r="N5">
        <f>IF(Evalucion!O3=Datos!$C$15,Datos!$D$15,IF(Evalucion!O3=Datos!$C$16,Datos!$D$16,IF(Evalucion!O3=Datos!$C$17,Datos!$D$17,IF(Evalucion!O3=Datos!$C$18,Datos!$D$18,IF(Evalucion!O3=Datos!$C$19,Datos!$D$19,"=")))))</f>
        <v>5</v>
      </c>
      <c r="O5">
        <f>IF(Evalucion!P3=Datos!$C$15,Datos!$D$15,IF(Evalucion!P3=Datos!$C$16,Datos!$D$16,IF(Evalucion!P3=Datos!$C$17,Datos!$D$17,IF(Evalucion!P3=Datos!$C$18,Datos!$D$18,IF(Evalucion!P3=Datos!$C$19,Datos!$D$19,"=")))))</f>
        <v>5</v>
      </c>
      <c r="P5">
        <f>IF(Evalucion!Q3=Datos!$C$15,Datos!$D$15,IF(Evalucion!Q3=Datos!$C$16,Datos!$D$16,IF(Evalucion!Q3=Datos!$C$17,Datos!$D$17,IF(Evalucion!Q3=Datos!$C$18,Datos!$D$18,IF(Evalucion!Q3=Datos!$C$19,Datos!$D$19,"=")))))</f>
        <v>3</v>
      </c>
      <c r="Q5">
        <f>IF(Evalucion!R3=Datos!$C$15,Datos!$D$15,IF(Evalucion!R3=Datos!$C$16,Datos!$D$16,IF(Evalucion!R3=Datos!$C$17,Datos!$D$17,IF(Evalucion!R3=Datos!$C$18,Datos!$D$18,IF(Evalucion!R3=Datos!$C$19,Datos!$D$19,"=")))))</f>
        <v>5</v>
      </c>
      <c r="R5">
        <f>IF(Evalucion!S3=Datos!$C$15,Datos!$D$15,IF(Evalucion!S3=Datos!$C$16,Datos!$D$16,IF(Evalucion!S3=Datos!$C$17,Datos!$D$17,IF(Evalucion!S3=Datos!$C$18,Datos!$D$18,IF(Evalucion!S3=Datos!$C$19,Datos!$D$19,"=")))))</f>
        <v>5</v>
      </c>
      <c r="S5">
        <f>IF(Evalucion!T3=Datos!$C$15,Datos!$D$15,IF(Evalucion!T3=Datos!$C$16,Datos!$D$16,IF(Evalucion!T3=Datos!$C$17,Datos!$D$17,IF(Evalucion!T3=Datos!$C$18,Datos!$D$18,IF(Evalucion!T3=Datos!$C$19,Datos!$D$19,"=")))))</f>
        <v>5</v>
      </c>
      <c r="T5">
        <f>IF(Evalucion!U3=Datos!$C$15,Datos!$D$15,IF(Evalucion!U3=Datos!$C$16,Datos!$D$16,IF(Evalucion!U3=Datos!$C$17,Datos!$D$17,IF(Evalucion!U3=Datos!$C$18,Datos!$D$18,IF(Evalucion!U3=Datos!$C$19,Datos!$D$19,"=")))))</f>
        <v>5</v>
      </c>
      <c r="U5">
        <f>IF(Evalucion!V3=Datos!$C$15,Datos!$D$15,IF(Evalucion!V3=Datos!$C$16,Datos!$D$16,IF(Evalucion!V3=Datos!$C$17,Datos!$D$17,IF(Evalucion!V3=Datos!$C$18,Datos!$D$18,IF(Evalucion!V3=Datos!$C$19,Datos!$D$19,"=")))))</f>
        <v>5</v>
      </c>
      <c r="V5">
        <f>IF(Evalucion!W3=Datos!$C$15,Datos!$D$15,IF(Evalucion!W3=Datos!$C$16,Datos!$D$16,IF(Evalucion!W3=Datos!$C$17,Datos!$D$17,IF(Evalucion!W3=Datos!$C$18,Datos!$D$18,IF(Evalucion!W3=Datos!$C$19,Datos!$D$19,"=")))))</f>
        <v>5</v>
      </c>
      <c r="W5">
        <f>IF(Evalucion!X3=Datos!$C$15,Datos!$D$15,IF(Evalucion!X3=Datos!$C$16,Datos!$D$16,IF(Evalucion!X3=Datos!$C$17,Datos!$D$17,IF(Evalucion!X3=Datos!$C$18,Datos!$D$18,IF(Evalucion!X3=Datos!$C$19,Datos!$D$19,"=")))))</f>
        <v>5</v>
      </c>
      <c r="X5">
        <f>IF(Evalucion!Y3=Datos!$C$15,Datos!$D$15,IF(Evalucion!Y3=Datos!$C$16,Datos!$D$16,IF(Evalucion!Y3=Datos!$C$17,Datos!$D$17,IF(Evalucion!Y3=Datos!$C$18,Datos!$D$18,IF(Evalucion!Y3=Datos!$C$19,Datos!$D$19,"=")))))</f>
        <v>5</v>
      </c>
      <c r="Y5">
        <f>IF(Evalucion!Z3=Datos!$C$15,Datos!$D$15,IF(Evalucion!Z3=Datos!$C$16,Datos!$D$16,IF(Evalucion!Z3=Datos!$C$17,Datos!$D$17,IF(Evalucion!Z3=Datos!$C$18,Datos!$D$18,IF(Evalucion!Z3=Datos!$C$19,Datos!$D$19,"=")))))</f>
        <v>5</v>
      </c>
      <c r="Z5">
        <f>IF(Evalucion!AA3=Datos!$C$15,Datos!$D$15,IF(Evalucion!AA3=Datos!$C$16,Datos!$D$16,IF(Evalucion!AA3=Datos!$C$17,Datos!$D$17,IF(Evalucion!AA3=Datos!$C$18,Datos!$D$18,IF(Evalucion!AA3=Datos!$C$19,Datos!$D$19,"=")))))</f>
        <v>5</v>
      </c>
      <c r="AA5">
        <f>IF(Evalucion!AB3=Datos!$C$15,Datos!$D$15,IF(Evalucion!AB3=Datos!$C$16,Datos!$D$16,IF(Evalucion!AB3=Datos!$C$17,Datos!$D$17,IF(Evalucion!AB3=Datos!$C$18,Datos!$D$18,IF(Evalucion!AB3=Datos!$C$19,Datos!$D$19,"=")))))</f>
        <v>5</v>
      </c>
      <c r="AB5">
        <f>IF(Evalucion!AC3=Datos!$C$15,Datos!$D$15,IF(Evalucion!AC3=Datos!$C$16,Datos!$D$16,IF(Evalucion!AC3=Datos!$C$17,Datos!$D$17,IF(Evalucion!AC3=Datos!$C$18,Datos!$D$18,IF(Evalucion!AC3=Datos!$C$19,Datos!$D$19,"=")))))</f>
        <v>5</v>
      </c>
      <c r="AC5">
        <f>IF(Evalucion!AD3=Datos!$C$15,Datos!$D$15,IF(Evalucion!AD3=Datos!$C$16,Datos!$D$16,IF(Evalucion!AD3=Datos!$C$17,Datos!$D$17,IF(Evalucion!AD3=Datos!$C$18,Datos!$D$18,IF(Evalucion!AD3=Datos!$C$19,Datos!$D$19,"=")))))</f>
        <v>5</v>
      </c>
      <c r="AD5">
        <f>IF(Evalucion!AE3=Datos!$C$15,Datos!$D$15,IF(Evalucion!AE3=Datos!$C$16,Datos!$D$16,IF(Evalucion!AE3=Datos!$C$17,Datos!$D$17,IF(Evalucion!AE3=Datos!$C$18,Datos!$D$18,IF(Evalucion!AE3=Datos!$C$19,Datos!$D$19,"=")))))</f>
        <v>5</v>
      </c>
      <c r="AE5">
        <f>IF(Evalucion!AF3=Datos!$C$15,Datos!$D$15,IF(Evalucion!AF3=Datos!$C$16,Datos!$D$16,IF(Evalucion!AF3=Datos!$C$17,Datos!$D$17,IF(Evalucion!AF3=Datos!$C$18,Datos!$D$18,IF(Evalucion!AF3=Datos!$C$19,Datos!$D$19,"=")))))</f>
        <v>5</v>
      </c>
      <c r="AF5">
        <f>IF(Evalucion!AG3=Datos!$C$15,Datos!$D$15,IF(Evalucion!AG3=Datos!$C$16,Datos!$D$16,IF(Evalucion!AG3=Datos!$C$17,Datos!$D$17,IF(Evalucion!AG3=Datos!$C$18,Datos!$D$18,IF(Evalucion!AG3=Datos!$C$19,Datos!$D$19,"=")))))</f>
        <v>5</v>
      </c>
      <c r="AO5">
        <f>IF(Evalucion!AP3=Datos!$C$15,Datos!$D$15,IF(Evalucion!AP3=Datos!$C$16,Datos!$D$16,IF(Evalucion!AP3=Datos!$C$17,Datos!$D$17,IF(Evalucion!AP3=Datos!$C$18,Datos!$D$18,IF(Evalucion!AP3=Datos!$C$19,Datos!$D$19,"=")))))</f>
        <v>5</v>
      </c>
      <c r="AP5">
        <f>IF(Evalucion!AQ3=Datos!$C$15,Datos!$D$15,IF(Evalucion!AQ3=Datos!$C$16,Datos!$D$16,IF(Evalucion!AQ3=Datos!$C$17,Datos!$D$17,IF(Evalucion!AQ3=Datos!$C$18,Datos!$D$18,IF(Evalucion!AQ3=Datos!$C$19,Datos!$D$19,"=")))))</f>
        <v>5</v>
      </c>
      <c r="AQ5">
        <f>IF(Evalucion!AR3=Datos!$C$15,Datos!$D$15,IF(Evalucion!AR3=Datos!$C$16,Datos!$D$16,IF(Evalucion!AR3=Datos!$C$17,Datos!$D$17,IF(Evalucion!AR3=Datos!$C$18,Datos!$D$18,IF(Evalucion!AR3=Datos!$C$19,Datos!$D$19,"=")))))</f>
        <v>1</v>
      </c>
      <c r="AR5">
        <f>IF(Evalucion!AS3=Datos!$C$15,Datos!$D$15,IF(Evalucion!AS3=Datos!$C$16,Datos!$D$16,IF(Evalucion!AS3=Datos!$C$17,Datos!$D$17,IF(Evalucion!AS3=Datos!$C$18,Datos!$D$18,IF(Evalucion!AS3=Datos!$C$19,Datos!$D$19,"=")))))</f>
        <v>5</v>
      </c>
      <c r="AS5">
        <f>IF(Evalucion!AT3=Datos!$C$15,Datos!$D$15,IF(Evalucion!AT3=Datos!$C$16,Datos!$D$16,IF(Evalucion!AT3=Datos!$C$17,Datos!$D$17,IF(Evalucion!AT3=Datos!$C$18,Datos!$D$18,IF(Evalucion!AT3=Datos!$C$19,Datos!$D$19,"=")))))</f>
        <v>1</v>
      </c>
      <c r="AT5">
        <f>IF(Evalucion!AU3=Datos!$C$15,Datos!$D$15,IF(Evalucion!AU3=Datos!$C$16,Datos!$D$16,IF(Evalucion!AU3=Datos!$C$17,Datos!$D$17,IF(Evalucion!AU3=Datos!$C$18,Datos!$D$18,IF(Evalucion!AU3=Datos!$C$19,Datos!$D$19,"=")))))</f>
        <v>5</v>
      </c>
      <c r="AV5">
        <f>IF(Evalucion!AW3=Datos!$C$15,Datos!$D$15,IF(Evalucion!AW3=Datos!$C$16,Datos!$D$16,IF(Evalucion!AW3=Datos!$C$17,Datos!$D$17,IF(Evalucion!AW3=Datos!$C$18,Datos!$D$18,IF(Evalucion!AW3=Datos!$C$19,Datos!$D$19,"=")))))</f>
        <v>1</v>
      </c>
      <c r="AW5">
        <f>IF(Evalucion!AX3=Datos!$C$15,Datos!$D$15,IF(Evalucion!AX3=Datos!$C$16,Datos!$D$16,IF(Evalucion!AX3=Datos!$C$17,Datos!$D$17,IF(Evalucion!AX3=Datos!$C$18,Datos!$D$18,IF(Evalucion!AX3=Datos!$C$19,Datos!$D$19,"=")))))</f>
        <v>5</v>
      </c>
      <c r="AX5">
        <f>IF(Evalucion!AY3=Datos!$C$15,Datos!$D$15,IF(Evalucion!AY3=Datos!$C$16,Datos!$D$16,IF(Evalucion!AY3=Datos!$C$17,Datos!$D$17,IF(Evalucion!AY3=Datos!$C$18,Datos!$D$18,IF(Evalucion!AY3=Datos!$C$19,Datos!$D$19,"=")))))</f>
        <v>5</v>
      </c>
      <c r="AY5">
        <f>IF(Evalucion!AZ3=Datos!$C$15,Datos!$D$15,IF(Evalucion!AZ3=Datos!$C$16,Datos!$D$16,IF(Evalucion!AZ3=Datos!$C$17,Datos!$D$17,IF(Evalucion!AZ3=Datos!$C$18,Datos!$D$18,IF(Evalucion!AZ3=Datos!$C$19,Datos!$D$19,"=")))))</f>
        <v>5</v>
      </c>
      <c r="AZ5">
        <f>IF(Evalucion!BA3=Datos!$C$15,Datos!$D$15,IF(Evalucion!BA3=Datos!$C$16,Datos!$D$16,IF(Evalucion!BA3=Datos!$C$17,Datos!$D$17,IF(Evalucion!BA3=Datos!$C$18,Datos!$D$18,IF(Evalucion!BA3=Datos!$C$19,Datos!$D$19,"=")))))</f>
        <v>5</v>
      </c>
      <c r="BA5">
        <f>IF(Evalucion!BB3=Datos!$C$15,Datos!$D$15,IF(Evalucion!BB3=Datos!$C$16,Datos!$D$16,IF(Evalucion!BB3=Datos!$C$17,Datos!$D$17,IF(Evalucion!BB3=Datos!$C$18,Datos!$D$18,IF(Evalucion!BB3=Datos!$C$19,Datos!$D$19,"=")))))</f>
        <v>5</v>
      </c>
      <c r="BB5">
        <f>IF(Evalucion!BC3=Datos!$C$15,Datos!$D$15,IF(Evalucion!BC3=Datos!$C$16,Datos!$D$16,IF(Evalucion!BC3=Datos!$C$17,Datos!$D$17,IF(Evalucion!BC3=Datos!$C$18,Datos!$D$18,IF(Evalucion!BC3=Datos!$C$19,Datos!$D$19,"=")))))</f>
        <v>5</v>
      </c>
      <c r="BC5">
        <f>IF(Evalucion!BD3=Datos!$C$15,Datos!$D$15,IF(Evalucion!BD3=Datos!$C$16,Datos!$D$16,IF(Evalucion!BD3=Datos!$C$17,Datos!$D$17,IF(Evalucion!BD3=Datos!$C$18,Datos!$D$18,IF(Evalucion!BD3=Datos!$C$19,Datos!$D$19,"=")))))</f>
        <v>5</v>
      </c>
      <c r="BD5">
        <f>IF(Evalucion!BE3=Datos!$C$15,Datos!$D$15,IF(Evalucion!BE3=Datos!$C$16,Datos!$D$16,IF(Evalucion!BE3=Datos!$C$17,Datos!$D$17,IF(Evalucion!BE3=Datos!$C$18,Datos!$D$18,IF(Evalucion!BE3=Datos!$C$19,Datos!$D$19,"=")))))</f>
        <v>5</v>
      </c>
      <c r="BE5">
        <f>IF(Evalucion!BF3=Datos!$C$15,Datos!$D$15,IF(Evalucion!BF3=Datos!$C$16,Datos!$D$16,IF(Evalucion!BF3=Datos!$C$17,Datos!$D$17,IF(Evalucion!BF3=Datos!$C$18,Datos!$D$18,IF(Evalucion!BF3=Datos!$C$19,Datos!$D$19,"=")))))</f>
        <v>5</v>
      </c>
      <c r="BF5">
        <f>IF(Evalucion!BG3=Datos!$C$15,Datos!$D$15,IF(Evalucion!BG3=Datos!$C$16,Datos!$D$16,IF(Evalucion!BG3=Datos!$C$17,Datos!$D$17,IF(Evalucion!BG3=Datos!$C$18,Datos!$D$18,IF(Evalucion!BG3=Datos!$C$19,Datos!$D$19,"=")))))</f>
        <v>5</v>
      </c>
      <c r="BG5">
        <f>IF(Evalucion!BH3=Datos!$C$15,Datos!$D$15,IF(Evalucion!BH3=Datos!$C$16,Datos!$D$16,IF(Evalucion!BH3=Datos!$C$17,Datos!$D$17,IF(Evalucion!BH3=Datos!$C$18,Datos!$D$18,IF(Evalucion!BH3=Datos!$C$19,Datos!$D$19,"=")))))</f>
        <v>5</v>
      </c>
      <c r="BH5">
        <f>IF(Evalucion!BI3=Datos!$C$15,Datos!$D$15,IF(Evalucion!BI3=Datos!$C$16,Datos!$D$16,IF(Evalucion!BI3=Datos!$C$17,Datos!$D$17,IF(Evalucion!BI3=Datos!$C$18,Datos!$D$18,IF(Evalucion!BI3=Datos!$C$19,Datos!$D$19,"=")))))</f>
        <v>5</v>
      </c>
      <c r="BI5">
        <f>IF(Evalucion!BJ3=Datos!$C$15,Datos!$D$15,IF(Evalucion!BJ3=Datos!$C$16,Datos!$D$16,IF(Evalucion!BJ3=Datos!$C$17,Datos!$D$17,IF(Evalucion!BJ3=Datos!$C$18,Datos!$D$18,IF(Evalucion!BJ3=Datos!$C$19,Datos!$D$19,"=")))))</f>
        <v>5</v>
      </c>
      <c r="BJ5">
        <f>IF(Evalucion!BK3=Datos!$C$15,Datos!$D$15,IF(Evalucion!BK3=Datos!$C$16,Datos!$D$16,IF(Evalucion!BK3=Datos!$C$17,Datos!$D$17,IF(Evalucion!BK3=Datos!$C$18,Datos!$D$18,IF(Evalucion!BK3=Datos!$C$19,Datos!$D$19,"=")))))</f>
        <v>5</v>
      </c>
      <c r="BK5">
        <f>IF(Evalucion!BL3=Datos!$C$15,Datos!$D$15,IF(Evalucion!BL3=Datos!$C$16,Datos!$D$16,IF(Evalucion!BL3=Datos!$C$17,Datos!$D$17,IF(Evalucion!BL3=Datos!$C$18,Datos!$D$18,IF(Evalucion!BL3=Datos!$C$19,Datos!$D$19,"=")))))</f>
        <v>5</v>
      </c>
      <c r="BL5">
        <f>IF(Evalucion!BM3=Datos!$C$15,Datos!$D$15,IF(Evalucion!BM3=Datos!$C$16,Datos!$D$16,IF(Evalucion!BM3=Datos!$C$17,Datos!$D$17,IF(Evalucion!BM3=Datos!$C$18,Datos!$D$18,IF(Evalucion!BM3=Datos!$C$19,Datos!$D$19,"=")))))</f>
        <v>5</v>
      </c>
      <c r="BM5">
        <f>IF(Evalucion!BN3=Datos!$C$15,Datos!$D$15,IF(Evalucion!BN3=Datos!$C$16,Datos!$D$16,IF(Evalucion!BN3=Datos!$C$17,Datos!$D$17,IF(Evalucion!BN3=Datos!$C$18,Datos!$D$18,IF(Evalucion!BN3=Datos!$C$19,Datos!$D$19,"=")))))</f>
        <v>5</v>
      </c>
      <c r="BN5">
        <f>IF(Evalucion!BO3=Datos!$C$15,Datos!$D$15,IF(Evalucion!BO3=Datos!$C$16,Datos!$D$16,IF(Evalucion!BO3=Datos!$C$17,Datos!$D$17,IF(Evalucion!BO3=Datos!$C$18,Datos!$D$18,IF(Evalucion!BO3=Datos!$C$19,Datos!$D$19,"=")))))</f>
        <v>5</v>
      </c>
      <c r="BO5">
        <f>IF(Evalucion!BP3=Datos!$C$15,Datos!$D$15,IF(Evalucion!BP3=Datos!$C$16,Datos!$D$16,IF(Evalucion!BP3=Datos!$C$17,Datos!$D$17,IF(Evalucion!BP3=Datos!$C$18,Datos!$D$18,IF(Evalucion!BP3=Datos!$C$19,Datos!$D$19,"=")))))</f>
        <v>5</v>
      </c>
      <c r="BP5">
        <f>IF(Evalucion!BQ3=Datos!$C$15,Datos!$D$15,IF(Evalucion!BQ3=Datos!$C$16,Datos!$D$16,IF(Evalucion!BQ3=Datos!$C$17,Datos!$D$17,IF(Evalucion!BQ3=Datos!$C$18,Datos!$D$18,IF(Evalucion!BQ3=Datos!$C$19,Datos!$D$19,"=")))))</f>
        <v>5</v>
      </c>
      <c r="BQ5">
        <f>IF(Evalucion!BR3=Datos!$C$15,Datos!$D$15,IF(Evalucion!BR3=Datos!$C$16,Datos!$D$16,IF(Evalucion!BR3=Datos!$C$17,Datos!$D$17,IF(Evalucion!BR3=Datos!$C$18,Datos!$D$18,IF(Evalucion!BR3=Datos!$C$19,Datos!$D$19,"=")))))</f>
        <v>5</v>
      </c>
      <c r="BR5">
        <f>IF(Evalucion!BS3=Datos!$C$15,Datos!$D$15,IF(Evalucion!BS3=Datos!$C$16,Datos!$D$16,IF(Evalucion!BS3=Datos!$C$17,Datos!$D$17,IF(Evalucion!BS3=Datos!$C$18,Datos!$D$18,IF(Evalucion!BS3=Datos!$C$19,Datos!$D$19,"=")))))</f>
        <v>1</v>
      </c>
      <c r="BS5">
        <f>IF(Evalucion!BT3=Datos!$C$15,Datos!$D$15,IF(Evalucion!BT3=Datos!$C$16,Datos!$D$16,IF(Evalucion!BT3=Datos!$C$17,Datos!$D$17,IF(Evalucion!BT3=Datos!$C$18,Datos!$D$18,IF(Evalucion!BT3=Datos!$C$19,Datos!$D$19,"=")))))</f>
        <v>5</v>
      </c>
      <c r="BT5">
        <f>IF(Evalucion!BU3=Datos!$C$15,Datos!$D$15,IF(Evalucion!BU3=Datos!$C$16,Datos!$D$16,IF(Evalucion!BU3=Datos!$C$17,Datos!$D$17,IF(Evalucion!BU3=Datos!$C$18,Datos!$D$18,IF(Evalucion!BU3=Datos!$C$19,Datos!$D$19,"=")))))</f>
        <v>5</v>
      </c>
      <c r="BU5">
        <f>IF(Evalucion!BV3=Datos!$C$15,Datos!$D$15,IF(Evalucion!BV3=Datos!$C$16,Datos!$D$16,IF(Evalucion!BV3=Datos!$C$17,Datos!$D$17,IF(Evalucion!BV3=Datos!$C$18,Datos!$D$18,IF(Evalucion!BV3=Datos!$C$19,Datos!$D$19,"=")))))</f>
        <v>5</v>
      </c>
      <c r="BV5">
        <f>IF(Evalucion!BW3=Datos!$C$15,Datos!$D$15,IF(Evalucion!BW3=Datos!$C$16,Datos!$D$16,IF(Evalucion!BW3=Datos!$C$17,Datos!$D$17,IF(Evalucion!BW3=Datos!$C$18,Datos!$D$18,IF(Evalucion!BW3=Datos!$C$19,Datos!$D$19,"=")))))</f>
        <v>5</v>
      </c>
      <c r="BW5">
        <f>IF(Evalucion!BX3=Datos!$C$15,Datos!$D$15,IF(Evalucion!BX3=Datos!$C$16,Datos!$D$16,IF(Evalucion!BX3=Datos!$C$17,Datos!$D$17,IF(Evalucion!BX3=Datos!$C$18,Datos!$D$18,IF(Evalucion!BX3=Datos!$C$19,Datos!$D$19,"=")))))</f>
        <v>5</v>
      </c>
      <c r="BX5">
        <f>IF(Evalucion!BY3=Datos!$C$15,Datos!$D$15,IF(Evalucion!BY3=Datos!$C$16,Datos!$D$16,IF(Evalucion!BY3=Datos!$C$17,Datos!$D$17,IF(Evalucion!BY3=Datos!$C$18,Datos!$D$18,IF(Evalucion!BY3=Datos!$C$19,Datos!$D$19,"=")))))</f>
        <v>5</v>
      </c>
      <c r="BY5">
        <f>IF(Evalucion!BZ3=Datos!$C$15,Datos!$D$15,IF(Evalucion!BZ3=Datos!$C$16,Datos!$D$16,IF(Evalucion!BZ3=Datos!$C$17,Datos!$D$17,IF(Evalucion!BZ3=Datos!$C$18,Datos!$D$18,IF(Evalucion!BZ3=Datos!$C$19,Datos!$D$19,"=")))))</f>
        <v>5</v>
      </c>
      <c r="BZ5">
        <f>IF(Evalucion!CA3=Datos!$C$15,Datos!$D$15,IF(Evalucion!CA3=Datos!$C$16,Datos!$D$16,IF(Evalucion!CA3=Datos!$C$17,Datos!$D$17,IF(Evalucion!CA3=Datos!$C$18,Datos!$D$18,IF(Evalucion!CA3=Datos!$C$19,Datos!$D$19,"=")))))</f>
        <v>1</v>
      </c>
      <c r="CA5">
        <f>IF(Evalucion!CB3=Datos!$C$15,Datos!$D$15,IF(Evalucion!CB3=Datos!$C$16,Datos!$D$16,IF(Evalucion!CB3=Datos!$C$17,Datos!$D$17,IF(Evalucion!CB3=Datos!$C$18,Datos!$D$18,IF(Evalucion!CB3=Datos!$C$19,Datos!$D$19,"=")))))</f>
        <v>5</v>
      </c>
      <c r="CB5">
        <f>IF(Evalucion!CC3=Datos!$C$15,Datos!$D$15,IF(Evalucion!CC3=Datos!$C$16,Datos!$D$16,IF(Evalucion!CC3=Datos!$C$17,Datos!$D$17,IF(Evalucion!CC3=Datos!$C$18,Datos!$D$18,IF(Evalucion!CC3=Datos!$C$19,Datos!$D$19,"=")))))</f>
        <v>5</v>
      </c>
      <c r="CC5">
        <f>IF(Evalucion!CD3=Datos!$C$15,Datos!$D$15,IF(Evalucion!CD3=Datos!$C$16,Datos!$D$16,IF(Evalucion!CD3=Datos!$C$17,Datos!$D$17,IF(Evalucion!CD3=Datos!$C$18,Datos!$D$18,IF(Evalucion!CD3=Datos!$C$19,Datos!$D$19,"=")))))</f>
        <v>5</v>
      </c>
      <c r="CD5">
        <f>IF(Evalucion!CE3=Datos!$C$15,Datos!$D$15,IF(Evalucion!CE3=Datos!$C$16,Datos!$D$16,IF(Evalucion!CE3=Datos!$C$17,Datos!$D$17,IF(Evalucion!CE3=Datos!$C$18,Datos!$D$18,IF(Evalucion!CE3=Datos!$C$19,Datos!$D$19,"=")))))</f>
        <v>5</v>
      </c>
      <c r="CE5">
        <f>IF(Evalucion!CF3=Datos!$C$15,Datos!$D$15,IF(Evalucion!CF3=Datos!$C$16,Datos!$D$16,IF(Evalucion!CF3=Datos!$C$17,Datos!$D$17,IF(Evalucion!CF3=Datos!$C$18,Datos!$D$18,IF(Evalucion!CF3=Datos!$C$19,Datos!$D$19,"=")))))</f>
        <v>5</v>
      </c>
      <c r="CF5">
        <f>IF(Evalucion!CG3=Datos!$C$15,Datos!$D$15,IF(Evalucion!CG3=Datos!$C$16,Datos!$D$16,IF(Evalucion!CG3=Datos!$C$17,Datos!$D$17,IF(Evalucion!CG3=Datos!$C$18,Datos!$D$18,IF(Evalucion!CG3=Datos!$C$19,Datos!$D$19,"=")))))</f>
        <v>5</v>
      </c>
      <c r="CG5">
        <f>IF(Evalucion!CH3=Datos!$C$15,Datos!$D$15,IF(Evalucion!CH3=Datos!$C$16,Datos!$D$16,IF(Evalucion!CH3=Datos!$C$17,Datos!$D$17,IF(Evalucion!CH3=Datos!$C$18,Datos!$D$18,IF(Evalucion!CH3=Datos!$C$19,Datos!$D$19,"=")))))</f>
        <v>5</v>
      </c>
      <c r="CH5">
        <f>IF(Evalucion!CI3=Datos!$C$15,Datos!$D$15,IF(Evalucion!CI3=Datos!$C$16,Datos!$D$16,IF(Evalucion!CI3=Datos!$C$17,Datos!$D$17,IF(Evalucion!CI3=Datos!$C$18,Datos!$D$18,IF(Evalucion!CI3=Datos!$C$19,Datos!$D$19,"=")))))</f>
        <v>5</v>
      </c>
      <c r="CI5">
        <f>IF(Evalucion!CJ3=Datos!$C$15,Datos!$D$15,IF(Evalucion!CJ3=Datos!$C$16,Datos!$D$16,IF(Evalucion!CJ3=Datos!$C$17,Datos!$D$17,IF(Evalucion!CJ3=Datos!$C$18,Datos!$D$18,IF(Evalucion!CJ3=Datos!$C$19,Datos!$D$19,"=")))))</f>
        <v>5</v>
      </c>
      <c r="CJ5">
        <f>IF(Evalucion!CK3=Datos!$C$15,Datos!$D$15,IF(Evalucion!CK3=Datos!$C$16,Datos!$D$16,IF(Evalucion!CK3=Datos!$C$17,Datos!$D$17,IF(Evalucion!CK3=Datos!$C$18,Datos!$D$18,IF(Evalucion!CK3=Datos!$C$19,Datos!$D$19,"=")))))</f>
        <v>5</v>
      </c>
      <c r="CK5">
        <f>IF(Evalucion!CL3=Datos!$C$15,Datos!$D$15,IF(Evalucion!CL3=Datos!$C$16,Datos!$D$16,IF(Evalucion!CL3=Datos!$C$17,Datos!$D$17,IF(Evalucion!CL3=Datos!$C$18,Datos!$D$18,IF(Evalucion!CL3=Datos!$C$19,Datos!$D$19,"=")))))</f>
        <v>5</v>
      </c>
      <c r="CL5">
        <f>IF(Evalucion!CM3=Datos!$C$15,Datos!$D$15,IF(Evalucion!CM3=Datos!$C$16,Datos!$D$16,IF(Evalucion!CM3=Datos!$C$17,Datos!$D$17,IF(Evalucion!CM3=Datos!$C$18,Datos!$D$18,IF(Evalucion!CM3=Datos!$C$19,Datos!$D$19,"=")))))</f>
        <v>5</v>
      </c>
      <c r="CM5">
        <f>IF(Evalucion!CN3=Datos!$C$15,Datos!$D$15,IF(Evalucion!CN3=Datos!$C$16,Datos!$D$16,IF(Evalucion!CN3=Datos!$C$17,Datos!$D$17,IF(Evalucion!CN3=Datos!$C$18,Datos!$D$18,IF(Evalucion!CN3=Datos!$C$19,Datos!$D$19,"=")))))</f>
        <v>5</v>
      </c>
      <c r="CN5">
        <f>IF(Evalucion!CO3=Datos!$C$15,Datos!$D$15,IF(Evalucion!CO3=Datos!$C$16,Datos!$D$16,IF(Evalucion!CO3=Datos!$C$17,Datos!$D$17,IF(Evalucion!CO3=Datos!$C$18,Datos!$D$18,IF(Evalucion!CO3=Datos!$C$19,Datos!$D$19,"=")))))</f>
        <v>5</v>
      </c>
      <c r="CO5">
        <f>IF(Evalucion!CP3=Datos!$C$15,Datos!$D$15,IF(Evalucion!CP3=Datos!$C$16,Datos!$D$16,IF(Evalucion!CP3=Datos!$C$17,Datos!$D$17,IF(Evalucion!CP3=Datos!$C$18,Datos!$D$18,IF(Evalucion!CP3=Datos!$C$19,Datos!$D$19,"=")))))</f>
        <v>5</v>
      </c>
      <c r="CP5">
        <f>IF(Evalucion!CQ3=Datos!$C$15,Datos!$D$15,IF(Evalucion!CQ3=Datos!$C$16,Datos!$D$16,IF(Evalucion!CQ3=Datos!$C$17,Datos!$D$17,IF(Evalucion!CQ3=Datos!$C$18,Datos!$D$18,IF(Evalucion!CQ3=Datos!$C$19,Datos!$D$19,"=")))))</f>
        <v>5</v>
      </c>
      <c r="CQ5">
        <f>IF(Evalucion!CR3=Datos!$C$15,Datos!$D$15,IF(Evalucion!CR3=Datos!$C$16,Datos!$D$16,IF(Evalucion!CR3=Datos!$C$17,Datos!$D$17,IF(Evalucion!CR3=Datos!$C$18,Datos!$D$18,IF(Evalucion!CR3=Datos!$C$19,Datos!$D$19,"=")))))</f>
        <v>5</v>
      </c>
      <c r="CR5">
        <f>IF(Evalucion!CS3=Datos!$C$15,Datos!$D$15,IF(Evalucion!CS3=Datos!$C$16,Datos!$D$16,IF(Evalucion!CS3=Datos!$C$17,Datos!$D$17,IF(Evalucion!CS3=Datos!$C$18,Datos!$D$18,IF(Evalucion!CS3=Datos!$C$19,Datos!$D$19,"=")))))</f>
        <v>5</v>
      </c>
      <c r="CS5">
        <f>IF(Evalucion!CT3=Datos!$C$15,Datos!$D$15,IF(Evalucion!CT3=Datos!$C$16,Datos!$D$16,IF(Evalucion!CT3=Datos!$C$17,Datos!$D$17,IF(Evalucion!CT3=Datos!$C$18,Datos!$D$18,IF(Evalucion!CT3=Datos!$C$19,Datos!$D$19,"=")))))</f>
        <v>5</v>
      </c>
      <c r="CT5">
        <f>IF(Evalucion!CU3=Datos!$C$15,Datos!$D$15,IF(Evalucion!CU3=Datos!$C$16,Datos!$D$16,IF(Evalucion!CU3=Datos!$C$17,Datos!$D$17,IF(Evalucion!CU3=Datos!$C$18,Datos!$D$18,IF(Evalucion!CU3=Datos!$C$19,Datos!$D$19,"=")))))</f>
        <v>5</v>
      </c>
      <c r="CU5">
        <f>IF(Evalucion!CV3=Datos!$C$15,Datos!$D$15,IF(Evalucion!CV3=Datos!$C$16,Datos!$D$16,IF(Evalucion!CV3=Datos!$C$17,Datos!$D$17,IF(Evalucion!CV3=Datos!$C$18,Datos!$D$18,IF(Evalucion!CV3=Datos!$C$19,Datos!$D$19,"=")))))</f>
        <v>3</v>
      </c>
      <c r="CV5">
        <f>IF(Evalucion!CW3=Datos!$C$15,Datos!$D$15,IF(Evalucion!CW3=Datos!$C$16,Datos!$D$16,IF(Evalucion!CW3=Datos!$C$17,Datos!$D$17,IF(Evalucion!CW3=Datos!$C$18,Datos!$D$18,IF(Evalucion!CW3=Datos!$C$19,Datos!$D$19,"=")))))</f>
        <v>5</v>
      </c>
      <c r="CW5">
        <f>IF(Evalucion!CX3=Datos!$C$15,Datos!$D$15,IF(Evalucion!CX3=Datos!$C$16,Datos!$D$16,IF(Evalucion!CX3=Datos!$C$17,Datos!$D$17,IF(Evalucion!CX3=Datos!$C$18,Datos!$D$18,IF(Evalucion!CX3=Datos!$C$19,Datos!$D$19,"=")))))</f>
        <v>5</v>
      </c>
      <c r="CX5">
        <f>IF(Evalucion!CY3=Datos!$C$15,Datos!$D$15,IF(Evalucion!CY3=Datos!$C$16,Datos!$D$16,IF(Evalucion!CY3=Datos!$C$17,Datos!$D$17,IF(Evalucion!CY3=Datos!$C$18,Datos!$D$18,IF(Evalucion!CY3=Datos!$C$19,Datos!$D$19,"=")))))</f>
        <v>5</v>
      </c>
      <c r="CY5">
        <f>IF(Evalucion!CZ3=Datos!$C$15,Datos!$D$15,IF(Evalucion!CZ3=Datos!$C$16,Datos!$D$16,IF(Evalucion!CZ3=Datos!$C$17,Datos!$D$17,IF(Evalucion!CZ3=Datos!$C$18,Datos!$D$18,IF(Evalucion!CZ3=Datos!$C$19,Datos!$D$19,"=")))))</f>
        <v>5</v>
      </c>
      <c r="CZ5">
        <f>IF(Evalucion!DA3=Datos!$C$15,Datos!$D$15,IF(Evalucion!DA3=Datos!$C$16,Datos!$D$16,IF(Evalucion!DA3=Datos!$C$17,Datos!$D$17,IF(Evalucion!DA3=Datos!$C$18,Datos!$D$18,IF(Evalucion!DA3=Datos!$C$19,Datos!$D$19,"=")))))</f>
        <v>5</v>
      </c>
      <c r="DA5">
        <f>IF(Evalucion!DB3=Datos!$C$15,Datos!$D$15,IF(Evalucion!DB3=Datos!$C$16,Datos!$D$16,IF(Evalucion!DB3=Datos!$C$17,Datos!$D$17,IF(Evalucion!DB3=Datos!$C$18,Datos!$D$18,IF(Evalucion!DB3=Datos!$C$19,Datos!$D$19,"=")))))</f>
        <v>3</v>
      </c>
      <c r="DB5">
        <f>IF(Evalucion!DC3=Datos!$C$15,Datos!$D$15,IF(Evalucion!DC3=Datos!$C$16,Datos!$D$16,IF(Evalucion!DC3=Datos!$C$17,Datos!$D$17,IF(Evalucion!DC3=Datos!$C$18,Datos!$D$18,IF(Evalucion!DC3=Datos!$C$19,Datos!$D$19,"=")))))</f>
        <v>5</v>
      </c>
      <c r="DC5">
        <f>IF(Evalucion!DD3=Datos!$C$15,Datos!$D$15,IF(Evalucion!DD3=Datos!$C$16,Datos!$D$16,IF(Evalucion!DD3=Datos!$C$17,Datos!$D$17,IF(Evalucion!DD3=Datos!$C$18,Datos!$D$18,IF(Evalucion!DD3=Datos!$C$19,Datos!$D$19,"=")))))</f>
        <v>5</v>
      </c>
      <c r="DD5">
        <f>IF(Evalucion!DE3=Datos!$C$15,Datos!$D$15,IF(Evalucion!DE3=Datos!$C$16,Datos!$D$16,IF(Evalucion!DE3=Datos!$C$17,Datos!$D$17,IF(Evalucion!DE3=Datos!$C$18,Datos!$D$18,IF(Evalucion!DE3=Datos!$C$19,Datos!$D$19,"=")))))</f>
        <v>5</v>
      </c>
      <c r="DE5">
        <f>IF(Evalucion!DF3=Datos!$C$15,Datos!$D$15,IF(Evalucion!DF3=Datos!$C$16,Datos!$D$16,IF(Evalucion!DF3=Datos!$C$17,Datos!$D$17,IF(Evalucion!DF3=Datos!$C$18,Datos!$D$18,IF(Evalucion!DF3=Datos!$C$19,Datos!$D$19,"=")))))</f>
        <v>3</v>
      </c>
      <c r="DF5">
        <f>IF(Evalucion!DG3=Datos!$C$15,Datos!$D$15,IF(Evalucion!DG3=Datos!$C$16,Datos!$D$16,IF(Evalucion!DG3=Datos!$C$17,Datos!$D$17,IF(Evalucion!DG3=Datos!$C$18,Datos!$D$18,IF(Evalucion!DG3=Datos!$C$19,Datos!$D$19,"=")))))</f>
        <v>5</v>
      </c>
      <c r="DG5">
        <f>IF(Evalucion!DH3=Datos!$C$15,Datos!$D$15,IF(Evalucion!DH3=Datos!$C$16,Datos!$D$16,IF(Evalucion!DH3=Datos!$C$17,Datos!$D$17,IF(Evalucion!DH3=Datos!$C$18,Datos!$D$18,IF(Evalucion!DH3=Datos!$C$19,Datos!$D$19,"=")))))</f>
        <v>5</v>
      </c>
      <c r="DH5">
        <f>IF(Evalucion!DI3=Datos!$C$15,Datos!$D$15,IF(Evalucion!DI3=Datos!$C$16,Datos!$D$16,IF(Evalucion!DI3=Datos!$C$17,Datos!$D$17,IF(Evalucion!DI3=Datos!$C$18,Datos!$D$18,IF(Evalucion!DI3=Datos!$C$19,Datos!$D$19,"=")))))</f>
        <v>5</v>
      </c>
      <c r="DI5">
        <f>IF(Evalucion!DJ3=Datos!$C$15,Datos!$D$15,IF(Evalucion!DJ3=Datos!$C$16,Datos!$D$16,IF(Evalucion!DJ3=Datos!$C$17,Datos!$D$17,IF(Evalucion!DJ3=Datos!$C$18,Datos!$D$18,IF(Evalucion!DJ3=Datos!$C$19,Datos!$D$19,"=")))))</f>
        <v>5</v>
      </c>
      <c r="DJ5">
        <f>IF(Evalucion!DK3=Datos!$C$15,Datos!$D$15,IF(Evalucion!DK3=Datos!$C$16,Datos!$D$16,IF(Evalucion!DK3=Datos!$C$17,Datos!$D$17,IF(Evalucion!DK3=Datos!$C$18,Datos!$D$18,IF(Evalucion!DK3=Datos!$C$19,Datos!$D$19,"=")))))</f>
        <v>5</v>
      </c>
      <c r="DK5">
        <f>IF(Evalucion!DL3=Datos!$C$15,Datos!$D$15,IF(Evalucion!DL3=Datos!$C$16,Datos!$D$16,IF(Evalucion!DL3=Datos!$C$17,Datos!$D$17,IF(Evalucion!DL3=Datos!$C$18,Datos!$D$18,IF(Evalucion!DL3=Datos!$C$19,Datos!$D$19,"=")))))</f>
        <v>5</v>
      </c>
      <c r="DL5">
        <f>IF(Evalucion!DM3=Datos!$C$15,Datos!$D$15,IF(Evalucion!DM3=Datos!$C$16,Datos!$D$16,IF(Evalucion!DM3=Datos!$C$17,Datos!$D$17,IF(Evalucion!DM3=Datos!$C$18,Datos!$D$18,IF(Evalucion!DM3=Datos!$C$19,Datos!$D$19,"=")))))</f>
        <v>5</v>
      </c>
      <c r="DM5">
        <f>IF(Evalucion!DN3=Datos!$C$15,Datos!$D$15,IF(Evalucion!DN3=Datos!$C$16,Datos!$D$16,IF(Evalucion!DN3=Datos!$C$17,Datos!$D$17,IF(Evalucion!DN3=Datos!$C$18,Datos!$D$18,IF(Evalucion!DN3=Datos!$C$19,Datos!$D$19,"=")))))</f>
        <v>5</v>
      </c>
      <c r="DN5">
        <f>IF(Evalucion!DO3=Datos!$C$15,Datos!$D$15,IF(Evalucion!DO3=Datos!$C$16,Datos!$D$16,IF(Evalucion!DO3=Datos!$C$17,Datos!$D$17,IF(Evalucion!DO3=Datos!$C$18,Datos!$D$18,IF(Evalucion!DO3=Datos!$C$19,Datos!$D$19,"=")))))</f>
        <v>5</v>
      </c>
      <c r="DO5">
        <f>IF(Evalucion!DP3=Datos!$C$15,Datos!$D$15,IF(Evalucion!DP3=Datos!$C$16,Datos!$D$16,IF(Evalucion!DP3=Datos!$C$17,Datos!$D$17,IF(Evalucion!DP3=Datos!$C$18,Datos!$D$18,IF(Evalucion!DP3=Datos!$C$19,Datos!$D$19,"=")))))</f>
        <v>5</v>
      </c>
      <c r="DP5">
        <f>IF(Evalucion!DQ3=Datos!$C$15,Datos!$D$15,IF(Evalucion!DQ3=Datos!$C$16,Datos!$D$16,IF(Evalucion!DQ3=Datos!$C$17,Datos!$D$17,IF(Evalucion!DQ3=Datos!$C$18,Datos!$D$18,IF(Evalucion!DQ3=Datos!$C$19,Datos!$D$19,"=")))))</f>
        <v>1</v>
      </c>
      <c r="DQ5">
        <f>IF(Evalucion!DR3=Datos!$C$15,Datos!$D$15,IF(Evalucion!DR3=Datos!$C$16,Datos!$D$16,IF(Evalucion!DR3=Datos!$C$17,Datos!$D$17,IF(Evalucion!DR3=Datos!$C$18,Datos!$D$18,IF(Evalucion!DR3=Datos!$C$19,Datos!$D$19,"=")))))</f>
        <v>1</v>
      </c>
      <c r="DR5">
        <f>IF(Evalucion!DS3=Datos!$C$15,Datos!$D$15,IF(Evalucion!DS3=Datos!$C$16,Datos!$D$16,IF(Evalucion!DS3=Datos!$C$17,Datos!$D$17,IF(Evalucion!DS3=Datos!$C$18,Datos!$D$18,IF(Evalucion!DS3=Datos!$C$19,Datos!$D$19,"=")))))</f>
        <v>1</v>
      </c>
      <c r="DS5">
        <f>IF(Evalucion!DT3=Datos!$C$15,Datos!$D$15,IF(Evalucion!DT3=Datos!$C$16,Datos!$D$16,IF(Evalucion!DT3=Datos!$C$17,Datos!$D$17,IF(Evalucion!DT3=Datos!$C$18,Datos!$D$18,IF(Evalucion!DT3=Datos!$C$19,Datos!$D$19,"=")))))</f>
        <v>1</v>
      </c>
      <c r="DT5">
        <f>IF(Evalucion!DU3=Datos!$C$15,Datos!$D$15,IF(Evalucion!DU3=Datos!$C$16,Datos!$D$16,IF(Evalucion!DU3=Datos!$C$17,Datos!$D$17,IF(Evalucion!DU3=Datos!$C$18,Datos!$D$18,IF(Evalucion!DU3=Datos!$C$19,Datos!$D$19,"=")))))</f>
        <v>1</v>
      </c>
      <c r="DU5">
        <f>IF(Evalucion!DV3=Datos!$C$15,Datos!$D$15,IF(Evalucion!DV3=Datos!$C$16,Datos!$D$16,IF(Evalucion!DV3=Datos!$C$17,Datos!$D$17,IF(Evalucion!DV3=Datos!$C$18,Datos!$D$18,IF(Evalucion!DV3=Datos!$C$19,Datos!$D$19,"=")))))</f>
        <v>1</v>
      </c>
      <c r="DV5">
        <f>IF(Evalucion!DW3=Datos!$C$15,Datos!$D$15,IF(Evalucion!DW3=Datos!$C$16,Datos!$D$16,IF(Evalucion!DW3=Datos!$C$17,Datos!$D$17,IF(Evalucion!DW3=Datos!$C$18,Datos!$D$18,IF(Evalucion!DW3=Datos!$C$19,Datos!$D$19,"=")))))</f>
        <v>1</v>
      </c>
      <c r="DW5">
        <f>IF(Evalucion!DX3=Datos!$C$15,Datos!$D$15,IF(Evalucion!DX3=Datos!$C$16,Datos!$D$16,IF(Evalucion!DX3=Datos!$C$17,Datos!$D$17,IF(Evalucion!DX3=Datos!$C$18,Datos!$D$18,IF(Evalucion!DX3=Datos!$C$19,Datos!$D$19,"=")))))</f>
        <v>1</v>
      </c>
      <c r="DX5">
        <f>IF(Evalucion!DY3=Datos!$C$15,Datos!$D$15,IF(Evalucion!DY3=Datos!$C$16,Datos!$D$16,IF(Evalucion!DY3=Datos!$C$17,Datos!$D$17,IF(Evalucion!DY3=Datos!$C$18,Datos!$D$18,IF(Evalucion!DY3=Datos!$C$19,Datos!$D$19,"=")))))</f>
        <v>1</v>
      </c>
      <c r="DY5">
        <f>IF(Evalucion!DZ3=Datos!$C$15,Datos!$D$15,IF(Evalucion!DZ3=Datos!$C$16,Datos!$D$16,IF(Evalucion!DZ3=Datos!$C$17,Datos!$D$17,IF(Evalucion!DZ3=Datos!$C$18,Datos!$D$18,IF(Evalucion!DZ3=Datos!$C$19,Datos!$D$19,"=")))))</f>
        <v>1</v>
      </c>
      <c r="DZ5">
        <f>IF(Evalucion!EA3=Datos!$C$15,Datos!$D$15,IF(Evalucion!EA3=Datos!$C$16,Datos!$D$16,IF(Evalucion!EA3=Datos!$C$17,Datos!$D$17,IF(Evalucion!EA3=Datos!$C$18,Datos!$D$18,IF(Evalucion!EA3=Datos!$C$19,Datos!$D$19,"=")))))</f>
        <v>5</v>
      </c>
      <c r="EA5">
        <f>IF(Evalucion!EB3=Datos!$C$15,Datos!$D$15,IF(Evalucion!EB3=Datos!$C$16,Datos!$D$16,IF(Evalucion!EB3=Datos!$C$17,Datos!$D$17,IF(Evalucion!EB3=Datos!$C$18,Datos!$D$18,IF(Evalucion!EB3=Datos!$C$19,Datos!$D$19,"=")))))</f>
        <v>5</v>
      </c>
      <c r="EB5">
        <f>IF(Evalucion!EC3=Datos!$C$15,Datos!$D$15,IF(Evalucion!EC3=Datos!$C$16,Datos!$D$16,IF(Evalucion!EC3=Datos!$C$17,Datos!$D$17,IF(Evalucion!EC3=Datos!$C$18,Datos!$D$18,IF(Evalucion!EC3=Datos!$C$19,Datos!$D$19,"=")))))</f>
        <v>5</v>
      </c>
      <c r="EC5">
        <f>IF(Evalucion!ED3=Datos!$C$15,Datos!$D$15,IF(Evalucion!ED3=Datos!$C$16,Datos!$D$16,IF(Evalucion!ED3=Datos!$C$17,Datos!$D$17,IF(Evalucion!ED3=Datos!$C$18,Datos!$D$18,IF(Evalucion!ED3=Datos!$C$19,Datos!$D$19,"=")))))</f>
        <v>5</v>
      </c>
      <c r="ED5">
        <f>IF(Evalucion!EE3=Datos!$C$15,Datos!$D$15,IF(Evalucion!EE3=Datos!$C$16,Datos!$D$16,IF(Evalucion!EE3=Datos!$C$17,Datos!$D$17,IF(Evalucion!EE3=Datos!$C$18,Datos!$D$18,IF(Evalucion!EE3=Datos!$C$19,Datos!$D$19,"=")))))</f>
        <v>5</v>
      </c>
      <c r="EE5">
        <f>IF(Evalucion!EF3=Datos!$C$15,Datos!$D$15,IF(Evalucion!EF3=Datos!$C$16,Datos!$D$16,IF(Evalucion!EF3=Datos!$C$17,Datos!$D$17,IF(Evalucion!EF3=Datos!$C$18,Datos!$D$18,IF(Evalucion!EF3=Datos!$C$19,Datos!$D$19,"=")))))</f>
        <v>5</v>
      </c>
      <c r="EF5">
        <f>IF(Evalucion!EG3=Datos!$C$15,Datos!$D$15,IF(Evalucion!EG3=Datos!$C$16,Datos!$D$16,IF(Evalucion!EG3=Datos!$C$17,Datos!$D$17,IF(Evalucion!EG3=Datos!$C$18,Datos!$D$18,IF(Evalucion!EG3=Datos!$C$19,Datos!$D$19,"=")))))</f>
        <v>5</v>
      </c>
      <c r="EG5">
        <f>IF(Evalucion!EH3=Datos!$C$15,Datos!$D$15,IF(Evalucion!EH3=Datos!$C$16,Datos!$D$16,IF(Evalucion!EH3=Datos!$C$17,Datos!$D$17,IF(Evalucion!EH3=Datos!$C$18,Datos!$D$18,IF(Evalucion!EH3=Datos!$C$19,Datos!$D$19,"=")))))</f>
        <v>5</v>
      </c>
      <c r="EH5">
        <f>IF(Evalucion!EI3=Datos!$C$15,Datos!$D$15,IF(Evalucion!EI3=Datos!$C$16,Datos!$D$16,IF(Evalucion!EI3=Datos!$C$17,Datos!$D$17,IF(Evalucion!EI3=Datos!$C$18,Datos!$D$18,IF(Evalucion!EI3=Datos!$C$19,Datos!$D$19,"=")))))</f>
        <v>5</v>
      </c>
      <c r="EI5">
        <f>IF(Evalucion!EJ3=Datos!$C$15,Datos!$D$15,IF(Evalucion!EJ3=Datos!$C$16,Datos!$D$16,IF(Evalucion!EJ3=Datos!$C$17,Datos!$D$17,IF(Evalucion!EJ3=Datos!$C$18,Datos!$D$18,IF(Evalucion!EJ3=Datos!$C$19,Datos!$D$19,"=")))))</f>
        <v>5</v>
      </c>
      <c r="EJ5">
        <f>IF(Evalucion!EK3=Datos!$C$15,Datos!$D$15,IF(Evalucion!EK3=Datos!$C$16,Datos!$D$16,IF(Evalucion!EK3=Datos!$C$17,Datos!$D$17,IF(Evalucion!EK3=Datos!$C$18,Datos!$D$18,IF(Evalucion!EK3=Datos!$C$19,Datos!$D$19,"=")))))</f>
        <v>5</v>
      </c>
      <c r="EK5">
        <f>IF(Evalucion!EL3=Datos!$C$15,Datos!$D$15,IF(Evalucion!EL3=Datos!$C$16,Datos!$D$16,IF(Evalucion!EL3=Datos!$C$17,Datos!$D$17,IF(Evalucion!EL3=Datos!$C$18,Datos!$D$18,IF(Evalucion!EL3=Datos!$C$19,Datos!$D$19,"=")))))</f>
        <v>5</v>
      </c>
      <c r="EL5">
        <f>IF(Evalucion!EM3=Datos!$C$15,Datos!$D$15,IF(Evalucion!EM3=Datos!$C$16,Datos!$D$16,IF(Evalucion!EM3=Datos!$C$17,Datos!$D$17,IF(Evalucion!EM3=Datos!$C$18,Datos!$D$18,IF(Evalucion!EM3=Datos!$C$19,Datos!$D$19,"=")))))</f>
        <v>5</v>
      </c>
      <c r="EM5">
        <f>IF(Evalucion!EN3=Datos!$C$15,Datos!$D$15,IF(Evalucion!EN3=Datos!$C$16,Datos!$D$16,IF(Evalucion!EN3=Datos!$C$17,Datos!$D$17,IF(Evalucion!EN3=Datos!$C$18,Datos!$D$18,IF(Evalucion!EN3=Datos!$C$19,Datos!$D$19,"=")))))</f>
        <v>5</v>
      </c>
      <c r="EN5">
        <f>IF(Evalucion!EO3=Datos!$C$15,Datos!$D$15,IF(Evalucion!EO3=Datos!$C$16,Datos!$D$16,IF(Evalucion!EO3=Datos!$C$17,Datos!$D$17,IF(Evalucion!EO3=Datos!$C$18,Datos!$D$18,IF(Evalucion!EO3=Datos!$C$19,Datos!$D$19,"=")))))</f>
        <v>5</v>
      </c>
      <c r="EO5">
        <f>IF(Evalucion!EP3=Datos!$C$15,Datos!$D$15,IF(Evalucion!EP3=Datos!$C$16,Datos!$D$16,IF(Evalucion!EP3=Datos!$C$17,Datos!$D$17,IF(Evalucion!EP3=Datos!$C$18,Datos!$D$18,IF(Evalucion!EP3=Datos!$C$19,Datos!$D$19,"=")))))</f>
        <v>5</v>
      </c>
      <c r="EP5">
        <f>IF(Evalucion!EQ3=Datos!$C$15,Datos!$D$15,IF(Evalucion!EQ3=Datos!$C$16,Datos!$D$16,IF(Evalucion!EQ3=Datos!$C$17,Datos!$D$17,IF(Evalucion!EQ3=Datos!$C$18,Datos!$D$18,IF(Evalucion!EQ3=Datos!$C$19,Datos!$D$19,"=")))))</f>
        <v>5</v>
      </c>
      <c r="EQ5">
        <f>IF(Evalucion!ER3=Datos!$C$15,Datos!$D$15,IF(Evalucion!ER3=Datos!$C$16,Datos!$D$16,IF(Evalucion!ER3=Datos!$C$17,Datos!$D$17,IF(Evalucion!ER3=Datos!$C$18,Datos!$D$18,IF(Evalucion!ER3=Datos!$C$19,Datos!$D$19,"=")))))</f>
        <v>5</v>
      </c>
      <c r="ER5">
        <f>IF(Evalucion!ES3=Datos!$C$15,Datos!$D$15,IF(Evalucion!ES3=Datos!$C$16,Datos!$D$16,IF(Evalucion!ES3=Datos!$C$17,Datos!$D$17,IF(Evalucion!ES3=Datos!$C$18,Datos!$D$18,IF(Evalucion!ES3=Datos!$C$19,Datos!$D$19,"=")))))</f>
        <v>5</v>
      </c>
      <c r="ES5">
        <f>IF(Evalucion!ET3=Datos!$C$15,Datos!$D$15,IF(Evalucion!ET3=Datos!$C$16,Datos!$D$16,IF(Evalucion!ET3=Datos!$C$17,Datos!$D$17,IF(Evalucion!ET3=Datos!$C$18,Datos!$D$18,IF(Evalucion!ET3=Datos!$C$19,Datos!$D$19,"=")))))</f>
        <v>5</v>
      </c>
      <c r="ET5">
        <f>IF(Evalucion!EU3=Datos!$C$15,Datos!$D$15,IF(Evalucion!EU3=Datos!$C$16,Datos!$D$16,IF(Evalucion!EU3=Datos!$C$17,Datos!$D$17,IF(Evalucion!EU3=Datos!$C$18,Datos!$D$18,IF(Evalucion!EU3=Datos!$C$19,Datos!$D$19,"=")))))</f>
        <v>5</v>
      </c>
      <c r="EU5">
        <f>IF(Evalucion!EV3=Datos!$C$15,Datos!$D$15,IF(Evalucion!EV3=Datos!$C$16,Datos!$D$16,IF(Evalucion!EV3=Datos!$C$17,Datos!$D$17,IF(Evalucion!EV3=Datos!$C$18,Datos!$D$18,IF(Evalucion!EV3=Datos!$C$19,Datos!$D$19,"=")))))</f>
        <v>1</v>
      </c>
      <c r="EV5">
        <f>IF(Evalucion!EW3=Datos!$C$15,Datos!$D$15,IF(Evalucion!EW3=Datos!$C$16,Datos!$D$16,IF(Evalucion!EW3=Datos!$C$17,Datos!$D$17,IF(Evalucion!EW3=Datos!$C$18,Datos!$D$18,IF(Evalucion!EW3=Datos!$C$19,Datos!$D$19,"=")))))</f>
        <v>5</v>
      </c>
      <c r="EW5">
        <f>IF(Evalucion!EX3=Datos!$C$15,Datos!$D$15,IF(Evalucion!EX3=Datos!$C$16,Datos!$D$16,IF(Evalucion!EX3=Datos!$C$17,Datos!$D$17,IF(Evalucion!EX3=Datos!$C$18,Datos!$D$18,IF(Evalucion!EX3=Datos!$C$19,Datos!$D$19,"=")))))</f>
        <v>5</v>
      </c>
      <c r="EX5">
        <f>IF(Evalucion!EY3=Datos!$C$15,Datos!$D$15,IF(Evalucion!EY3=Datos!$C$16,Datos!$D$16,IF(Evalucion!EY3=Datos!$C$17,Datos!$D$17,IF(Evalucion!EY3=Datos!$C$18,Datos!$D$18,IF(Evalucion!EY3=Datos!$C$19,Datos!$D$19,"=")))))</f>
        <v>5</v>
      </c>
      <c r="EY5">
        <f>IF(Evalucion!EZ3=Datos!$C$15,Datos!$D$15,IF(Evalucion!EZ3=Datos!$C$16,Datos!$D$16,IF(Evalucion!EZ3=Datos!$C$17,Datos!$D$17,IF(Evalucion!EZ3=Datos!$C$18,Datos!$D$18,IF(Evalucion!EZ3=Datos!$C$19,Datos!$D$19,"=")))))</f>
        <v>3</v>
      </c>
      <c r="FA5">
        <f t="shared" ref="FA5:FB20" si="3">SUMIF($E$2:$EY$2,FA$3,$E5:$EY5)</f>
        <v>315</v>
      </c>
      <c r="FB5">
        <f t="shared" si="3"/>
        <v>313</v>
      </c>
      <c r="FC5" s="3">
        <f t="shared" ref="FC5:FC53" si="4">FB5/($FB$2*5)</f>
        <v>0.83466666666666667</v>
      </c>
      <c r="FD5" t="str">
        <f t="shared" si="0"/>
        <v>Conf_CR</v>
      </c>
      <c r="FF5">
        <f t="shared" si="1"/>
        <v>628</v>
      </c>
      <c r="FG5">
        <f t="shared" si="2"/>
        <v>0</v>
      </c>
      <c r="FI5" s="2" t="s">
        <v>145</v>
      </c>
      <c r="FJ5">
        <f>COUNTIF(FD:FD,FI5)</f>
        <v>34</v>
      </c>
      <c r="FK5" s="3">
        <f>FJ5/$FJ$7</f>
        <v>0.68</v>
      </c>
    </row>
    <row r="6" spans="1:167" x14ac:dyDescent="0.2">
      <c r="A6">
        <v>3</v>
      </c>
      <c r="B6" t="s">
        <v>247</v>
      </c>
      <c r="C6" t="s">
        <v>191</v>
      </c>
      <c r="D6" s="1">
        <v>43889</v>
      </c>
      <c r="E6">
        <f>IF(Evalucion!F4=Datos!$C$15,Datos!$D$15,IF(Evalucion!F4=Datos!$C$16,Datos!$D$16,IF(Evalucion!F4=Datos!$C$17,Datos!$D$17,IF(Evalucion!F4=Datos!$C$18,Datos!$D$18,IF(Evalucion!F4=Datos!$C$19,Datos!$D$19,"=")))))</f>
        <v>5</v>
      </c>
      <c r="F6">
        <f>IF(Evalucion!G4=Datos!$C$15,Datos!$D$15,IF(Evalucion!G4=Datos!$C$16,Datos!$D$16,IF(Evalucion!G4=Datos!$C$17,Datos!$D$17,IF(Evalucion!G4=Datos!$C$18,Datos!$D$18,IF(Evalucion!G4=Datos!$C$19,Datos!$D$19,"=")))))</f>
        <v>1</v>
      </c>
      <c r="G6">
        <f>IF(Evalucion!H4=Datos!$C$15,Datos!$D$15,IF(Evalucion!H4=Datos!$C$16,Datos!$D$16,IF(Evalucion!H4=Datos!$C$17,Datos!$D$17,IF(Evalucion!H4=Datos!$C$18,Datos!$D$18,IF(Evalucion!H4=Datos!$C$19,Datos!$D$19,"=")))))</f>
        <v>5</v>
      </c>
      <c r="H6">
        <f>IF(Evalucion!I4=Datos!$C$15,Datos!$D$15,IF(Evalucion!I4=Datos!$C$16,Datos!$D$16,IF(Evalucion!I4=Datos!$C$17,Datos!$D$17,IF(Evalucion!I4=Datos!$C$18,Datos!$D$18,IF(Evalucion!I4=Datos!$C$19,Datos!$D$19,"=")))))</f>
        <v>3</v>
      </c>
      <c r="I6">
        <f>IF(Evalucion!J4=Datos!$C$15,Datos!$D$15,IF(Evalucion!J4=Datos!$C$16,Datos!$D$16,IF(Evalucion!J4=Datos!$C$17,Datos!$D$17,IF(Evalucion!J4=Datos!$C$18,Datos!$D$18,IF(Evalucion!J4=Datos!$C$19,Datos!$D$19,"=")))))</f>
        <v>5</v>
      </c>
      <c r="J6">
        <f>IF(Evalucion!K4=Datos!$C$15,Datos!$D$15,IF(Evalucion!K4=Datos!$C$16,Datos!$D$16,IF(Evalucion!K4=Datos!$C$17,Datos!$D$17,IF(Evalucion!K4=Datos!$C$18,Datos!$D$18,IF(Evalucion!K4=Datos!$C$19,Datos!$D$19,"=")))))</f>
        <v>3</v>
      </c>
      <c r="K6">
        <f>IF(Evalucion!L4=Datos!$C$15,Datos!$D$15,IF(Evalucion!L4=Datos!$C$16,Datos!$D$16,IF(Evalucion!L4=Datos!$C$17,Datos!$D$17,IF(Evalucion!L4=Datos!$C$18,Datos!$D$18,IF(Evalucion!L4=Datos!$C$19,Datos!$D$19,"=")))))</f>
        <v>5</v>
      </c>
      <c r="L6">
        <f>IF(Evalucion!M4=Datos!$C$15,Datos!$D$15,IF(Evalucion!M4=Datos!$C$16,Datos!$D$16,IF(Evalucion!M4=Datos!$C$17,Datos!$D$17,IF(Evalucion!M4=Datos!$C$18,Datos!$D$18,IF(Evalucion!M4=Datos!$C$19,Datos!$D$19,"=")))))</f>
        <v>5</v>
      </c>
      <c r="M6">
        <f>IF(Evalucion!N4=Datos!$C$15,Datos!$D$15,IF(Evalucion!N4=Datos!$C$16,Datos!$D$16,IF(Evalucion!N4=Datos!$C$17,Datos!$D$17,IF(Evalucion!N4=Datos!$C$18,Datos!$D$18,IF(Evalucion!N4=Datos!$C$19,Datos!$D$19,"=")))))</f>
        <v>5</v>
      </c>
      <c r="N6">
        <f>IF(Evalucion!O4=Datos!$C$15,Datos!$D$15,IF(Evalucion!O4=Datos!$C$16,Datos!$D$16,IF(Evalucion!O4=Datos!$C$17,Datos!$D$17,IF(Evalucion!O4=Datos!$C$18,Datos!$D$18,IF(Evalucion!O4=Datos!$C$19,Datos!$D$19,"=")))))</f>
        <v>5</v>
      </c>
      <c r="O6">
        <f>IF(Evalucion!P4=Datos!$C$15,Datos!$D$15,IF(Evalucion!P4=Datos!$C$16,Datos!$D$16,IF(Evalucion!P4=Datos!$C$17,Datos!$D$17,IF(Evalucion!P4=Datos!$C$18,Datos!$D$18,IF(Evalucion!P4=Datos!$C$19,Datos!$D$19,"=")))))</f>
        <v>5</v>
      </c>
      <c r="P6">
        <f>IF(Evalucion!Q4=Datos!$C$15,Datos!$D$15,IF(Evalucion!Q4=Datos!$C$16,Datos!$D$16,IF(Evalucion!Q4=Datos!$C$17,Datos!$D$17,IF(Evalucion!Q4=Datos!$C$18,Datos!$D$18,IF(Evalucion!Q4=Datos!$C$19,Datos!$D$19,"=")))))</f>
        <v>3</v>
      </c>
      <c r="Q6">
        <f>IF(Evalucion!R4=Datos!$C$15,Datos!$D$15,IF(Evalucion!R4=Datos!$C$16,Datos!$D$16,IF(Evalucion!R4=Datos!$C$17,Datos!$D$17,IF(Evalucion!R4=Datos!$C$18,Datos!$D$18,IF(Evalucion!R4=Datos!$C$19,Datos!$D$19,"=")))))</f>
        <v>5</v>
      </c>
      <c r="R6">
        <f>IF(Evalucion!S4=Datos!$C$15,Datos!$D$15,IF(Evalucion!S4=Datos!$C$16,Datos!$D$16,IF(Evalucion!S4=Datos!$C$17,Datos!$D$17,IF(Evalucion!S4=Datos!$C$18,Datos!$D$18,IF(Evalucion!S4=Datos!$C$19,Datos!$D$19,"=")))))</f>
        <v>5</v>
      </c>
      <c r="S6">
        <f>IF(Evalucion!T4=Datos!$C$15,Datos!$D$15,IF(Evalucion!T4=Datos!$C$16,Datos!$D$16,IF(Evalucion!T4=Datos!$C$17,Datos!$D$17,IF(Evalucion!T4=Datos!$C$18,Datos!$D$18,IF(Evalucion!T4=Datos!$C$19,Datos!$D$19,"=")))))</f>
        <v>5</v>
      </c>
      <c r="T6">
        <f>IF(Evalucion!U4=Datos!$C$15,Datos!$D$15,IF(Evalucion!U4=Datos!$C$16,Datos!$D$16,IF(Evalucion!U4=Datos!$C$17,Datos!$D$17,IF(Evalucion!U4=Datos!$C$18,Datos!$D$18,IF(Evalucion!U4=Datos!$C$19,Datos!$D$19,"=")))))</f>
        <v>5</v>
      </c>
      <c r="U6">
        <f>IF(Evalucion!V4=Datos!$C$15,Datos!$D$15,IF(Evalucion!V4=Datos!$C$16,Datos!$D$16,IF(Evalucion!V4=Datos!$C$17,Datos!$D$17,IF(Evalucion!V4=Datos!$C$18,Datos!$D$18,IF(Evalucion!V4=Datos!$C$19,Datos!$D$19,"=")))))</f>
        <v>5</v>
      </c>
      <c r="V6">
        <f>IF(Evalucion!W4=Datos!$C$15,Datos!$D$15,IF(Evalucion!W4=Datos!$C$16,Datos!$D$16,IF(Evalucion!W4=Datos!$C$17,Datos!$D$17,IF(Evalucion!W4=Datos!$C$18,Datos!$D$18,IF(Evalucion!W4=Datos!$C$19,Datos!$D$19,"=")))))</f>
        <v>5</v>
      </c>
      <c r="W6">
        <f>IF(Evalucion!X4=Datos!$C$15,Datos!$D$15,IF(Evalucion!X4=Datos!$C$16,Datos!$D$16,IF(Evalucion!X4=Datos!$C$17,Datos!$D$17,IF(Evalucion!X4=Datos!$C$18,Datos!$D$18,IF(Evalucion!X4=Datos!$C$19,Datos!$D$19,"=")))))</f>
        <v>5</v>
      </c>
      <c r="X6">
        <f>IF(Evalucion!Y4=Datos!$C$15,Datos!$D$15,IF(Evalucion!Y4=Datos!$C$16,Datos!$D$16,IF(Evalucion!Y4=Datos!$C$17,Datos!$D$17,IF(Evalucion!Y4=Datos!$C$18,Datos!$D$18,IF(Evalucion!Y4=Datos!$C$19,Datos!$D$19,"=")))))</f>
        <v>5</v>
      </c>
      <c r="Y6">
        <f>IF(Evalucion!Z4=Datos!$C$15,Datos!$D$15,IF(Evalucion!Z4=Datos!$C$16,Datos!$D$16,IF(Evalucion!Z4=Datos!$C$17,Datos!$D$17,IF(Evalucion!Z4=Datos!$C$18,Datos!$D$18,IF(Evalucion!Z4=Datos!$C$19,Datos!$D$19,"=")))))</f>
        <v>5</v>
      </c>
      <c r="Z6">
        <f>IF(Evalucion!AA4=Datos!$C$15,Datos!$D$15,IF(Evalucion!AA4=Datos!$C$16,Datos!$D$16,IF(Evalucion!AA4=Datos!$C$17,Datos!$D$17,IF(Evalucion!AA4=Datos!$C$18,Datos!$D$18,IF(Evalucion!AA4=Datos!$C$19,Datos!$D$19,"=")))))</f>
        <v>5</v>
      </c>
      <c r="AA6">
        <f>IF(Evalucion!AB4=Datos!$C$15,Datos!$D$15,IF(Evalucion!AB4=Datos!$C$16,Datos!$D$16,IF(Evalucion!AB4=Datos!$C$17,Datos!$D$17,IF(Evalucion!AB4=Datos!$C$18,Datos!$D$18,IF(Evalucion!AB4=Datos!$C$19,Datos!$D$19,"=")))))</f>
        <v>5</v>
      </c>
      <c r="AB6">
        <f>IF(Evalucion!AC4=Datos!$C$15,Datos!$D$15,IF(Evalucion!AC4=Datos!$C$16,Datos!$D$16,IF(Evalucion!AC4=Datos!$C$17,Datos!$D$17,IF(Evalucion!AC4=Datos!$C$18,Datos!$D$18,IF(Evalucion!AC4=Datos!$C$19,Datos!$D$19,"=")))))</f>
        <v>5</v>
      </c>
      <c r="AC6">
        <f>IF(Evalucion!AD4=Datos!$C$15,Datos!$D$15,IF(Evalucion!AD4=Datos!$C$16,Datos!$D$16,IF(Evalucion!AD4=Datos!$C$17,Datos!$D$17,IF(Evalucion!AD4=Datos!$C$18,Datos!$D$18,IF(Evalucion!AD4=Datos!$C$19,Datos!$D$19,"=")))))</f>
        <v>5</v>
      </c>
      <c r="AD6">
        <f>IF(Evalucion!AE4=Datos!$C$15,Datos!$D$15,IF(Evalucion!AE4=Datos!$C$16,Datos!$D$16,IF(Evalucion!AE4=Datos!$C$17,Datos!$D$17,IF(Evalucion!AE4=Datos!$C$18,Datos!$D$18,IF(Evalucion!AE4=Datos!$C$19,Datos!$D$19,"=")))))</f>
        <v>5</v>
      </c>
      <c r="AE6">
        <f>IF(Evalucion!AF4=Datos!$C$15,Datos!$D$15,IF(Evalucion!AF4=Datos!$C$16,Datos!$D$16,IF(Evalucion!AF4=Datos!$C$17,Datos!$D$17,IF(Evalucion!AF4=Datos!$C$18,Datos!$D$18,IF(Evalucion!AF4=Datos!$C$19,Datos!$D$19,"=")))))</f>
        <v>5</v>
      </c>
      <c r="AF6">
        <f>IF(Evalucion!AG4=Datos!$C$15,Datos!$D$15,IF(Evalucion!AG4=Datos!$C$16,Datos!$D$16,IF(Evalucion!AG4=Datos!$C$17,Datos!$D$17,IF(Evalucion!AG4=Datos!$C$18,Datos!$D$18,IF(Evalucion!AG4=Datos!$C$19,Datos!$D$19,"=")))))</f>
        <v>5</v>
      </c>
      <c r="AO6">
        <f>IF(Evalucion!AP4=Datos!$C$15,Datos!$D$15,IF(Evalucion!AP4=Datos!$C$16,Datos!$D$16,IF(Evalucion!AP4=Datos!$C$17,Datos!$D$17,IF(Evalucion!AP4=Datos!$C$18,Datos!$D$18,IF(Evalucion!AP4=Datos!$C$19,Datos!$D$19,"=")))))</f>
        <v>5</v>
      </c>
      <c r="AP6">
        <f>IF(Evalucion!AQ4=Datos!$C$15,Datos!$D$15,IF(Evalucion!AQ4=Datos!$C$16,Datos!$D$16,IF(Evalucion!AQ4=Datos!$C$17,Datos!$D$17,IF(Evalucion!AQ4=Datos!$C$18,Datos!$D$18,IF(Evalucion!AQ4=Datos!$C$19,Datos!$D$19,"=")))))</f>
        <v>5</v>
      </c>
      <c r="AQ6">
        <f>IF(Evalucion!AR4=Datos!$C$15,Datos!$D$15,IF(Evalucion!AR4=Datos!$C$16,Datos!$D$16,IF(Evalucion!AR4=Datos!$C$17,Datos!$D$17,IF(Evalucion!AR4=Datos!$C$18,Datos!$D$18,IF(Evalucion!AR4=Datos!$C$19,Datos!$D$19,"=")))))</f>
        <v>1</v>
      </c>
      <c r="AR6">
        <f>IF(Evalucion!AS4=Datos!$C$15,Datos!$D$15,IF(Evalucion!AS4=Datos!$C$16,Datos!$D$16,IF(Evalucion!AS4=Datos!$C$17,Datos!$D$17,IF(Evalucion!AS4=Datos!$C$18,Datos!$D$18,IF(Evalucion!AS4=Datos!$C$19,Datos!$D$19,"=")))))</f>
        <v>5</v>
      </c>
      <c r="AS6">
        <f>IF(Evalucion!AT4=Datos!$C$15,Datos!$D$15,IF(Evalucion!AT4=Datos!$C$16,Datos!$D$16,IF(Evalucion!AT4=Datos!$C$17,Datos!$D$17,IF(Evalucion!AT4=Datos!$C$18,Datos!$D$18,IF(Evalucion!AT4=Datos!$C$19,Datos!$D$19,"=")))))</f>
        <v>1</v>
      </c>
      <c r="AT6">
        <f>IF(Evalucion!AU4=Datos!$C$15,Datos!$D$15,IF(Evalucion!AU4=Datos!$C$16,Datos!$D$16,IF(Evalucion!AU4=Datos!$C$17,Datos!$D$17,IF(Evalucion!AU4=Datos!$C$18,Datos!$D$18,IF(Evalucion!AU4=Datos!$C$19,Datos!$D$19,"=")))))</f>
        <v>5</v>
      </c>
      <c r="AV6">
        <f>IF(Evalucion!AW4=Datos!$C$15,Datos!$D$15,IF(Evalucion!AW4=Datos!$C$16,Datos!$D$16,IF(Evalucion!AW4=Datos!$C$17,Datos!$D$17,IF(Evalucion!AW4=Datos!$C$18,Datos!$D$18,IF(Evalucion!AW4=Datos!$C$19,Datos!$D$19,"=")))))</f>
        <v>1</v>
      </c>
      <c r="AW6">
        <f>IF(Evalucion!AX4=Datos!$C$15,Datos!$D$15,IF(Evalucion!AX4=Datos!$C$16,Datos!$D$16,IF(Evalucion!AX4=Datos!$C$17,Datos!$D$17,IF(Evalucion!AX4=Datos!$C$18,Datos!$D$18,IF(Evalucion!AX4=Datos!$C$19,Datos!$D$19,"=")))))</f>
        <v>5</v>
      </c>
      <c r="AX6">
        <f>IF(Evalucion!AY4=Datos!$C$15,Datos!$D$15,IF(Evalucion!AY4=Datos!$C$16,Datos!$D$16,IF(Evalucion!AY4=Datos!$C$17,Datos!$D$17,IF(Evalucion!AY4=Datos!$C$18,Datos!$D$18,IF(Evalucion!AY4=Datos!$C$19,Datos!$D$19,"=")))))</f>
        <v>5</v>
      </c>
      <c r="AY6">
        <f>IF(Evalucion!AZ4=Datos!$C$15,Datos!$D$15,IF(Evalucion!AZ4=Datos!$C$16,Datos!$D$16,IF(Evalucion!AZ4=Datos!$C$17,Datos!$D$17,IF(Evalucion!AZ4=Datos!$C$18,Datos!$D$18,IF(Evalucion!AZ4=Datos!$C$19,Datos!$D$19,"=")))))</f>
        <v>5</v>
      </c>
      <c r="AZ6">
        <f>IF(Evalucion!BA4=Datos!$C$15,Datos!$D$15,IF(Evalucion!BA4=Datos!$C$16,Datos!$D$16,IF(Evalucion!BA4=Datos!$C$17,Datos!$D$17,IF(Evalucion!BA4=Datos!$C$18,Datos!$D$18,IF(Evalucion!BA4=Datos!$C$19,Datos!$D$19,"=")))))</f>
        <v>5</v>
      </c>
      <c r="BA6">
        <f>IF(Evalucion!BB4=Datos!$C$15,Datos!$D$15,IF(Evalucion!BB4=Datos!$C$16,Datos!$D$16,IF(Evalucion!BB4=Datos!$C$17,Datos!$D$17,IF(Evalucion!BB4=Datos!$C$18,Datos!$D$18,IF(Evalucion!BB4=Datos!$C$19,Datos!$D$19,"=")))))</f>
        <v>5</v>
      </c>
      <c r="BB6">
        <f>IF(Evalucion!BC4=Datos!$C$15,Datos!$D$15,IF(Evalucion!BC4=Datos!$C$16,Datos!$D$16,IF(Evalucion!BC4=Datos!$C$17,Datos!$D$17,IF(Evalucion!BC4=Datos!$C$18,Datos!$D$18,IF(Evalucion!BC4=Datos!$C$19,Datos!$D$19,"=")))))</f>
        <v>5</v>
      </c>
      <c r="BC6">
        <f>IF(Evalucion!BD4=Datos!$C$15,Datos!$D$15,IF(Evalucion!BD4=Datos!$C$16,Datos!$D$16,IF(Evalucion!BD4=Datos!$C$17,Datos!$D$17,IF(Evalucion!BD4=Datos!$C$18,Datos!$D$18,IF(Evalucion!BD4=Datos!$C$19,Datos!$D$19,"=")))))</f>
        <v>5</v>
      </c>
      <c r="BD6">
        <f>IF(Evalucion!BE4=Datos!$C$15,Datos!$D$15,IF(Evalucion!BE4=Datos!$C$16,Datos!$D$16,IF(Evalucion!BE4=Datos!$C$17,Datos!$D$17,IF(Evalucion!BE4=Datos!$C$18,Datos!$D$18,IF(Evalucion!BE4=Datos!$C$19,Datos!$D$19,"=")))))</f>
        <v>5</v>
      </c>
      <c r="BE6">
        <f>IF(Evalucion!BF4=Datos!$C$15,Datos!$D$15,IF(Evalucion!BF4=Datos!$C$16,Datos!$D$16,IF(Evalucion!BF4=Datos!$C$17,Datos!$D$17,IF(Evalucion!BF4=Datos!$C$18,Datos!$D$18,IF(Evalucion!BF4=Datos!$C$19,Datos!$D$19,"=")))))</f>
        <v>5</v>
      </c>
      <c r="BF6">
        <f>IF(Evalucion!BG4=Datos!$C$15,Datos!$D$15,IF(Evalucion!BG4=Datos!$C$16,Datos!$D$16,IF(Evalucion!BG4=Datos!$C$17,Datos!$D$17,IF(Evalucion!BG4=Datos!$C$18,Datos!$D$18,IF(Evalucion!BG4=Datos!$C$19,Datos!$D$19,"=")))))</f>
        <v>5</v>
      </c>
      <c r="BG6">
        <f>IF(Evalucion!BH4=Datos!$C$15,Datos!$D$15,IF(Evalucion!BH4=Datos!$C$16,Datos!$D$16,IF(Evalucion!BH4=Datos!$C$17,Datos!$D$17,IF(Evalucion!BH4=Datos!$C$18,Datos!$D$18,IF(Evalucion!BH4=Datos!$C$19,Datos!$D$19,"=")))))</f>
        <v>5</v>
      </c>
      <c r="BH6">
        <f>IF(Evalucion!BI4=Datos!$C$15,Datos!$D$15,IF(Evalucion!BI4=Datos!$C$16,Datos!$D$16,IF(Evalucion!BI4=Datos!$C$17,Datos!$D$17,IF(Evalucion!BI4=Datos!$C$18,Datos!$D$18,IF(Evalucion!BI4=Datos!$C$19,Datos!$D$19,"=")))))</f>
        <v>5</v>
      </c>
      <c r="BI6">
        <f>IF(Evalucion!BJ4=Datos!$C$15,Datos!$D$15,IF(Evalucion!BJ4=Datos!$C$16,Datos!$D$16,IF(Evalucion!BJ4=Datos!$C$17,Datos!$D$17,IF(Evalucion!BJ4=Datos!$C$18,Datos!$D$18,IF(Evalucion!BJ4=Datos!$C$19,Datos!$D$19,"=")))))</f>
        <v>5</v>
      </c>
      <c r="BJ6">
        <f>IF(Evalucion!BK4=Datos!$C$15,Datos!$D$15,IF(Evalucion!BK4=Datos!$C$16,Datos!$D$16,IF(Evalucion!BK4=Datos!$C$17,Datos!$D$17,IF(Evalucion!BK4=Datos!$C$18,Datos!$D$18,IF(Evalucion!BK4=Datos!$C$19,Datos!$D$19,"=")))))</f>
        <v>5</v>
      </c>
      <c r="BK6">
        <f>IF(Evalucion!BL4=Datos!$C$15,Datos!$D$15,IF(Evalucion!BL4=Datos!$C$16,Datos!$D$16,IF(Evalucion!BL4=Datos!$C$17,Datos!$D$17,IF(Evalucion!BL4=Datos!$C$18,Datos!$D$18,IF(Evalucion!BL4=Datos!$C$19,Datos!$D$19,"=")))))</f>
        <v>5</v>
      </c>
      <c r="BL6">
        <f>IF(Evalucion!BM4=Datos!$C$15,Datos!$D$15,IF(Evalucion!BM4=Datos!$C$16,Datos!$D$16,IF(Evalucion!BM4=Datos!$C$17,Datos!$D$17,IF(Evalucion!BM4=Datos!$C$18,Datos!$D$18,IF(Evalucion!BM4=Datos!$C$19,Datos!$D$19,"=")))))</f>
        <v>5</v>
      </c>
      <c r="BM6">
        <f>IF(Evalucion!BN4=Datos!$C$15,Datos!$D$15,IF(Evalucion!BN4=Datos!$C$16,Datos!$D$16,IF(Evalucion!BN4=Datos!$C$17,Datos!$D$17,IF(Evalucion!BN4=Datos!$C$18,Datos!$D$18,IF(Evalucion!BN4=Datos!$C$19,Datos!$D$19,"=")))))</f>
        <v>5</v>
      </c>
      <c r="BN6">
        <f>IF(Evalucion!BO4=Datos!$C$15,Datos!$D$15,IF(Evalucion!BO4=Datos!$C$16,Datos!$D$16,IF(Evalucion!BO4=Datos!$C$17,Datos!$D$17,IF(Evalucion!BO4=Datos!$C$18,Datos!$D$18,IF(Evalucion!BO4=Datos!$C$19,Datos!$D$19,"=")))))</f>
        <v>5</v>
      </c>
      <c r="BO6">
        <f>IF(Evalucion!BP4=Datos!$C$15,Datos!$D$15,IF(Evalucion!BP4=Datos!$C$16,Datos!$D$16,IF(Evalucion!BP4=Datos!$C$17,Datos!$D$17,IF(Evalucion!BP4=Datos!$C$18,Datos!$D$18,IF(Evalucion!BP4=Datos!$C$19,Datos!$D$19,"=")))))</f>
        <v>5</v>
      </c>
      <c r="BP6">
        <f>IF(Evalucion!BQ4=Datos!$C$15,Datos!$D$15,IF(Evalucion!BQ4=Datos!$C$16,Datos!$D$16,IF(Evalucion!BQ4=Datos!$C$17,Datos!$D$17,IF(Evalucion!BQ4=Datos!$C$18,Datos!$D$18,IF(Evalucion!BQ4=Datos!$C$19,Datos!$D$19,"=")))))</f>
        <v>5</v>
      </c>
      <c r="BQ6">
        <f>IF(Evalucion!BR4=Datos!$C$15,Datos!$D$15,IF(Evalucion!BR4=Datos!$C$16,Datos!$D$16,IF(Evalucion!BR4=Datos!$C$17,Datos!$D$17,IF(Evalucion!BR4=Datos!$C$18,Datos!$D$18,IF(Evalucion!BR4=Datos!$C$19,Datos!$D$19,"=")))))</f>
        <v>5</v>
      </c>
      <c r="BR6">
        <f>IF(Evalucion!BS4=Datos!$C$15,Datos!$D$15,IF(Evalucion!BS4=Datos!$C$16,Datos!$D$16,IF(Evalucion!BS4=Datos!$C$17,Datos!$D$17,IF(Evalucion!BS4=Datos!$C$18,Datos!$D$18,IF(Evalucion!BS4=Datos!$C$19,Datos!$D$19,"=")))))</f>
        <v>1</v>
      </c>
      <c r="BS6">
        <f>IF(Evalucion!BT4=Datos!$C$15,Datos!$D$15,IF(Evalucion!BT4=Datos!$C$16,Datos!$D$16,IF(Evalucion!BT4=Datos!$C$17,Datos!$D$17,IF(Evalucion!BT4=Datos!$C$18,Datos!$D$18,IF(Evalucion!BT4=Datos!$C$19,Datos!$D$19,"=")))))</f>
        <v>5</v>
      </c>
      <c r="BT6">
        <f>IF(Evalucion!BU4=Datos!$C$15,Datos!$D$15,IF(Evalucion!BU4=Datos!$C$16,Datos!$D$16,IF(Evalucion!BU4=Datos!$C$17,Datos!$D$17,IF(Evalucion!BU4=Datos!$C$18,Datos!$D$18,IF(Evalucion!BU4=Datos!$C$19,Datos!$D$19,"=")))))</f>
        <v>5</v>
      </c>
      <c r="BU6">
        <f>IF(Evalucion!BV4=Datos!$C$15,Datos!$D$15,IF(Evalucion!BV4=Datos!$C$16,Datos!$D$16,IF(Evalucion!BV4=Datos!$C$17,Datos!$D$17,IF(Evalucion!BV4=Datos!$C$18,Datos!$D$18,IF(Evalucion!BV4=Datos!$C$19,Datos!$D$19,"=")))))</f>
        <v>5</v>
      </c>
      <c r="BV6">
        <f>IF(Evalucion!BW4=Datos!$C$15,Datos!$D$15,IF(Evalucion!BW4=Datos!$C$16,Datos!$D$16,IF(Evalucion!BW4=Datos!$C$17,Datos!$D$17,IF(Evalucion!BW4=Datos!$C$18,Datos!$D$18,IF(Evalucion!BW4=Datos!$C$19,Datos!$D$19,"=")))))</f>
        <v>5</v>
      </c>
      <c r="BW6">
        <f>IF(Evalucion!BX4=Datos!$C$15,Datos!$D$15,IF(Evalucion!BX4=Datos!$C$16,Datos!$D$16,IF(Evalucion!BX4=Datos!$C$17,Datos!$D$17,IF(Evalucion!BX4=Datos!$C$18,Datos!$D$18,IF(Evalucion!BX4=Datos!$C$19,Datos!$D$19,"=")))))</f>
        <v>5</v>
      </c>
      <c r="BX6">
        <f>IF(Evalucion!BY4=Datos!$C$15,Datos!$D$15,IF(Evalucion!BY4=Datos!$C$16,Datos!$D$16,IF(Evalucion!BY4=Datos!$C$17,Datos!$D$17,IF(Evalucion!BY4=Datos!$C$18,Datos!$D$18,IF(Evalucion!BY4=Datos!$C$19,Datos!$D$19,"=")))))</f>
        <v>5</v>
      </c>
      <c r="BY6">
        <f>IF(Evalucion!BZ4=Datos!$C$15,Datos!$D$15,IF(Evalucion!BZ4=Datos!$C$16,Datos!$D$16,IF(Evalucion!BZ4=Datos!$C$17,Datos!$D$17,IF(Evalucion!BZ4=Datos!$C$18,Datos!$D$18,IF(Evalucion!BZ4=Datos!$C$19,Datos!$D$19,"=")))))</f>
        <v>5</v>
      </c>
      <c r="BZ6">
        <f>IF(Evalucion!CA4=Datos!$C$15,Datos!$D$15,IF(Evalucion!CA4=Datos!$C$16,Datos!$D$16,IF(Evalucion!CA4=Datos!$C$17,Datos!$D$17,IF(Evalucion!CA4=Datos!$C$18,Datos!$D$18,IF(Evalucion!CA4=Datos!$C$19,Datos!$D$19,"=")))))</f>
        <v>1</v>
      </c>
      <c r="CA6">
        <f>IF(Evalucion!CB4=Datos!$C$15,Datos!$D$15,IF(Evalucion!CB4=Datos!$C$16,Datos!$D$16,IF(Evalucion!CB4=Datos!$C$17,Datos!$D$17,IF(Evalucion!CB4=Datos!$C$18,Datos!$D$18,IF(Evalucion!CB4=Datos!$C$19,Datos!$D$19,"=")))))</f>
        <v>1</v>
      </c>
      <c r="CB6">
        <f>IF(Evalucion!CC4=Datos!$C$15,Datos!$D$15,IF(Evalucion!CC4=Datos!$C$16,Datos!$D$16,IF(Evalucion!CC4=Datos!$C$17,Datos!$D$17,IF(Evalucion!CC4=Datos!$C$18,Datos!$D$18,IF(Evalucion!CC4=Datos!$C$19,Datos!$D$19,"=")))))</f>
        <v>5</v>
      </c>
      <c r="CC6">
        <f>IF(Evalucion!CD4=Datos!$C$15,Datos!$D$15,IF(Evalucion!CD4=Datos!$C$16,Datos!$D$16,IF(Evalucion!CD4=Datos!$C$17,Datos!$D$17,IF(Evalucion!CD4=Datos!$C$18,Datos!$D$18,IF(Evalucion!CD4=Datos!$C$19,Datos!$D$19,"=")))))</f>
        <v>5</v>
      </c>
      <c r="CD6">
        <f>IF(Evalucion!CE4=Datos!$C$15,Datos!$D$15,IF(Evalucion!CE4=Datos!$C$16,Datos!$D$16,IF(Evalucion!CE4=Datos!$C$17,Datos!$D$17,IF(Evalucion!CE4=Datos!$C$18,Datos!$D$18,IF(Evalucion!CE4=Datos!$C$19,Datos!$D$19,"=")))))</f>
        <v>5</v>
      </c>
      <c r="CE6">
        <f>IF(Evalucion!CF4=Datos!$C$15,Datos!$D$15,IF(Evalucion!CF4=Datos!$C$16,Datos!$D$16,IF(Evalucion!CF4=Datos!$C$17,Datos!$D$17,IF(Evalucion!CF4=Datos!$C$18,Datos!$D$18,IF(Evalucion!CF4=Datos!$C$19,Datos!$D$19,"=")))))</f>
        <v>5</v>
      </c>
      <c r="CF6">
        <f>IF(Evalucion!CG4=Datos!$C$15,Datos!$D$15,IF(Evalucion!CG4=Datos!$C$16,Datos!$D$16,IF(Evalucion!CG4=Datos!$C$17,Datos!$D$17,IF(Evalucion!CG4=Datos!$C$18,Datos!$D$18,IF(Evalucion!CG4=Datos!$C$19,Datos!$D$19,"=")))))</f>
        <v>5</v>
      </c>
      <c r="CG6">
        <f>IF(Evalucion!CH4=Datos!$C$15,Datos!$D$15,IF(Evalucion!CH4=Datos!$C$16,Datos!$D$16,IF(Evalucion!CH4=Datos!$C$17,Datos!$D$17,IF(Evalucion!CH4=Datos!$C$18,Datos!$D$18,IF(Evalucion!CH4=Datos!$C$19,Datos!$D$19,"=")))))</f>
        <v>5</v>
      </c>
      <c r="CH6">
        <f>IF(Evalucion!CI4=Datos!$C$15,Datos!$D$15,IF(Evalucion!CI4=Datos!$C$16,Datos!$D$16,IF(Evalucion!CI4=Datos!$C$17,Datos!$D$17,IF(Evalucion!CI4=Datos!$C$18,Datos!$D$18,IF(Evalucion!CI4=Datos!$C$19,Datos!$D$19,"=")))))</f>
        <v>5</v>
      </c>
      <c r="CI6">
        <f>IF(Evalucion!CJ4=Datos!$C$15,Datos!$D$15,IF(Evalucion!CJ4=Datos!$C$16,Datos!$D$16,IF(Evalucion!CJ4=Datos!$C$17,Datos!$D$17,IF(Evalucion!CJ4=Datos!$C$18,Datos!$D$18,IF(Evalucion!CJ4=Datos!$C$19,Datos!$D$19,"=")))))</f>
        <v>5</v>
      </c>
      <c r="CJ6">
        <f>IF(Evalucion!CK4=Datos!$C$15,Datos!$D$15,IF(Evalucion!CK4=Datos!$C$16,Datos!$D$16,IF(Evalucion!CK4=Datos!$C$17,Datos!$D$17,IF(Evalucion!CK4=Datos!$C$18,Datos!$D$18,IF(Evalucion!CK4=Datos!$C$19,Datos!$D$19,"=")))))</f>
        <v>5</v>
      </c>
      <c r="CK6">
        <f>IF(Evalucion!CL4=Datos!$C$15,Datos!$D$15,IF(Evalucion!CL4=Datos!$C$16,Datos!$D$16,IF(Evalucion!CL4=Datos!$C$17,Datos!$D$17,IF(Evalucion!CL4=Datos!$C$18,Datos!$D$18,IF(Evalucion!CL4=Datos!$C$19,Datos!$D$19,"=")))))</f>
        <v>5</v>
      </c>
      <c r="CL6">
        <f>IF(Evalucion!CM4=Datos!$C$15,Datos!$D$15,IF(Evalucion!CM4=Datos!$C$16,Datos!$D$16,IF(Evalucion!CM4=Datos!$C$17,Datos!$D$17,IF(Evalucion!CM4=Datos!$C$18,Datos!$D$18,IF(Evalucion!CM4=Datos!$C$19,Datos!$D$19,"=")))))</f>
        <v>5</v>
      </c>
      <c r="CM6">
        <f>IF(Evalucion!CN4=Datos!$C$15,Datos!$D$15,IF(Evalucion!CN4=Datos!$C$16,Datos!$D$16,IF(Evalucion!CN4=Datos!$C$17,Datos!$D$17,IF(Evalucion!CN4=Datos!$C$18,Datos!$D$18,IF(Evalucion!CN4=Datos!$C$19,Datos!$D$19,"=")))))</f>
        <v>5</v>
      </c>
      <c r="CN6">
        <f>IF(Evalucion!CO4=Datos!$C$15,Datos!$D$15,IF(Evalucion!CO4=Datos!$C$16,Datos!$D$16,IF(Evalucion!CO4=Datos!$C$17,Datos!$D$17,IF(Evalucion!CO4=Datos!$C$18,Datos!$D$18,IF(Evalucion!CO4=Datos!$C$19,Datos!$D$19,"=")))))</f>
        <v>5</v>
      </c>
      <c r="CO6">
        <f>IF(Evalucion!CP4=Datos!$C$15,Datos!$D$15,IF(Evalucion!CP4=Datos!$C$16,Datos!$D$16,IF(Evalucion!CP4=Datos!$C$17,Datos!$D$17,IF(Evalucion!CP4=Datos!$C$18,Datos!$D$18,IF(Evalucion!CP4=Datos!$C$19,Datos!$D$19,"=")))))</f>
        <v>5</v>
      </c>
      <c r="CP6">
        <f>IF(Evalucion!CQ4=Datos!$C$15,Datos!$D$15,IF(Evalucion!CQ4=Datos!$C$16,Datos!$D$16,IF(Evalucion!CQ4=Datos!$C$17,Datos!$D$17,IF(Evalucion!CQ4=Datos!$C$18,Datos!$D$18,IF(Evalucion!CQ4=Datos!$C$19,Datos!$D$19,"=")))))</f>
        <v>5</v>
      </c>
      <c r="CQ6">
        <f>IF(Evalucion!CR4=Datos!$C$15,Datos!$D$15,IF(Evalucion!CR4=Datos!$C$16,Datos!$D$16,IF(Evalucion!CR4=Datos!$C$17,Datos!$D$17,IF(Evalucion!CR4=Datos!$C$18,Datos!$D$18,IF(Evalucion!CR4=Datos!$C$19,Datos!$D$19,"=")))))</f>
        <v>5</v>
      </c>
      <c r="CR6">
        <f>IF(Evalucion!CS4=Datos!$C$15,Datos!$D$15,IF(Evalucion!CS4=Datos!$C$16,Datos!$D$16,IF(Evalucion!CS4=Datos!$C$17,Datos!$D$17,IF(Evalucion!CS4=Datos!$C$18,Datos!$D$18,IF(Evalucion!CS4=Datos!$C$19,Datos!$D$19,"=")))))</f>
        <v>5</v>
      </c>
      <c r="CS6">
        <f>IF(Evalucion!CT4=Datos!$C$15,Datos!$D$15,IF(Evalucion!CT4=Datos!$C$16,Datos!$D$16,IF(Evalucion!CT4=Datos!$C$17,Datos!$D$17,IF(Evalucion!CT4=Datos!$C$18,Datos!$D$18,IF(Evalucion!CT4=Datos!$C$19,Datos!$D$19,"=")))))</f>
        <v>5</v>
      </c>
      <c r="CT6">
        <f>IF(Evalucion!CU4=Datos!$C$15,Datos!$D$15,IF(Evalucion!CU4=Datos!$C$16,Datos!$D$16,IF(Evalucion!CU4=Datos!$C$17,Datos!$D$17,IF(Evalucion!CU4=Datos!$C$18,Datos!$D$18,IF(Evalucion!CU4=Datos!$C$19,Datos!$D$19,"=")))))</f>
        <v>5</v>
      </c>
      <c r="CU6">
        <f>IF(Evalucion!CV4=Datos!$C$15,Datos!$D$15,IF(Evalucion!CV4=Datos!$C$16,Datos!$D$16,IF(Evalucion!CV4=Datos!$C$17,Datos!$D$17,IF(Evalucion!CV4=Datos!$C$18,Datos!$D$18,IF(Evalucion!CV4=Datos!$C$19,Datos!$D$19,"=")))))</f>
        <v>3</v>
      </c>
      <c r="CV6">
        <f>IF(Evalucion!CW4=Datos!$C$15,Datos!$D$15,IF(Evalucion!CW4=Datos!$C$16,Datos!$D$16,IF(Evalucion!CW4=Datos!$C$17,Datos!$D$17,IF(Evalucion!CW4=Datos!$C$18,Datos!$D$18,IF(Evalucion!CW4=Datos!$C$19,Datos!$D$19,"=")))))</f>
        <v>5</v>
      </c>
      <c r="CW6">
        <f>IF(Evalucion!CX4=Datos!$C$15,Datos!$D$15,IF(Evalucion!CX4=Datos!$C$16,Datos!$D$16,IF(Evalucion!CX4=Datos!$C$17,Datos!$D$17,IF(Evalucion!CX4=Datos!$C$18,Datos!$D$18,IF(Evalucion!CX4=Datos!$C$19,Datos!$D$19,"=")))))</f>
        <v>5</v>
      </c>
      <c r="CX6">
        <f>IF(Evalucion!CY4=Datos!$C$15,Datos!$D$15,IF(Evalucion!CY4=Datos!$C$16,Datos!$D$16,IF(Evalucion!CY4=Datos!$C$17,Datos!$D$17,IF(Evalucion!CY4=Datos!$C$18,Datos!$D$18,IF(Evalucion!CY4=Datos!$C$19,Datos!$D$19,"=")))))</f>
        <v>5</v>
      </c>
      <c r="CY6">
        <f>IF(Evalucion!CZ4=Datos!$C$15,Datos!$D$15,IF(Evalucion!CZ4=Datos!$C$16,Datos!$D$16,IF(Evalucion!CZ4=Datos!$C$17,Datos!$D$17,IF(Evalucion!CZ4=Datos!$C$18,Datos!$D$18,IF(Evalucion!CZ4=Datos!$C$19,Datos!$D$19,"=")))))</f>
        <v>5</v>
      </c>
      <c r="CZ6">
        <f>IF(Evalucion!DA4=Datos!$C$15,Datos!$D$15,IF(Evalucion!DA4=Datos!$C$16,Datos!$D$16,IF(Evalucion!DA4=Datos!$C$17,Datos!$D$17,IF(Evalucion!DA4=Datos!$C$18,Datos!$D$18,IF(Evalucion!DA4=Datos!$C$19,Datos!$D$19,"=")))))</f>
        <v>5</v>
      </c>
      <c r="DA6">
        <f>IF(Evalucion!DB4=Datos!$C$15,Datos!$D$15,IF(Evalucion!DB4=Datos!$C$16,Datos!$D$16,IF(Evalucion!DB4=Datos!$C$17,Datos!$D$17,IF(Evalucion!DB4=Datos!$C$18,Datos!$D$18,IF(Evalucion!DB4=Datos!$C$19,Datos!$D$19,"=")))))</f>
        <v>3</v>
      </c>
      <c r="DB6">
        <f>IF(Evalucion!DC4=Datos!$C$15,Datos!$D$15,IF(Evalucion!DC4=Datos!$C$16,Datos!$D$16,IF(Evalucion!DC4=Datos!$C$17,Datos!$D$17,IF(Evalucion!DC4=Datos!$C$18,Datos!$D$18,IF(Evalucion!DC4=Datos!$C$19,Datos!$D$19,"=")))))</f>
        <v>5</v>
      </c>
      <c r="DC6">
        <f>IF(Evalucion!DD4=Datos!$C$15,Datos!$D$15,IF(Evalucion!DD4=Datos!$C$16,Datos!$D$16,IF(Evalucion!DD4=Datos!$C$17,Datos!$D$17,IF(Evalucion!DD4=Datos!$C$18,Datos!$D$18,IF(Evalucion!DD4=Datos!$C$19,Datos!$D$19,"=")))))</f>
        <v>5</v>
      </c>
      <c r="DD6">
        <f>IF(Evalucion!DE4=Datos!$C$15,Datos!$D$15,IF(Evalucion!DE4=Datos!$C$16,Datos!$D$16,IF(Evalucion!DE4=Datos!$C$17,Datos!$D$17,IF(Evalucion!DE4=Datos!$C$18,Datos!$D$18,IF(Evalucion!DE4=Datos!$C$19,Datos!$D$19,"=")))))</f>
        <v>5</v>
      </c>
      <c r="DE6">
        <f>IF(Evalucion!DF4=Datos!$C$15,Datos!$D$15,IF(Evalucion!DF4=Datos!$C$16,Datos!$D$16,IF(Evalucion!DF4=Datos!$C$17,Datos!$D$17,IF(Evalucion!DF4=Datos!$C$18,Datos!$D$18,IF(Evalucion!DF4=Datos!$C$19,Datos!$D$19,"=")))))</f>
        <v>3</v>
      </c>
      <c r="DF6">
        <f>IF(Evalucion!DG4=Datos!$C$15,Datos!$D$15,IF(Evalucion!DG4=Datos!$C$16,Datos!$D$16,IF(Evalucion!DG4=Datos!$C$17,Datos!$D$17,IF(Evalucion!DG4=Datos!$C$18,Datos!$D$18,IF(Evalucion!DG4=Datos!$C$19,Datos!$D$19,"=")))))</f>
        <v>5</v>
      </c>
      <c r="DG6">
        <f>IF(Evalucion!DH4=Datos!$C$15,Datos!$D$15,IF(Evalucion!DH4=Datos!$C$16,Datos!$D$16,IF(Evalucion!DH4=Datos!$C$17,Datos!$D$17,IF(Evalucion!DH4=Datos!$C$18,Datos!$D$18,IF(Evalucion!DH4=Datos!$C$19,Datos!$D$19,"=")))))</f>
        <v>5</v>
      </c>
      <c r="DH6">
        <f>IF(Evalucion!DI4=Datos!$C$15,Datos!$D$15,IF(Evalucion!DI4=Datos!$C$16,Datos!$D$16,IF(Evalucion!DI4=Datos!$C$17,Datos!$D$17,IF(Evalucion!DI4=Datos!$C$18,Datos!$D$18,IF(Evalucion!DI4=Datos!$C$19,Datos!$D$19,"=")))))</f>
        <v>5</v>
      </c>
      <c r="DI6">
        <f>IF(Evalucion!DJ4=Datos!$C$15,Datos!$D$15,IF(Evalucion!DJ4=Datos!$C$16,Datos!$D$16,IF(Evalucion!DJ4=Datos!$C$17,Datos!$D$17,IF(Evalucion!DJ4=Datos!$C$18,Datos!$D$18,IF(Evalucion!DJ4=Datos!$C$19,Datos!$D$19,"=")))))</f>
        <v>5</v>
      </c>
      <c r="DJ6">
        <f>IF(Evalucion!DK4=Datos!$C$15,Datos!$D$15,IF(Evalucion!DK4=Datos!$C$16,Datos!$D$16,IF(Evalucion!DK4=Datos!$C$17,Datos!$D$17,IF(Evalucion!DK4=Datos!$C$18,Datos!$D$18,IF(Evalucion!DK4=Datos!$C$19,Datos!$D$19,"=")))))</f>
        <v>5</v>
      </c>
      <c r="DK6">
        <f>IF(Evalucion!DL4=Datos!$C$15,Datos!$D$15,IF(Evalucion!DL4=Datos!$C$16,Datos!$D$16,IF(Evalucion!DL4=Datos!$C$17,Datos!$D$17,IF(Evalucion!DL4=Datos!$C$18,Datos!$D$18,IF(Evalucion!DL4=Datos!$C$19,Datos!$D$19,"=")))))</f>
        <v>5</v>
      </c>
      <c r="DL6">
        <f>IF(Evalucion!DM4=Datos!$C$15,Datos!$D$15,IF(Evalucion!DM4=Datos!$C$16,Datos!$D$16,IF(Evalucion!DM4=Datos!$C$17,Datos!$D$17,IF(Evalucion!DM4=Datos!$C$18,Datos!$D$18,IF(Evalucion!DM4=Datos!$C$19,Datos!$D$19,"=")))))</f>
        <v>5</v>
      </c>
      <c r="DM6">
        <f>IF(Evalucion!DN4=Datos!$C$15,Datos!$D$15,IF(Evalucion!DN4=Datos!$C$16,Datos!$D$16,IF(Evalucion!DN4=Datos!$C$17,Datos!$D$17,IF(Evalucion!DN4=Datos!$C$18,Datos!$D$18,IF(Evalucion!DN4=Datos!$C$19,Datos!$D$19,"=")))))</f>
        <v>5</v>
      </c>
      <c r="DN6">
        <f>IF(Evalucion!DO4=Datos!$C$15,Datos!$D$15,IF(Evalucion!DO4=Datos!$C$16,Datos!$D$16,IF(Evalucion!DO4=Datos!$C$17,Datos!$D$17,IF(Evalucion!DO4=Datos!$C$18,Datos!$D$18,IF(Evalucion!DO4=Datos!$C$19,Datos!$D$19,"=")))))</f>
        <v>5</v>
      </c>
      <c r="DO6">
        <f>IF(Evalucion!DP4=Datos!$C$15,Datos!$D$15,IF(Evalucion!DP4=Datos!$C$16,Datos!$D$16,IF(Evalucion!DP4=Datos!$C$17,Datos!$D$17,IF(Evalucion!DP4=Datos!$C$18,Datos!$D$18,IF(Evalucion!DP4=Datos!$C$19,Datos!$D$19,"=")))))</f>
        <v>5</v>
      </c>
      <c r="DP6">
        <f>IF(Evalucion!DQ4=Datos!$C$15,Datos!$D$15,IF(Evalucion!DQ4=Datos!$C$16,Datos!$D$16,IF(Evalucion!DQ4=Datos!$C$17,Datos!$D$17,IF(Evalucion!DQ4=Datos!$C$18,Datos!$D$18,IF(Evalucion!DQ4=Datos!$C$19,Datos!$D$19,"=")))))</f>
        <v>1</v>
      </c>
      <c r="DQ6">
        <f>IF(Evalucion!DR4=Datos!$C$15,Datos!$D$15,IF(Evalucion!DR4=Datos!$C$16,Datos!$D$16,IF(Evalucion!DR4=Datos!$C$17,Datos!$D$17,IF(Evalucion!DR4=Datos!$C$18,Datos!$D$18,IF(Evalucion!DR4=Datos!$C$19,Datos!$D$19,"=")))))</f>
        <v>1</v>
      </c>
      <c r="DR6">
        <f>IF(Evalucion!DS4=Datos!$C$15,Datos!$D$15,IF(Evalucion!DS4=Datos!$C$16,Datos!$D$16,IF(Evalucion!DS4=Datos!$C$17,Datos!$D$17,IF(Evalucion!DS4=Datos!$C$18,Datos!$D$18,IF(Evalucion!DS4=Datos!$C$19,Datos!$D$19,"=")))))</f>
        <v>1</v>
      </c>
      <c r="DS6">
        <f>IF(Evalucion!DT4=Datos!$C$15,Datos!$D$15,IF(Evalucion!DT4=Datos!$C$16,Datos!$D$16,IF(Evalucion!DT4=Datos!$C$17,Datos!$D$17,IF(Evalucion!DT4=Datos!$C$18,Datos!$D$18,IF(Evalucion!DT4=Datos!$C$19,Datos!$D$19,"=")))))</f>
        <v>1</v>
      </c>
      <c r="DT6">
        <f>IF(Evalucion!DU4=Datos!$C$15,Datos!$D$15,IF(Evalucion!DU4=Datos!$C$16,Datos!$D$16,IF(Evalucion!DU4=Datos!$C$17,Datos!$D$17,IF(Evalucion!DU4=Datos!$C$18,Datos!$D$18,IF(Evalucion!DU4=Datos!$C$19,Datos!$D$19,"=")))))</f>
        <v>1</v>
      </c>
      <c r="DU6">
        <f>IF(Evalucion!DV4=Datos!$C$15,Datos!$D$15,IF(Evalucion!DV4=Datos!$C$16,Datos!$D$16,IF(Evalucion!DV4=Datos!$C$17,Datos!$D$17,IF(Evalucion!DV4=Datos!$C$18,Datos!$D$18,IF(Evalucion!DV4=Datos!$C$19,Datos!$D$19,"=")))))</f>
        <v>1</v>
      </c>
      <c r="DV6">
        <f>IF(Evalucion!DW4=Datos!$C$15,Datos!$D$15,IF(Evalucion!DW4=Datos!$C$16,Datos!$D$16,IF(Evalucion!DW4=Datos!$C$17,Datos!$D$17,IF(Evalucion!DW4=Datos!$C$18,Datos!$D$18,IF(Evalucion!DW4=Datos!$C$19,Datos!$D$19,"=")))))</f>
        <v>1</v>
      </c>
      <c r="DW6">
        <f>IF(Evalucion!DX4=Datos!$C$15,Datos!$D$15,IF(Evalucion!DX4=Datos!$C$16,Datos!$D$16,IF(Evalucion!DX4=Datos!$C$17,Datos!$D$17,IF(Evalucion!DX4=Datos!$C$18,Datos!$D$18,IF(Evalucion!DX4=Datos!$C$19,Datos!$D$19,"=")))))</f>
        <v>1</v>
      </c>
      <c r="DX6">
        <f>IF(Evalucion!DY4=Datos!$C$15,Datos!$D$15,IF(Evalucion!DY4=Datos!$C$16,Datos!$D$16,IF(Evalucion!DY4=Datos!$C$17,Datos!$D$17,IF(Evalucion!DY4=Datos!$C$18,Datos!$D$18,IF(Evalucion!DY4=Datos!$C$19,Datos!$D$19,"=")))))</f>
        <v>1</v>
      </c>
      <c r="DY6">
        <f>IF(Evalucion!DZ4=Datos!$C$15,Datos!$D$15,IF(Evalucion!DZ4=Datos!$C$16,Datos!$D$16,IF(Evalucion!DZ4=Datos!$C$17,Datos!$D$17,IF(Evalucion!DZ4=Datos!$C$18,Datos!$D$18,IF(Evalucion!DZ4=Datos!$C$19,Datos!$D$19,"=")))))</f>
        <v>1</v>
      </c>
      <c r="DZ6">
        <f>IF(Evalucion!EA4=Datos!$C$15,Datos!$D$15,IF(Evalucion!EA4=Datos!$C$16,Datos!$D$16,IF(Evalucion!EA4=Datos!$C$17,Datos!$D$17,IF(Evalucion!EA4=Datos!$C$18,Datos!$D$18,IF(Evalucion!EA4=Datos!$C$19,Datos!$D$19,"=")))))</f>
        <v>5</v>
      </c>
      <c r="EA6">
        <f>IF(Evalucion!EB4=Datos!$C$15,Datos!$D$15,IF(Evalucion!EB4=Datos!$C$16,Datos!$D$16,IF(Evalucion!EB4=Datos!$C$17,Datos!$D$17,IF(Evalucion!EB4=Datos!$C$18,Datos!$D$18,IF(Evalucion!EB4=Datos!$C$19,Datos!$D$19,"=")))))</f>
        <v>5</v>
      </c>
      <c r="EB6">
        <f>IF(Evalucion!EC4=Datos!$C$15,Datos!$D$15,IF(Evalucion!EC4=Datos!$C$16,Datos!$D$16,IF(Evalucion!EC4=Datos!$C$17,Datos!$D$17,IF(Evalucion!EC4=Datos!$C$18,Datos!$D$18,IF(Evalucion!EC4=Datos!$C$19,Datos!$D$19,"=")))))</f>
        <v>5</v>
      </c>
      <c r="EC6">
        <f>IF(Evalucion!ED4=Datos!$C$15,Datos!$D$15,IF(Evalucion!ED4=Datos!$C$16,Datos!$D$16,IF(Evalucion!ED4=Datos!$C$17,Datos!$D$17,IF(Evalucion!ED4=Datos!$C$18,Datos!$D$18,IF(Evalucion!ED4=Datos!$C$19,Datos!$D$19,"=")))))</f>
        <v>5</v>
      </c>
      <c r="ED6">
        <f>IF(Evalucion!EE4=Datos!$C$15,Datos!$D$15,IF(Evalucion!EE4=Datos!$C$16,Datos!$D$16,IF(Evalucion!EE4=Datos!$C$17,Datos!$D$17,IF(Evalucion!EE4=Datos!$C$18,Datos!$D$18,IF(Evalucion!EE4=Datos!$C$19,Datos!$D$19,"=")))))</f>
        <v>5</v>
      </c>
      <c r="EE6">
        <f>IF(Evalucion!EF4=Datos!$C$15,Datos!$D$15,IF(Evalucion!EF4=Datos!$C$16,Datos!$D$16,IF(Evalucion!EF4=Datos!$C$17,Datos!$D$17,IF(Evalucion!EF4=Datos!$C$18,Datos!$D$18,IF(Evalucion!EF4=Datos!$C$19,Datos!$D$19,"=")))))</f>
        <v>5</v>
      </c>
      <c r="EF6">
        <f>IF(Evalucion!EG4=Datos!$C$15,Datos!$D$15,IF(Evalucion!EG4=Datos!$C$16,Datos!$D$16,IF(Evalucion!EG4=Datos!$C$17,Datos!$D$17,IF(Evalucion!EG4=Datos!$C$18,Datos!$D$18,IF(Evalucion!EG4=Datos!$C$19,Datos!$D$19,"=")))))</f>
        <v>5</v>
      </c>
      <c r="EG6">
        <f>IF(Evalucion!EH4=Datos!$C$15,Datos!$D$15,IF(Evalucion!EH4=Datos!$C$16,Datos!$D$16,IF(Evalucion!EH4=Datos!$C$17,Datos!$D$17,IF(Evalucion!EH4=Datos!$C$18,Datos!$D$18,IF(Evalucion!EH4=Datos!$C$19,Datos!$D$19,"=")))))</f>
        <v>5</v>
      </c>
      <c r="EH6">
        <f>IF(Evalucion!EI4=Datos!$C$15,Datos!$D$15,IF(Evalucion!EI4=Datos!$C$16,Datos!$D$16,IF(Evalucion!EI4=Datos!$C$17,Datos!$D$17,IF(Evalucion!EI4=Datos!$C$18,Datos!$D$18,IF(Evalucion!EI4=Datos!$C$19,Datos!$D$19,"=")))))</f>
        <v>5</v>
      </c>
      <c r="EI6">
        <f>IF(Evalucion!EJ4=Datos!$C$15,Datos!$D$15,IF(Evalucion!EJ4=Datos!$C$16,Datos!$D$16,IF(Evalucion!EJ4=Datos!$C$17,Datos!$D$17,IF(Evalucion!EJ4=Datos!$C$18,Datos!$D$18,IF(Evalucion!EJ4=Datos!$C$19,Datos!$D$19,"=")))))</f>
        <v>5</v>
      </c>
      <c r="EJ6">
        <f>IF(Evalucion!EK4=Datos!$C$15,Datos!$D$15,IF(Evalucion!EK4=Datos!$C$16,Datos!$D$16,IF(Evalucion!EK4=Datos!$C$17,Datos!$D$17,IF(Evalucion!EK4=Datos!$C$18,Datos!$D$18,IF(Evalucion!EK4=Datos!$C$19,Datos!$D$19,"=")))))</f>
        <v>5</v>
      </c>
      <c r="EK6">
        <f>IF(Evalucion!EL4=Datos!$C$15,Datos!$D$15,IF(Evalucion!EL4=Datos!$C$16,Datos!$D$16,IF(Evalucion!EL4=Datos!$C$17,Datos!$D$17,IF(Evalucion!EL4=Datos!$C$18,Datos!$D$18,IF(Evalucion!EL4=Datos!$C$19,Datos!$D$19,"=")))))</f>
        <v>5</v>
      </c>
      <c r="EL6">
        <f>IF(Evalucion!EM4=Datos!$C$15,Datos!$D$15,IF(Evalucion!EM4=Datos!$C$16,Datos!$D$16,IF(Evalucion!EM4=Datos!$C$17,Datos!$D$17,IF(Evalucion!EM4=Datos!$C$18,Datos!$D$18,IF(Evalucion!EM4=Datos!$C$19,Datos!$D$19,"=")))))</f>
        <v>5</v>
      </c>
      <c r="EM6">
        <f>IF(Evalucion!EN4=Datos!$C$15,Datos!$D$15,IF(Evalucion!EN4=Datos!$C$16,Datos!$D$16,IF(Evalucion!EN4=Datos!$C$17,Datos!$D$17,IF(Evalucion!EN4=Datos!$C$18,Datos!$D$18,IF(Evalucion!EN4=Datos!$C$19,Datos!$D$19,"=")))))</f>
        <v>5</v>
      </c>
      <c r="EN6">
        <f>IF(Evalucion!EO4=Datos!$C$15,Datos!$D$15,IF(Evalucion!EO4=Datos!$C$16,Datos!$D$16,IF(Evalucion!EO4=Datos!$C$17,Datos!$D$17,IF(Evalucion!EO4=Datos!$C$18,Datos!$D$18,IF(Evalucion!EO4=Datos!$C$19,Datos!$D$19,"=")))))</f>
        <v>5</v>
      </c>
      <c r="EO6">
        <f>IF(Evalucion!EP4=Datos!$C$15,Datos!$D$15,IF(Evalucion!EP4=Datos!$C$16,Datos!$D$16,IF(Evalucion!EP4=Datos!$C$17,Datos!$D$17,IF(Evalucion!EP4=Datos!$C$18,Datos!$D$18,IF(Evalucion!EP4=Datos!$C$19,Datos!$D$19,"=")))))</f>
        <v>5</v>
      </c>
      <c r="EP6">
        <f>IF(Evalucion!EQ4=Datos!$C$15,Datos!$D$15,IF(Evalucion!EQ4=Datos!$C$16,Datos!$D$16,IF(Evalucion!EQ4=Datos!$C$17,Datos!$D$17,IF(Evalucion!EQ4=Datos!$C$18,Datos!$D$18,IF(Evalucion!EQ4=Datos!$C$19,Datos!$D$19,"=")))))</f>
        <v>5</v>
      </c>
      <c r="EQ6">
        <f>IF(Evalucion!ER4=Datos!$C$15,Datos!$D$15,IF(Evalucion!ER4=Datos!$C$16,Datos!$D$16,IF(Evalucion!ER4=Datos!$C$17,Datos!$D$17,IF(Evalucion!ER4=Datos!$C$18,Datos!$D$18,IF(Evalucion!ER4=Datos!$C$19,Datos!$D$19,"=")))))</f>
        <v>5</v>
      </c>
      <c r="ER6">
        <f>IF(Evalucion!ES4=Datos!$C$15,Datos!$D$15,IF(Evalucion!ES4=Datos!$C$16,Datos!$D$16,IF(Evalucion!ES4=Datos!$C$17,Datos!$D$17,IF(Evalucion!ES4=Datos!$C$18,Datos!$D$18,IF(Evalucion!ES4=Datos!$C$19,Datos!$D$19,"=")))))</f>
        <v>5</v>
      </c>
      <c r="ES6">
        <f>IF(Evalucion!ET4=Datos!$C$15,Datos!$D$15,IF(Evalucion!ET4=Datos!$C$16,Datos!$D$16,IF(Evalucion!ET4=Datos!$C$17,Datos!$D$17,IF(Evalucion!ET4=Datos!$C$18,Datos!$D$18,IF(Evalucion!ET4=Datos!$C$19,Datos!$D$19,"=")))))</f>
        <v>5</v>
      </c>
      <c r="ET6">
        <f>IF(Evalucion!EU4=Datos!$C$15,Datos!$D$15,IF(Evalucion!EU4=Datos!$C$16,Datos!$D$16,IF(Evalucion!EU4=Datos!$C$17,Datos!$D$17,IF(Evalucion!EU4=Datos!$C$18,Datos!$D$18,IF(Evalucion!EU4=Datos!$C$19,Datos!$D$19,"=")))))</f>
        <v>5</v>
      </c>
      <c r="EU6">
        <f>IF(Evalucion!EV4=Datos!$C$15,Datos!$D$15,IF(Evalucion!EV4=Datos!$C$16,Datos!$D$16,IF(Evalucion!EV4=Datos!$C$17,Datos!$D$17,IF(Evalucion!EV4=Datos!$C$18,Datos!$D$18,IF(Evalucion!EV4=Datos!$C$19,Datos!$D$19,"=")))))</f>
        <v>1</v>
      </c>
      <c r="EV6">
        <f>IF(Evalucion!EW4=Datos!$C$15,Datos!$D$15,IF(Evalucion!EW4=Datos!$C$16,Datos!$D$16,IF(Evalucion!EW4=Datos!$C$17,Datos!$D$17,IF(Evalucion!EW4=Datos!$C$18,Datos!$D$18,IF(Evalucion!EW4=Datos!$C$19,Datos!$D$19,"=")))))</f>
        <v>5</v>
      </c>
      <c r="EW6">
        <f>IF(Evalucion!EX4=Datos!$C$15,Datos!$D$15,IF(Evalucion!EX4=Datos!$C$16,Datos!$D$16,IF(Evalucion!EX4=Datos!$C$17,Datos!$D$17,IF(Evalucion!EX4=Datos!$C$18,Datos!$D$18,IF(Evalucion!EX4=Datos!$C$19,Datos!$D$19,"=")))))</f>
        <v>5</v>
      </c>
      <c r="EX6">
        <f>IF(Evalucion!EY4=Datos!$C$15,Datos!$D$15,IF(Evalucion!EY4=Datos!$C$16,Datos!$D$16,IF(Evalucion!EY4=Datos!$C$17,Datos!$D$17,IF(Evalucion!EY4=Datos!$C$18,Datos!$D$18,IF(Evalucion!EY4=Datos!$C$19,Datos!$D$19,"=")))))</f>
        <v>5</v>
      </c>
      <c r="EY6">
        <f>IF(Evalucion!EZ4=Datos!$C$15,Datos!$D$15,IF(Evalucion!EZ4=Datos!$C$16,Datos!$D$16,IF(Evalucion!EZ4=Datos!$C$17,Datos!$D$17,IF(Evalucion!EZ4=Datos!$C$18,Datos!$D$18,IF(Evalucion!EZ4=Datos!$C$19,Datos!$D$19,"=")))))</f>
        <v>3</v>
      </c>
      <c r="FA6">
        <f t="shared" si="3"/>
        <v>315</v>
      </c>
      <c r="FB6">
        <f t="shared" si="3"/>
        <v>309</v>
      </c>
      <c r="FC6" s="3">
        <f t="shared" si="4"/>
        <v>0.82399999999999995</v>
      </c>
      <c r="FD6" t="str">
        <f t="shared" si="0"/>
        <v>Conf_CR</v>
      </c>
      <c r="FF6">
        <f t="shared" si="1"/>
        <v>624</v>
      </c>
      <c r="FG6">
        <f t="shared" si="2"/>
        <v>0</v>
      </c>
      <c r="FI6" s="2" t="s">
        <v>147</v>
      </c>
      <c r="FJ6">
        <f>COUNTIF(FD:FD,FI6)</f>
        <v>16</v>
      </c>
      <c r="FK6" s="3">
        <f>FJ6/$FJ$7</f>
        <v>0.32</v>
      </c>
    </row>
    <row r="7" spans="1:167" x14ac:dyDescent="0.2">
      <c r="A7">
        <v>4</v>
      </c>
      <c r="B7" t="s">
        <v>248</v>
      </c>
      <c r="C7" t="s">
        <v>191</v>
      </c>
      <c r="D7" s="1">
        <v>43834</v>
      </c>
      <c r="E7">
        <f>IF(Evalucion!F5=Datos!$C$15,Datos!$D$15,IF(Evalucion!F5=Datos!$C$16,Datos!$D$16,IF(Evalucion!F5=Datos!$C$17,Datos!$D$17,IF(Evalucion!F5=Datos!$C$18,Datos!$D$18,IF(Evalucion!F5=Datos!$C$19,Datos!$D$19,"=")))))</f>
        <v>5</v>
      </c>
      <c r="F7">
        <f>IF(Evalucion!G5=Datos!$C$15,Datos!$D$15,IF(Evalucion!G5=Datos!$C$16,Datos!$D$16,IF(Evalucion!G5=Datos!$C$17,Datos!$D$17,IF(Evalucion!G5=Datos!$C$18,Datos!$D$18,IF(Evalucion!G5=Datos!$C$19,Datos!$D$19,"=")))))</f>
        <v>1</v>
      </c>
      <c r="G7">
        <f>IF(Evalucion!H5=Datos!$C$15,Datos!$D$15,IF(Evalucion!H5=Datos!$C$16,Datos!$D$16,IF(Evalucion!H5=Datos!$C$17,Datos!$D$17,IF(Evalucion!H5=Datos!$C$18,Datos!$D$18,IF(Evalucion!H5=Datos!$C$19,Datos!$D$19,"=")))))</f>
        <v>5</v>
      </c>
      <c r="H7">
        <f>IF(Evalucion!I5=Datos!$C$15,Datos!$D$15,IF(Evalucion!I5=Datos!$C$16,Datos!$D$16,IF(Evalucion!I5=Datos!$C$17,Datos!$D$17,IF(Evalucion!I5=Datos!$C$18,Datos!$D$18,IF(Evalucion!I5=Datos!$C$19,Datos!$D$19,"=")))))</f>
        <v>3</v>
      </c>
      <c r="I7">
        <f>IF(Evalucion!J5=Datos!$C$15,Datos!$D$15,IF(Evalucion!J5=Datos!$C$16,Datos!$D$16,IF(Evalucion!J5=Datos!$C$17,Datos!$D$17,IF(Evalucion!J5=Datos!$C$18,Datos!$D$18,IF(Evalucion!J5=Datos!$C$19,Datos!$D$19,"=")))))</f>
        <v>5</v>
      </c>
      <c r="J7">
        <f>IF(Evalucion!K5=Datos!$C$15,Datos!$D$15,IF(Evalucion!K5=Datos!$C$16,Datos!$D$16,IF(Evalucion!K5=Datos!$C$17,Datos!$D$17,IF(Evalucion!K5=Datos!$C$18,Datos!$D$18,IF(Evalucion!K5=Datos!$C$19,Datos!$D$19,"=")))))</f>
        <v>3</v>
      </c>
      <c r="K7">
        <f>IF(Evalucion!L5=Datos!$C$15,Datos!$D$15,IF(Evalucion!L5=Datos!$C$16,Datos!$D$16,IF(Evalucion!L5=Datos!$C$17,Datos!$D$17,IF(Evalucion!L5=Datos!$C$18,Datos!$D$18,IF(Evalucion!L5=Datos!$C$19,Datos!$D$19,"=")))))</f>
        <v>5</v>
      </c>
      <c r="L7">
        <f>IF(Evalucion!M5=Datos!$C$15,Datos!$D$15,IF(Evalucion!M5=Datos!$C$16,Datos!$D$16,IF(Evalucion!M5=Datos!$C$17,Datos!$D$17,IF(Evalucion!M5=Datos!$C$18,Datos!$D$18,IF(Evalucion!M5=Datos!$C$19,Datos!$D$19,"=")))))</f>
        <v>5</v>
      </c>
      <c r="M7">
        <f>IF(Evalucion!N5=Datos!$C$15,Datos!$D$15,IF(Evalucion!N5=Datos!$C$16,Datos!$D$16,IF(Evalucion!N5=Datos!$C$17,Datos!$D$17,IF(Evalucion!N5=Datos!$C$18,Datos!$D$18,IF(Evalucion!N5=Datos!$C$19,Datos!$D$19,"=")))))</f>
        <v>5</v>
      </c>
      <c r="N7">
        <f>IF(Evalucion!O5=Datos!$C$15,Datos!$D$15,IF(Evalucion!O5=Datos!$C$16,Datos!$D$16,IF(Evalucion!O5=Datos!$C$17,Datos!$D$17,IF(Evalucion!O5=Datos!$C$18,Datos!$D$18,IF(Evalucion!O5=Datos!$C$19,Datos!$D$19,"=")))))</f>
        <v>5</v>
      </c>
      <c r="O7">
        <f>IF(Evalucion!P5=Datos!$C$15,Datos!$D$15,IF(Evalucion!P5=Datos!$C$16,Datos!$D$16,IF(Evalucion!P5=Datos!$C$17,Datos!$D$17,IF(Evalucion!P5=Datos!$C$18,Datos!$D$18,IF(Evalucion!P5=Datos!$C$19,Datos!$D$19,"=")))))</f>
        <v>5</v>
      </c>
      <c r="P7">
        <f>IF(Evalucion!Q5=Datos!$C$15,Datos!$D$15,IF(Evalucion!Q5=Datos!$C$16,Datos!$D$16,IF(Evalucion!Q5=Datos!$C$17,Datos!$D$17,IF(Evalucion!Q5=Datos!$C$18,Datos!$D$18,IF(Evalucion!Q5=Datos!$C$19,Datos!$D$19,"=")))))</f>
        <v>3</v>
      </c>
      <c r="Q7">
        <f>IF(Evalucion!R5=Datos!$C$15,Datos!$D$15,IF(Evalucion!R5=Datos!$C$16,Datos!$D$16,IF(Evalucion!R5=Datos!$C$17,Datos!$D$17,IF(Evalucion!R5=Datos!$C$18,Datos!$D$18,IF(Evalucion!R5=Datos!$C$19,Datos!$D$19,"=")))))</f>
        <v>5</v>
      </c>
      <c r="R7">
        <f>IF(Evalucion!S5=Datos!$C$15,Datos!$D$15,IF(Evalucion!S5=Datos!$C$16,Datos!$D$16,IF(Evalucion!S5=Datos!$C$17,Datos!$D$17,IF(Evalucion!S5=Datos!$C$18,Datos!$D$18,IF(Evalucion!S5=Datos!$C$19,Datos!$D$19,"=")))))</f>
        <v>5</v>
      </c>
      <c r="S7">
        <f>IF(Evalucion!T5=Datos!$C$15,Datos!$D$15,IF(Evalucion!T5=Datos!$C$16,Datos!$D$16,IF(Evalucion!T5=Datos!$C$17,Datos!$D$17,IF(Evalucion!T5=Datos!$C$18,Datos!$D$18,IF(Evalucion!T5=Datos!$C$19,Datos!$D$19,"=")))))</f>
        <v>5</v>
      </c>
      <c r="T7">
        <f>IF(Evalucion!U5=Datos!$C$15,Datos!$D$15,IF(Evalucion!U5=Datos!$C$16,Datos!$D$16,IF(Evalucion!U5=Datos!$C$17,Datos!$D$17,IF(Evalucion!U5=Datos!$C$18,Datos!$D$18,IF(Evalucion!U5=Datos!$C$19,Datos!$D$19,"=")))))</f>
        <v>5</v>
      </c>
      <c r="U7">
        <f>IF(Evalucion!V5=Datos!$C$15,Datos!$D$15,IF(Evalucion!V5=Datos!$C$16,Datos!$D$16,IF(Evalucion!V5=Datos!$C$17,Datos!$D$17,IF(Evalucion!V5=Datos!$C$18,Datos!$D$18,IF(Evalucion!V5=Datos!$C$19,Datos!$D$19,"=")))))</f>
        <v>5</v>
      </c>
      <c r="V7">
        <f>IF(Evalucion!W5=Datos!$C$15,Datos!$D$15,IF(Evalucion!W5=Datos!$C$16,Datos!$D$16,IF(Evalucion!W5=Datos!$C$17,Datos!$D$17,IF(Evalucion!W5=Datos!$C$18,Datos!$D$18,IF(Evalucion!W5=Datos!$C$19,Datos!$D$19,"=")))))</f>
        <v>5</v>
      </c>
      <c r="W7">
        <f>IF(Evalucion!X5=Datos!$C$15,Datos!$D$15,IF(Evalucion!X5=Datos!$C$16,Datos!$D$16,IF(Evalucion!X5=Datos!$C$17,Datos!$D$17,IF(Evalucion!X5=Datos!$C$18,Datos!$D$18,IF(Evalucion!X5=Datos!$C$19,Datos!$D$19,"=")))))</f>
        <v>5</v>
      </c>
      <c r="X7">
        <f>IF(Evalucion!Y5=Datos!$C$15,Datos!$D$15,IF(Evalucion!Y5=Datos!$C$16,Datos!$D$16,IF(Evalucion!Y5=Datos!$C$17,Datos!$D$17,IF(Evalucion!Y5=Datos!$C$18,Datos!$D$18,IF(Evalucion!Y5=Datos!$C$19,Datos!$D$19,"=")))))</f>
        <v>5</v>
      </c>
      <c r="Y7">
        <f>IF(Evalucion!Z5=Datos!$C$15,Datos!$D$15,IF(Evalucion!Z5=Datos!$C$16,Datos!$D$16,IF(Evalucion!Z5=Datos!$C$17,Datos!$D$17,IF(Evalucion!Z5=Datos!$C$18,Datos!$D$18,IF(Evalucion!Z5=Datos!$C$19,Datos!$D$19,"=")))))</f>
        <v>5</v>
      </c>
      <c r="Z7">
        <f>IF(Evalucion!AA5=Datos!$C$15,Datos!$D$15,IF(Evalucion!AA5=Datos!$C$16,Datos!$D$16,IF(Evalucion!AA5=Datos!$C$17,Datos!$D$17,IF(Evalucion!AA5=Datos!$C$18,Datos!$D$18,IF(Evalucion!AA5=Datos!$C$19,Datos!$D$19,"=")))))</f>
        <v>5</v>
      </c>
      <c r="AA7">
        <f>IF(Evalucion!AB5=Datos!$C$15,Datos!$D$15,IF(Evalucion!AB5=Datos!$C$16,Datos!$D$16,IF(Evalucion!AB5=Datos!$C$17,Datos!$D$17,IF(Evalucion!AB5=Datos!$C$18,Datos!$D$18,IF(Evalucion!AB5=Datos!$C$19,Datos!$D$19,"=")))))</f>
        <v>5</v>
      </c>
      <c r="AB7">
        <f>IF(Evalucion!AC5=Datos!$C$15,Datos!$D$15,IF(Evalucion!AC5=Datos!$C$16,Datos!$D$16,IF(Evalucion!AC5=Datos!$C$17,Datos!$D$17,IF(Evalucion!AC5=Datos!$C$18,Datos!$D$18,IF(Evalucion!AC5=Datos!$C$19,Datos!$D$19,"=")))))</f>
        <v>5</v>
      </c>
      <c r="AC7">
        <f>IF(Evalucion!AD5=Datos!$C$15,Datos!$D$15,IF(Evalucion!AD5=Datos!$C$16,Datos!$D$16,IF(Evalucion!AD5=Datos!$C$17,Datos!$D$17,IF(Evalucion!AD5=Datos!$C$18,Datos!$D$18,IF(Evalucion!AD5=Datos!$C$19,Datos!$D$19,"=")))))</f>
        <v>5</v>
      </c>
      <c r="AD7">
        <f>IF(Evalucion!AE5=Datos!$C$15,Datos!$D$15,IF(Evalucion!AE5=Datos!$C$16,Datos!$D$16,IF(Evalucion!AE5=Datos!$C$17,Datos!$D$17,IF(Evalucion!AE5=Datos!$C$18,Datos!$D$18,IF(Evalucion!AE5=Datos!$C$19,Datos!$D$19,"=")))))</f>
        <v>5</v>
      </c>
      <c r="AE7">
        <f>IF(Evalucion!AF5=Datos!$C$15,Datos!$D$15,IF(Evalucion!AF5=Datos!$C$16,Datos!$D$16,IF(Evalucion!AF5=Datos!$C$17,Datos!$D$17,IF(Evalucion!AF5=Datos!$C$18,Datos!$D$18,IF(Evalucion!AF5=Datos!$C$19,Datos!$D$19,"=")))))</f>
        <v>5</v>
      </c>
      <c r="AF7">
        <f>IF(Evalucion!AG5=Datos!$C$15,Datos!$D$15,IF(Evalucion!AG5=Datos!$C$16,Datos!$D$16,IF(Evalucion!AG5=Datos!$C$17,Datos!$D$17,IF(Evalucion!AG5=Datos!$C$18,Datos!$D$18,IF(Evalucion!AG5=Datos!$C$19,Datos!$D$19,"=")))))</f>
        <v>5</v>
      </c>
      <c r="AO7">
        <f>IF(Evalucion!AP5=Datos!$C$15,Datos!$D$15,IF(Evalucion!AP5=Datos!$C$16,Datos!$D$16,IF(Evalucion!AP5=Datos!$C$17,Datos!$D$17,IF(Evalucion!AP5=Datos!$C$18,Datos!$D$18,IF(Evalucion!AP5=Datos!$C$19,Datos!$D$19,"=")))))</f>
        <v>5</v>
      </c>
      <c r="AP7">
        <f>IF(Evalucion!AQ5=Datos!$C$15,Datos!$D$15,IF(Evalucion!AQ5=Datos!$C$16,Datos!$D$16,IF(Evalucion!AQ5=Datos!$C$17,Datos!$D$17,IF(Evalucion!AQ5=Datos!$C$18,Datos!$D$18,IF(Evalucion!AQ5=Datos!$C$19,Datos!$D$19,"=")))))</f>
        <v>5</v>
      </c>
      <c r="AQ7">
        <f>IF(Evalucion!AR5=Datos!$C$15,Datos!$D$15,IF(Evalucion!AR5=Datos!$C$16,Datos!$D$16,IF(Evalucion!AR5=Datos!$C$17,Datos!$D$17,IF(Evalucion!AR5=Datos!$C$18,Datos!$D$18,IF(Evalucion!AR5=Datos!$C$19,Datos!$D$19,"=")))))</f>
        <v>1</v>
      </c>
      <c r="AR7">
        <f>IF(Evalucion!AS5=Datos!$C$15,Datos!$D$15,IF(Evalucion!AS5=Datos!$C$16,Datos!$D$16,IF(Evalucion!AS5=Datos!$C$17,Datos!$D$17,IF(Evalucion!AS5=Datos!$C$18,Datos!$D$18,IF(Evalucion!AS5=Datos!$C$19,Datos!$D$19,"=")))))</f>
        <v>5</v>
      </c>
      <c r="AS7">
        <f>IF(Evalucion!AT5=Datos!$C$15,Datos!$D$15,IF(Evalucion!AT5=Datos!$C$16,Datos!$D$16,IF(Evalucion!AT5=Datos!$C$17,Datos!$D$17,IF(Evalucion!AT5=Datos!$C$18,Datos!$D$18,IF(Evalucion!AT5=Datos!$C$19,Datos!$D$19,"=")))))</f>
        <v>1</v>
      </c>
      <c r="AT7">
        <f>IF(Evalucion!AU5=Datos!$C$15,Datos!$D$15,IF(Evalucion!AU5=Datos!$C$16,Datos!$D$16,IF(Evalucion!AU5=Datos!$C$17,Datos!$D$17,IF(Evalucion!AU5=Datos!$C$18,Datos!$D$18,IF(Evalucion!AU5=Datos!$C$19,Datos!$D$19,"=")))))</f>
        <v>5</v>
      </c>
      <c r="AV7">
        <f>IF(Evalucion!AW5=Datos!$C$15,Datos!$D$15,IF(Evalucion!AW5=Datos!$C$16,Datos!$D$16,IF(Evalucion!AW5=Datos!$C$17,Datos!$D$17,IF(Evalucion!AW5=Datos!$C$18,Datos!$D$18,IF(Evalucion!AW5=Datos!$C$19,Datos!$D$19,"=")))))</f>
        <v>1</v>
      </c>
      <c r="AW7">
        <f>IF(Evalucion!AX5=Datos!$C$15,Datos!$D$15,IF(Evalucion!AX5=Datos!$C$16,Datos!$D$16,IF(Evalucion!AX5=Datos!$C$17,Datos!$D$17,IF(Evalucion!AX5=Datos!$C$18,Datos!$D$18,IF(Evalucion!AX5=Datos!$C$19,Datos!$D$19,"=")))))</f>
        <v>5</v>
      </c>
      <c r="AX7">
        <f>IF(Evalucion!AY5=Datos!$C$15,Datos!$D$15,IF(Evalucion!AY5=Datos!$C$16,Datos!$D$16,IF(Evalucion!AY5=Datos!$C$17,Datos!$D$17,IF(Evalucion!AY5=Datos!$C$18,Datos!$D$18,IF(Evalucion!AY5=Datos!$C$19,Datos!$D$19,"=")))))</f>
        <v>5</v>
      </c>
      <c r="AY7">
        <f>IF(Evalucion!AZ5=Datos!$C$15,Datos!$D$15,IF(Evalucion!AZ5=Datos!$C$16,Datos!$D$16,IF(Evalucion!AZ5=Datos!$C$17,Datos!$D$17,IF(Evalucion!AZ5=Datos!$C$18,Datos!$D$18,IF(Evalucion!AZ5=Datos!$C$19,Datos!$D$19,"=")))))</f>
        <v>5</v>
      </c>
      <c r="AZ7">
        <f>IF(Evalucion!BA5=Datos!$C$15,Datos!$D$15,IF(Evalucion!BA5=Datos!$C$16,Datos!$D$16,IF(Evalucion!BA5=Datos!$C$17,Datos!$D$17,IF(Evalucion!BA5=Datos!$C$18,Datos!$D$18,IF(Evalucion!BA5=Datos!$C$19,Datos!$D$19,"=")))))</f>
        <v>5</v>
      </c>
      <c r="BA7">
        <f>IF(Evalucion!BB5=Datos!$C$15,Datos!$D$15,IF(Evalucion!BB5=Datos!$C$16,Datos!$D$16,IF(Evalucion!BB5=Datos!$C$17,Datos!$D$17,IF(Evalucion!BB5=Datos!$C$18,Datos!$D$18,IF(Evalucion!BB5=Datos!$C$19,Datos!$D$19,"=")))))</f>
        <v>5</v>
      </c>
      <c r="BB7">
        <f>IF(Evalucion!BC5=Datos!$C$15,Datos!$D$15,IF(Evalucion!BC5=Datos!$C$16,Datos!$D$16,IF(Evalucion!BC5=Datos!$C$17,Datos!$D$17,IF(Evalucion!BC5=Datos!$C$18,Datos!$D$18,IF(Evalucion!BC5=Datos!$C$19,Datos!$D$19,"=")))))</f>
        <v>5</v>
      </c>
      <c r="BC7">
        <f>IF(Evalucion!BD5=Datos!$C$15,Datos!$D$15,IF(Evalucion!BD5=Datos!$C$16,Datos!$D$16,IF(Evalucion!BD5=Datos!$C$17,Datos!$D$17,IF(Evalucion!BD5=Datos!$C$18,Datos!$D$18,IF(Evalucion!BD5=Datos!$C$19,Datos!$D$19,"=")))))</f>
        <v>5</v>
      </c>
      <c r="BD7">
        <f>IF(Evalucion!BE5=Datos!$C$15,Datos!$D$15,IF(Evalucion!BE5=Datos!$C$16,Datos!$D$16,IF(Evalucion!BE5=Datos!$C$17,Datos!$D$17,IF(Evalucion!BE5=Datos!$C$18,Datos!$D$18,IF(Evalucion!BE5=Datos!$C$19,Datos!$D$19,"=")))))</f>
        <v>5</v>
      </c>
      <c r="BE7">
        <f>IF(Evalucion!BF5=Datos!$C$15,Datos!$D$15,IF(Evalucion!BF5=Datos!$C$16,Datos!$D$16,IF(Evalucion!BF5=Datos!$C$17,Datos!$D$17,IF(Evalucion!BF5=Datos!$C$18,Datos!$D$18,IF(Evalucion!BF5=Datos!$C$19,Datos!$D$19,"=")))))</f>
        <v>5</v>
      </c>
      <c r="BF7">
        <f>IF(Evalucion!BG5=Datos!$C$15,Datos!$D$15,IF(Evalucion!BG5=Datos!$C$16,Datos!$D$16,IF(Evalucion!BG5=Datos!$C$17,Datos!$D$17,IF(Evalucion!BG5=Datos!$C$18,Datos!$D$18,IF(Evalucion!BG5=Datos!$C$19,Datos!$D$19,"=")))))</f>
        <v>5</v>
      </c>
      <c r="BG7">
        <f>IF(Evalucion!BH5=Datos!$C$15,Datos!$D$15,IF(Evalucion!BH5=Datos!$C$16,Datos!$D$16,IF(Evalucion!BH5=Datos!$C$17,Datos!$D$17,IF(Evalucion!BH5=Datos!$C$18,Datos!$D$18,IF(Evalucion!BH5=Datos!$C$19,Datos!$D$19,"=")))))</f>
        <v>5</v>
      </c>
      <c r="BH7">
        <f>IF(Evalucion!BI5=Datos!$C$15,Datos!$D$15,IF(Evalucion!BI5=Datos!$C$16,Datos!$D$16,IF(Evalucion!BI5=Datos!$C$17,Datos!$D$17,IF(Evalucion!BI5=Datos!$C$18,Datos!$D$18,IF(Evalucion!BI5=Datos!$C$19,Datos!$D$19,"=")))))</f>
        <v>5</v>
      </c>
      <c r="BI7">
        <f>IF(Evalucion!BJ5=Datos!$C$15,Datos!$D$15,IF(Evalucion!BJ5=Datos!$C$16,Datos!$D$16,IF(Evalucion!BJ5=Datos!$C$17,Datos!$D$17,IF(Evalucion!BJ5=Datos!$C$18,Datos!$D$18,IF(Evalucion!BJ5=Datos!$C$19,Datos!$D$19,"=")))))</f>
        <v>5</v>
      </c>
      <c r="BJ7">
        <f>IF(Evalucion!BK5=Datos!$C$15,Datos!$D$15,IF(Evalucion!BK5=Datos!$C$16,Datos!$D$16,IF(Evalucion!BK5=Datos!$C$17,Datos!$D$17,IF(Evalucion!BK5=Datos!$C$18,Datos!$D$18,IF(Evalucion!BK5=Datos!$C$19,Datos!$D$19,"=")))))</f>
        <v>5</v>
      </c>
      <c r="BK7">
        <f>IF(Evalucion!BL5=Datos!$C$15,Datos!$D$15,IF(Evalucion!BL5=Datos!$C$16,Datos!$D$16,IF(Evalucion!BL5=Datos!$C$17,Datos!$D$17,IF(Evalucion!BL5=Datos!$C$18,Datos!$D$18,IF(Evalucion!BL5=Datos!$C$19,Datos!$D$19,"=")))))</f>
        <v>5</v>
      </c>
      <c r="BL7">
        <f>IF(Evalucion!BM5=Datos!$C$15,Datos!$D$15,IF(Evalucion!BM5=Datos!$C$16,Datos!$D$16,IF(Evalucion!BM5=Datos!$C$17,Datos!$D$17,IF(Evalucion!BM5=Datos!$C$18,Datos!$D$18,IF(Evalucion!BM5=Datos!$C$19,Datos!$D$19,"=")))))</f>
        <v>5</v>
      </c>
      <c r="BM7">
        <f>IF(Evalucion!BN5=Datos!$C$15,Datos!$D$15,IF(Evalucion!BN5=Datos!$C$16,Datos!$D$16,IF(Evalucion!BN5=Datos!$C$17,Datos!$D$17,IF(Evalucion!BN5=Datos!$C$18,Datos!$D$18,IF(Evalucion!BN5=Datos!$C$19,Datos!$D$19,"=")))))</f>
        <v>5</v>
      </c>
      <c r="BN7">
        <f>IF(Evalucion!BO5=Datos!$C$15,Datos!$D$15,IF(Evalucion!BO5=Datos!$C$16,Datos!$D$16,IF(Evalucion!BO5=Datos!$C$17,Datos!$D$17,IF(Evalucion!BO5=Datos!$C$18,Datos!$D$18,IF(Evalucion!BO5=Datos!$C$19,Datos!$D$19,"=")))))</f>
        <v>5</v>
      </c>
      <c r="BO7">
        <f>IF(Evalucion!BP5=Datos!$C$15,Datos!$D$15,IF(Evalucion!BP5=Datos!$C$16,Datos!$D$16,IF(Evalucion!BP5=Datos!$C$17,Datos!$D$17,IF(Evalucion!BP5=Datos!$C$18,Datos!$D$18,IF(Evalucion!BP5=Datos!$C$19,Datos!$D$19,"=")))))</f>
        <v>5</v>
      </c>
      <c r="BP7">
        <f>IF(Evalucion!BQ5=Datos!$C$15,Datos!$D$15,IF(Evalucion!BQ5=Datos!$C$16,Datos!$D$16,IF(Evalucion!BQ5=Datos!$C$17,Datos!$D$17,IF(Evalucion!BQ5=Datos!$C$18,Datos!$D$18,IF(Evalucion!BQ5=Datos!$C$19,Datos!$D$19,"=")))))</f>
        <v>5</v>
      </c>
      <c r="BQ7">
        <f>IF(Evalucion!BR5=Datos!$C$15,Datos!$D$15,IF(Evalucion!BR5=Datos!$C$16,Datos!$D$16,IF(Evalucion!BR5=Datos!$C$17,Datos!$D$17,IF(Evalucion!BR5=Datos!$C$18,Datos!$D$18,IF(Evalucion!BR5=Datos!$C$19,Datos!$D$19,"=")))))</f>
        <v>5</v>
      </c>
      <c r="BR7">
        <f>IF(Evalucion!BS5=Datos!$C$15,Datos!$D$15,IF(Evalucion!BS5=Datos!$C$16,Datos!$D$16,IF(Evalucion!BS5=Datos!$C$17,Datos!$D$17,IF(Evalucion!BS5=Datos!$C$18,Datos!$D$18,IF(Evalucion!BS5=Datos!$C$19,Datos!$D$19,"=")))))</f>
        <v>1</v>
      </c>
      <c r="BS7">
        <f>IF(Evalucion!BT5=Datos!$C$15,Datos!$D$15,IF(Evalucion!BT5=Datos!$C$16,Datos!$D$16,IF(Evalucion!BT5=Datos!$C$17,Datos!$D$17,IF(Evalucion!BT5=Datos!$C$18,Datos!$D$18,IF(Evalucion!BT5=Datos!$C$19,Datos!$D$19,"=")))))</f>
        <v>1</v>
      </c>
      <c r="BT7">
        <f>IF(Evalucion!BU5=Datos!$C$15,Datos!$D$15,IF(Evalucion!BU5=Datos!$C$16,Datos!$D$16,IF(Evalucion!BU5=Datos!$C$17,Datos!$D$17,IF(Evalucion!BU5=Datos!$C$18,Datos!$D$18,IF(Evalucion!BU5=Datos!$C$19,Datos!$D$19,"=")))))</f>
        <v>5</v>
      </c>
      <c r="BU7">
        <f>IF(Evalucion!BV5=Datos!$C$15,Datos!$D$15,IF(Evalucion!BV5=Datos!$C$16,Datos!$D$16,IF(Evalucion!BV5=Datos!$C$17,Datos!$D$17,IF(Evalucion!BV5=Datos!$C$18,Datos!$D$18,IF(Evalucion!BV5=Datos!$C$19,Datos!$D$19,"=")))))</f>
        <v>5</v>
      </c>
      <c r="BV7">
        <f>IF(Evalucion!BW5=Datos!$C$15,Datos!$D$15,IF(Evalucion!BW5=Datos!$C$16,Datos!$D$16,IF(Evalucion!BW5=Datos!$C$17,Datos!$D$17,IF(Evalucion!BW5=Datos!$C$18,Datos!$D$18,IF(Evalucion!BW5=Datos!$C$19,Datos!$D$19,"=")))))</f>
        <v>5</v>
      </c>
      <c r="BW7">
        <f>IF(Evalucion!BX5=Datos!$C$15,Datos!$D$15,IF(Evalucion!BX5=Datos!$C$16,Datos!$D$16,IF(Evalucion!BX5=Datos!$C$17,Datos!$D$17,IF(Evalucion!BX5=Datos!$C$18,Datos!$D$18,IF(Evalucion!BX5=Datos!$C$19,Datos!$D$19,"=")))))</f>
        <v>5</v>
      </c>
      <c r="BX7">
        <f>IF(Evalucion!BY5=Datos!$C$15,Datos!$D$15,IF(Evalucion!BY5=Datos!$C$16,Datos!$D$16,IF(Evalucion!BY5=Datos!$C$17,Datos!$D$17,IF(Evalucion!BY5=Datos!$C$18,Datos!$D$18,IF(Evalucion!BY5=Datos!$C$19,Datos!$D$19,"=")))))</f>
        <v>5</v>
      </c>
      <c r="BY7">
        <f>IF(Evalucion!BZ5=Datos!$C$15,Datos!$D$15,IF(Evalucion!BZ5=Datos!$C$16,Datos!$D$16,IF(Evalucion!BZ5=Datos!$C$17,Datos!$D$17,IF(Evalucion!BZ5=Datos!$C$18,Datos!$D$18,IF(Evalucion!BZ5=Datos!$C$19,Datos!$D$19,"=")))))</f>
        <v>5</v>
      </c>
      <c r="BZ7">
        <f>IF(Evalucion!CA5=Datos!$C$15,Datos!$D$15,IF(Evalucion!CA5=Datos!$C$16,Datos!$D$16,IF(Evalucion!CA5=Datos!$C$17,Datos!$D$17,IF(Evalucion!CA5=Datos!$C$18,Datos!$D$18,IF(Evalucion!CA5=Datos!$C$19,Datos!$D$19,"=")))))</f>
        <v>1</v>
      </c>
      <c r="CA7">
        <f>IF(Evalucion!CB5=Datos!$C$15,Datos!$D$15,IF(Evalucion!CB5=Datos!$C$16,Datos!$D$16,IF(Evalucion!CB5=Datos!$C$17,Datos!$D$17,IF(Evalucion!CB5=Datos!$C$18,Datos!$D$18,IF(Evalucion!CB5=Datos!$C$19,Datos!$D$19,"=")))))</f>
        <v>1</v>
      </c>
      <c r="CB7">
        <f>IF(Evalucion!CC5=Datos!$C$15,Datos!$D$15,IF(Evalucion!CC5=Datos!$C$16,Datos!$D$16,IF(Evalucion!CC5=Datos!$C$17,Datos!$D$17,IF(Evalucion!CC5=Datos!$C$18,Datos!$D$18,IF(Evalucion!CC5=Datos!$C$19,Datos!$D$19,"=")))))</f>
        <v>5</v>
      </c>
      <c r="CC7">
        <f>IF(Evalucion!CD5=Datos!$C$15,Datos!$D$15,IF(Evalucion!CD5=Datos!$C$16,Datos!$D$16,IF(Evalucion!CD5=Datos!$C$17,Datos!$D$17,IF(Evalucion!CD5=Datos!$C$18,Datos!$D$18,IF(Evalucion!CD5=Datos!$C$19,Datos!$D$19,"=")))))</f>
        <v>5</v>
      </c>
      <c r="CD7">
        <f>IF(Evalucion!CE5=Datos!$C$15,Datos!$D$15,IF(Evalucion!CE5=Datos!$C$16,Datos!$D$16,IF(Evalucion!CE5=Datos!$C$17,Datos!$D$17,IF(Evalucion!CE5=Datos!$C$18,Datos!$D$18,IF(Evalucion!CE5=Datos!$C$19,Datos!$D$19,"=")))))</f>
        <v>5</v>
      </c>
      <c r="CE7">
        <f>IF(Evalucion!CF5=Datos!$C$15,Datos!$D$15,IF(Evalucion!CF5=Datos!$C$16,Datos!$D$16,IF(Evalucion!CF5=Datos!$C$17,Datos!$D$17,IF(Evalucion!CF5=Datos!$C$18,Datos!$D$18,IF(Evalucion!CF5=Datos!$C$19,Datos!$D$19,"=")))))</f>
        <v>3</v>
      </c>
      <c r="CF7">
        <f>IF(Evalucion!CG5=Datos!$C$15,Datos!$D$15,IF(Evalucion!CG5=Datos!$C$16,Datos!$D$16,IF(Evalucion!CG5=Datos!$C$17,Datos!$D$17,IF(Evalucion!CG5=Datos!$C$18,Datos!$D$18,IF(Evalucion!CG5=Datos!$C$19,Datos!$D$19,"=")))))</f>
        <v>5</v>
      </c>
      <c r="CG7">
        <f>IF(Evalucion!CH5=Datos!$C$15,Datos!$D$15,IF(Evalucion!CH5=Datos!$C$16,Datos!$D$16,IF(Evalucion!CH5=Datos!$C$17,Datos!$D$17,IF(Evalucion!CH5=Datos!$C$18,Datos!$D$18,IF(Evalucion!CH5=Datos!$C$19,Datos!$D$19,"=")))))</f>
        <v>3</v>
      </c>
      <c r="CH7">
        <f>IF(Evalucion!CI5=Datos!$C$15,Datos!$D$15,IF(Evalucion!CI5=Datos!$C$16,Datos!$D$16,IF(Evalucion!CI5=Datos!$C$17,Datos!$D$17,IF(Evalucion!CI5=Datos!$C$18,Datos!$D$18,IF(Evalucion!CI5=Datos!$C$19,Datos!$D$19,"=")))))</f>
        <v>5</v>
      </c>
      <c r="CI7">
        <f>IF(Evalucion!CJ5=Datos!$C$15,Datos!$D$15,IF(Evalucion!CJ5=Datos!$C$16,Datos!$D$16,IF(Evalucion!CJ5=Datos!$C$17,Datos!$D$17,IF(Evalucion!CJ5=Datos!$C$18,Datos!$D$18,IF(Evalucion!CJ5=Datos!$C$19,Datos!$D$19,"=")))))</f>
        <v>5</v>
      </c>
      <c r="CJ7">
        <f>IF(Evalucion!CK5=Datos!$C$15,Datos!$D$15,IF(Evalucion!CK5=Datos!$C$16,Datos!$D$16,IF(Evalucion!CK5=Datos!$C$17,Datos!$D$17,IF(Evalucion!CK5=Datos!$C$18,Datos!$D$18,IF(Evalucion!CK5=Datos!$C$19,Datos!$D$19,"=")))))</f>
        <v>5</v>
      </c>
      <c r="CK7">
        <f>IF(Evalucion!CL5=Datos!$C$15,Datos!$D$15,IF(Evalucion!CL5=Datos!$C$16,Datos!$D$16,IF(Evalucion!CL5=Datos!$C$17,Datos!$D$17,IF(Evalucion!CL5=Datos!$C$18,Datos!$D$18,IF(Evalucion!CL5=Datos!$C$19,Datos!$D$19,"=")))))</f>
        <v>5</v>
      </c>
      <c r="CL7">
        <f>IF(Evalucion!CM5=Datos!$C$15,Datos!$D$15,IF(Evalucion!CM5=Datos!$C$16,Datos!$D$16,IF(Evalucion!CM5=Datos!$C$17,Datos!$D$17,IF(Evalucion!CM5=Datos!$C$18,Datos!$D$18,IF(Evalucion!CM5=Datos!$C$19,Datos!$D$19,"=")))))</f>
        <v>5</v>
      </c>
      <c r="CM7">
        <f>IF(Evalucion!CN5=Datos!$C$15,Datos!$D$15,IF(Evalucion!CN5=Datos!$C$16,Datos!$D$16,IF(Evalucion!CN5=Datos!$C$17,Datos!$D$17,IF(Evalucion!CN5=Datos!$C$18,Datos!$D$18,IF(Evalucion!CN5=Datos!$C$19,Datos!$D$19,"=")))))</f>
        <v>5</v>
      </c>
      <c r="CN7">
        <f>IF(Evalucion!CO5=Datos!$C$15,Datos!$D$15,IF(Evalucion!CO5=Datos!$C$16,Datos!$D$16,IF(Evalucion!CO5=Datos!$C$17,Datos!$D$17,IF(Evalucion!CO5=Datos!$C$18,Datos!$D$18,IF(Evalucion!CO5=Datos!$C$19,Datos!$D$19,"=")))))</f>
        <v>5</v>
      </c>
      <c r="CO7">
        <f>IF(Evalucion!CP5=Datos!$C$15,Datos!$D$15,IF(Evalucion!CP5=Datos!$C$16,Datos!$D$16,IF(Evalucion!CP5=Datos!$C$17,Datos!$D$17,IF(Evalucion!CP5=Datos!$C$18,Datos!$D$18,IF(Evalucion!CP5=Datos!$C$19,Datos!$D$19,"=")))))</f>
        <v>5</v>
      </c>
      <c r="CP7">
        <f>IF(Evalucion!CQ5=Datos!$C$15,Datos!$D$15,IF(Evalucion!CQ5=Datos!$C$16,Datos!$D$16,IF(Evalucion!CQ5=Datos!$C$17,Datos!$D$17,IF(Evalucion!CQ5=Datos!$C$18,Datos!$D$18,IF(Evalucion!CQ5=Datos!$C$19,Datos!$D$19,"=")))))</f>
        <v>5</v>
      </c>
      <c r="CQ7">
        <f>IF(Evalucion!CR5=Datos!$C$15,Datos!$D$15,IF(Evalucion!CR5=Datos!$C$16,Datos!$D$16,IF(Evalucion!CR5=Datos!$C$17,Datos!$D$17,IF(Evalucion!CR5=Datos!$C$18,Datos!$D$18,IF(Evalucion!CR5=Datos!$C$19,Datos!$D$19,"=")))))</f>
        <v>5</v>
      </c>
      <c r="CR7">
        <f>IF(Evalucion!CS5=Datos!$C$15,Datos!$D$15,IF(Evalucion!CS5=Datos!$C$16,Datos!$D$16,IF(Evalucion!CS5=Datos!$C$17,Datos!$D$17,IF(Evalucion!CS5=Datos!$C$18,Datos!$D$18,IF(Evalucion!CS5=Datos!$C$19,Datos!$D$19,"=")))))</f>
        <v>5</v>
      </c>
      <c r="CS7">
        <f>IF(Evalucion!CT5=Datos!$C$15,Datos!$D$15,IF(Evalucion!CT5=Datos!$C$16,Datos!$D$16,IF(Evalucion!CT5=Datos!$C$17,Datos!$D$17,IF(Evalucion!CT5=Datos!$C$18,Datos!$D$18,IF(Evalucion!CT5=Datos!$C$19,Datos!$D$19,"=")))))</f>
        <v>5</v>
      </c>
      <c r="CT7">
        <f>IF(Evalucion!CU5=Datos!$C$15,Datos!$D$15,IF(Evalucion!CU5=Datos!$C$16,Datos!$D$16,IF(Evalucion!CU5=Datos!$C$17,Datos!$D$17,IF(Evalucion!CU5=Datos!$C$18,Datos!$D$18,IF(Evalucion!CU5=Datos!$C$19,Datos!$D$19,"=")))))</f>
        <v>5</v>
      </c>
      <c r="CU7">
        <f>IF(Evalucion!CV5=Datos!$C$15,Datos!$D$15,IF(Evalucion!CV5=Datos!$C$16,Datos!$D$16,IF(Evalucion!CV5=Datos!$C$17,Datos!$D$17,IF(Evalucion!CV5=Datos!$C$18,Datos!$D$18,IF(Evalucion!CV5=Datos!$C$19,Datos!$D$19,"=")))))</f>
        <v>3</v>
      </c>
      <c r="CV7">
        <f>IF(Evalucion!CW5=Datos!$C$15,Datos!$D$15,IF(Evalucion!CW5=Datos!$C$16,Datos!$D$16,IF(Evalucion!CW5=Datos!$C$17,Datos!$D$17,IF(Evalucion!CW5=Datos!$C$18,Datos!$D$18,IF(Evalucion!CW5=Datos!$C$19,Datos!$D$19,"=")))))</f>
        <v>5</v>
      </c>
      <c r="CW7">
        <f>IF(Evalucion!CX5=Datos!$C$15,Datos!$D$15,IF(Evalucion!CX5=Datos!$C$16,Datos!$D$16,IF(Evalucion!CX5=Datos!$C$17,Datos!$D$17,IF(Evalucion!CX5=Datos!$C$18,Datos!$D$18,IF(Evalucion!CX5=Datos!$C$19,Datos!$D$19,"=")))))</f>
        <v>5</v>
      </c>
      <c r="CX7">
        <f>IF(Evalucion!CY5=Datos!$C$15,Datos!$D$15,IF(Evalucion!CY5=Datos!$C$16,Datos!$D$16,IF(Evalucion!CY5=Datos!$C$17,Datos!$D$17,IF(Evalucion!CY5=Datos!$C$18,Datos!$D$18,IF(Evalucion!CY5=Datos!$C$19,Datos!$D$19,"=")))))</f>
        <v>5</v>
      </c>
      <c r="CY7">
        <f>IF(Evalucion!CZ5=Datos!$C$15,Datos!$D$15,IF(Evalucion!CZ5=Datos!$C$16,Datos!$D$16,IF(Evalucion!CZ5=Datos!$C$17,Datos!$D$17,IF(Evalucion!CZ5=Datos!$C$18,Datos!$D$18,IF(Evalucion!CZ5=Datos!$C$19,Datos!$D$19,"=")))))</f>
        <v>5</v>
      </c>
      <c r="CZ7">
        <f>IF(Evalucion!DA5=Datos!$C$15,Datos!$D$15,IF(Evalucion!DA5=Datos!$C$16,Datos!$D$16,IF(Evalucion!DA5=Datos!$C$17,Datos!$D$17,IF(Evalucion!DA5=Datos!$C$18,Datos!$D$18,IF(Evalucion!DA5=Datos!$C$19,Datos!$D$19,"=")))))</f>
        <v>5</v>
      </c>
      <c r="DA7">
        <f>IF(Evalucion!DB5=Datos!$C$15,Datos!$D$15,IF(Evalucion!DB5=Datos!$C$16,Datos!$D$16,IF(Evalucion!DB5=Datos!$C$17,Datos!$D$17,IF(Evalucion!DB5=Datos!$C$18,Datos!$D$18,IF(Evalucion!DB5=Datos!$C$19,Datos!$D$19,"=")))))</f>
        <v>3</v>
      </c>
      <c r="DB7">
        <f>IF(Evalucion!DC5=Datos!$C$15,Datos!$D$15,IF(Evalucion!DC5=Datos!$C$16,Datos!$D$16,IF(Evalucion!DC5=Datos!$C$17,Datos!$D$17,IF(Evalucion!DC5=Datos!$C$18,Datos!$D$18,IF(Evalucion!DC5=Datos!$C$19,Datos!$D$19,"=")))))</f>
        <v>5</v>
      </c>
      <c r="DC7">
        <f>IF(Evalucion!DD5=Datos!$C$15,Datos!$D$15,IF(Evalucion!DD5=Datos!$C$16,Datos!$D$16,IF(Evalucion!DD5=Datos!$C$17,Datos!$D$17,IF(Evalucion!DD5=Datos!$C$18,Datos!$D$18,IF(Evalucion!DD5=Datos!$C$19,Datos!$D$19,"=")))))</f>
        <v>5</v>
      </c>
      <c r="DD7">
        <f>IF(Evalucion!DE5=Datos!$C$15,Datos!$D$15,IF(Evalucion!DE5=Datos!$C$16,Datos!$D$16,IF(Evalucion!DE5=Datos!$C$17,Datos!$D$17,IF(Evalucion!DE5=Datos!$C$18,Datos!$D$18,IF(Evalucion!DE5=Datos!$C$19,Datos!$D$19,"=")))))</f>
        <v>5</v>
      </c>
      <c r="DE7">
        <f>IF(Evalucion!DF5=Datos!$C$15,Datos!$D$15,IF(Evalucion!DF5=Datos!$C$16,Datos!$D$16,IF(Evalucion!DF5=Datos!$C$17,Datos!$D$17,IF(Evalucion!DF5=Datos!$C$18,Datos!$D$18,IF(Evalucion!DF5=Datos!$C$19,Datos!$D$19,"=")))))</f>
        <v>3</v>
      </c>
      <c r="DF7">
        <f>IF(Evalucion!DG5=Datos!$C$15,Datos!$D$15,IF(Evalucion!DG5=Datos!$C$16,Datos!$D$16,IF(Evalucion!DG5=Datos!$C$17,Datos!$D$17,IF(Evalucion!DG5=Datos!$C$18,Datos!$D$18,IF(Evalucion!DG5=Datos!$C$19,Datos!$D$19,"=")))))</f>
        <v>5</v>
      </c>
      <c r="DG7">
        <f>IF(Evalucion!DH5=Datos!$C$15,Datos!$D$15,IF(Evalucion!DH5=Datos!$C$16,Datos!$D$16,IF(Evalucion!DH5=Datos!$C$17,Datos!$D$17,IF(Evalucion!DH5=Datos!$C$18,Datos!$D$18,IF(Evalucion!DH5=Datos!$C$19,Datos!$D$19,"=")))))</f>
        <v>5</v>
      </c>
      <c r="DH7">
        <f>IF(Evalucion!DI5=Datos!$C$15,Datos!$D$15,IF(Evalucion!DI5=Datos!$C$16,Datos!$D$16,IF(Evalucion!DI5=Datos!$C$17,Datos!$D$17,IF(Evalucion!DI5=Datos!$C$18,Datos!$D$18,IF(Evalucion!DI5=Datos!$C$19,Datos!$D$19,"=")))))</f>
        <v>5</v>
      </c>
      <c r="DI7">
        <f>IF(Evalucion!DJ5=Datos!$C$15,Datos!$D$15,IF(Evalucion!DJ5=Datos!$C$16,Datos!$D$16,IF(Evalucion!DJ5=Datos!$C$17,Datos!$D$17,IF(Evalucion!DJ5=Datos!$C$18,Datos!$D$18,IF(Evalucion!DJ5=Datos!$C$19,Datos!$D$19,"=")))))</f>
        <v>5</v>
      </c>
      <c r="DJ7">
        <f>IF(Evalucion!DK5=Datos!$C$15,Datos!$D$15,IF(Evalucion!DK5=Datos!$C$16,Datos!$D$16,IF(Evalucion!DK5=Datos!$C$17,Datos!$D$17,IF(Evalucion!DK5=Datos!$C$18,Datos!$D$18,IF(Evalucion!DK5=Datos!$C$19,Datos!$D$19,"=")))))</f>
        <v>5</v>
      </c>
      <c r="DK7">
        <f>IF(Evalucion!DL5=Datos!$C$15,Datos!$D$15,IF(Evalucion!DL5=Datos!$C$16,Datos!$D$16,IF(Evalucion!DL5=Datos!$C$17,Datos!$D$17,IF(Evalucion!DL5=Datos!$C$18,Datos!$D$18,IF(Evalucion!DL5=Datos!$C$19,Datos!$D$19,"=")))))</f>
        <v>5</v>
      </c>
      <c r="DL7">
        <f>IF(Evalucion!DM5=Datos!$C$15,Datos!$D$15,IF(Evalucion!DM5=Datos!$C$16,Datos!$D$16,IF(Evalucion!DM5=Datos!$C$17,Datos!$D$17,IF(Evalucion!DM5=Datos!$C$18,Datos!$D$18,IF(Evalucion!DM5=Datos!$C$19,Datos!$D$19,"=")))))</f>
        <v>5</v>
      </c>
      <c r="DM7">
        <f>IF(Evalucion!DN5=Datos!$C$15,Datos!$D$15,IF(Evalucion!DN5=Datos!$C$16,Datos!$D$16,IF(Evalucion!DN5=Datos!$C$17,Datos!$D$17,IF(Evalucion!DN5=Datos!$C$18,Datos!$D$18,IF(Evalucion!DN5=Datos!$C$19,Datos!$D$19,"=")))))</f>
        <v>5</v>
      </c>
      <c r="DN7">
        <f>IF(Evalucion!DO5=Datos!$C$15,Datos!$D$15,IF(Evalucion!DO5=Datos!$C$16,Datos!$D$16,IF(Evalucion!DO5=Datos!$C$17,Datos!$D$17,IF(Evalucion!DO5=Datos!$C$18,Datos!$D$18,IF(Evalucion!DO5=Datos!$C$19,Datos!$D$19,"=")))))</f>
        <v>5</v>
      </c>
      <c r="DO7">
        <f>IF(Evalucion!DP5=Datos!$C$15,Datos!$D$15,IF(Evalucion!DP5=Datos!$C$16,Datos!$D$16,IF(Evalucion!DP5=Datos!$C$17,Datos!$D$17,IF(Evalucion!DP5=Datos!$C$18,Datos!$D$18,IF(Evalucion!DP5=Datos!$C$19,Datos!$D$19,"=")))))</f>
        <v>5</v>
      </c>
      <c r="DP7">
        <f>IF(Evalucion!DQ5=Datos!$C$15,Datos!$D$15,IF(Evalucion!DQ5=Datos!$C$16,Datos!$D$16,IF(Evalucion!DQ5=Datos!$C$17,Datos!$D$17,IF(Evalucion!DQ5=Datos!$C$18,Datos!$D$18,IF(Evalucion!DQ5=Datos!$C$19,Datos!$D$19,"=")))))</f>
        <v>5</v>
      </c>
      <c r="DQ7">
        <f>IF(Evalucion!DR5=Datos!$C$15,Datos!$D$15,IF(Evalucion!DR5=Datos!$C$16,Datos!$D$16,IF(Evalucion!DR5=Datos!$C$17,Datos!$D$17,IF(Evalucion!DR5=Datos!$C$18,Datos!$D$18,IF(Evalucion!DR5=Datos!$C$19,Datos!$D$19,"=")))))</f>
        <v>5</v>
      </c>
      <c r="DR7">
        <f>IF(Evalucion!DS5=Datos!$C$15,Datos!$D$15,IF(Evalucion!DS5=Datos!$C$16,Datos!$D$16,IF(Evalucion!DS5=Datos!$C$17,Datos!$D$17,IF(Evalucion!DS5=Datos!$C$18,Datos!$D$18,IF(Evalucion!DS5=Datos!$C$19,Datos!$D$19,"=")))))</f>
        <v>5</v>
      </c>
      <c r="DS7">
        <f>IF(Evalucion!DT5=Datos!$C$15,Datos!$D$15,IF(Evalucion!DT5=Datos!$C$16,Datos!$D$16,IF(Evalucion!DT5=Datos!$C$17,Datos!$D$17,IF(Evalucion!DT5=Datos!$C$18,Datos!$D$18,IF(Evalucion!DT5=Datos!$C$19,Datos!$D$19,"=")))))</f>
        <v>5</v>
      </c>
      <c r="DT7">
        <f>IF(Evalucion!DU5=Datos!$C$15,Datos!$D$15,IF(Evalucion!DU5=Datos!$C$16,Datos!$D$16,IF(Evalucion!DU5=Datos!$C$17,Datos!$D$17,IF(Evalucion!DU5=Datos!$C$18,Datos!$D$18,IF(Evalucion!DU5=Datos!$C$19,Datos!$D$19,"=")))))</f>
        <v>5</v>
      </c>
      <c r="DU7">
        <f>IF(Evalucion!DV5=Datos!$C$15,Datos!$D$15,IF(Evalucion!DV5=Datos!$C$16,Datos!$D$16,IF(Evalucion!DV5=Datos!$C$17,Datos!$D$17,IF(Evalucion!DV5=Datos!$C$18,Datos!$D$18,IF(Evalucion!DV5=Datos!$C$19,Datos!$D$19,"=")))))</f>
        <v>5</v>
      </c>
      <c r="DV7">
        <f>IF(Evalucion!DW5=Datos!$C$15,Datos!$D$15,IF(Evalucion!DW5=Datos!$C$16,Datos!$D$16,IF(Evalucion!DW5=Datos!$C$17,Datos!$D$17,IF(Evalucion!DW5=Datos!$C$18,Datos!$D$18,IF(Evalucion!DW5=Datos!$C$19,Datos!$D$19,"=")))))</f>
        <v>5</v>
      </c>
      <c r="DW7">
        <f>IF(Evalucion!DX5=Datos!$C$15,Datos!$D$15,IF(Evalucion!DX5=Datos!$C$16,Datos!$D$16,IF(Evalucion!DX5=Datos!$C$17,Datos!$D$17,IF(Evalucion!DX5=Datos!$C$18,Datos!$D$18,IF(Evalucion!DX5=Datos!$C$19,Datos!$D$19,"=")))))</f>
        <v>5</v>
      </c>
      <c r="DX7">
        <f>IF(Evalucion!DY5=Datos!$C$15,Datos!$D$15,IF(Evalucion!DY5=Datos!$C$16,Datos!$D$16,IF(Evalucion!DY5=Datos!$C$17,Datos!$D$17,IF(Evalucion!DY5=Datos!$C$18,Datos!$D$18,IF(Evalucion!DY5=Datos!$C$19,Datos!$D$19,"=")))))</f>
        <v>5</v>
      </c>
      <c r="DY7">
        <f>IF(Evalucion!DZ5=Datos!$C$15,Datos!$D$15,IF(Evalucion!DZ5=Datos!$C$16,Datos!$D$16,IF(Evalucion!DZ5=Datos!$C$17,Datos!$D$17,IF(Evalucion!DZ5=Datos!$C$18,Datos!$D$18,IF(Evalucion!DZ5=Datos!$C$19,Datos!$D$19,"=")))))</f>
        <v>5</v>
      </c>
      <c r="DZ7">
        <f>IF(Evalucion!EA5=Datos!$C$15,Datos!$D$15,IF(Evalucion!EA5=Datos!$C$16,Datos!$D$16,IF(Evalucion!EA5=Datos!$C$17,Datos!$D$17,IF(Evalucion!EA5=Datos!$C$18,Datos!$D$18,IF(Evalucion!EA5=Datos!$C$19,Datos!$D$19,"=")))))</f>
        <v>5</v>
      </c>
      <c r="EA7">
        <f>IF(Evalucion!EB5=Datos!$C$15,Datos!$D$15,IF(Evalucion!EB5=Datos!$C$16,Datos!$D$16,IF(Evalucion!EB5=Datos!$C$17,Datos!$D$17,IF(Evalucion!EB5=Datos!$C$18,Datos!$D$18,IF(Evalucion!EB5=Datos!$C$19,Datos!$D$19,"=")))))</f>
        <v>5</v>
      </c>
      <c r="EB7">
        <f>IF(Evalucion!EC5=Datos!$C$15,Datos!$D$15,IF(Evalucion!EC5=Datos!$C$16,Datos!$D$16,IF(Evalucion!EC5=Datos!$C$17,Datos!$D$17,IF(Evalucion!EC5=Datos!$C$18,Datos!$D$18,IF(Evalucion!EC5=Datos!$C$19,Datos!$D$19,"=")))))</f>
        <v>5</v>
      </c>
      <c r="EC7">
        <f>IF(Evalucion!ED5=Datos!$C$15,Datos!$D$15,IF(Evalucion!ED5=Datos!$C$16,Datos!$D$16,IF(Evalucion!ED5=Datos!$C$17,Datos!$D$17,IF(Evalucion!ED5=Datos!$C$18,Datos!$D$18,IF(Evalucion!ED5=Datos!$C$19,Datos!$D$19,"=")))))</f>
        <v>5</v>
      </c>
      <c r="ED7">
        <f>IF(Evalucion!EE5=Datos!$C$15,Datos!$D$15,IF(Evalucion!EE5=Datos!$C$16,Datos!$D$16,IF(Evalucion!EE5=Datos!$C$17,Datos!$D$17,IF(Evalucion!EE5=Datos!$C$18,Datos!$D$18,IF(Evalucion!EE5=Datos!$C$19,Datos!$D$19,"=")))))</f>
        <v>5</v>
      </c>
      <c r="EE7">
        <f>IF(Evalucion!EF5=Datos!$C$15,Datos!$D$15,IF(Evalucion!EF5=Datos!$C$16,Datos!$D$16,IF(Evalucion!EF5=Datos!$C$17,Datos!$D$17,IF(Evalucion!EF5=Datos!$C$18,Datos!$D$18,IF(Evalucion!EF5=Datos!$C$19,Datos!$D$19,"=")))))</f>
        <v>5</v>
      </c>
      <c r="EF7">
        <f>IF(Evalucion!EG5=Datos!$C$15,Datos!$D$15,IF(Evalucion!EG5=Datos!$C$16,Datos!$D$16,IF(Evalucion!EG5=Datos!$C$17,Datos!$D$17,IF(Evalucion!EG5=Datos!$C$18,Datos!$D$18,IF(Evalucion!EG5=Datos!$C$19,Datos!$D$19,"=")))))</f>
        <v>5</v>
      </c>
      <c r="EG7">
        <f>IF(Evalucion!EH5=Datos!$C$15,Datos!$D$15,IF(Evalucion!EH5=Datos!$C$16,Datos!$D$16,IF(Evalucion!EH5=Datos!$C$17,Datos!$D$17,IF(Evalucion!EH5=Datos!$C$18,Datos!$D$18,IF(Evalucion!EH5=Datos!$C$19,Datos!$D$19,"=")))))</f>
        <v>5</v>
      </c>
      <c r="EH7">
        <f>IF(Evalucion!EI5=Datos!$C$15,Datos!$D$15,IF(Evalucion!EI5=Datos!$C$16,Datos!$D$16,IF(Evalucion!EI5=Datos!$C$17,Datos!$D$17,IF(Evalucion!EI5=Datos!$C$18,Datos!$D$18,IF(Evalucion!EI5=Datos!$C$19,Datos!$D$19,"=")))))</f>
        <v>5</v>
      </c>
      <c r="EI7">
        <f>IF(Evalucion!EJ5=Datos!$C$15,Datos!$D$15,IF(Evalucion!EJ5=Datos!$C$16,Datos!$D$16,IF(Evalucion!EJ5=Datos!$C$17,Datos!$D$17,IF(Evalucion!EJ5=Datos!$C$18,Datos!$D$18,IF(Evalucion!EJ5=Datos!$C$19,Datos!$D$19,"=")))))</f>
        <v>5</v>
      </c>
      <c r="EJ7">
        <f>IF(Evalucion!EK5=Datos!$C$15,Datos!$D$15,IF(Evalucion!EK5=Datos!$C$16,Datos!$D$16,IF(Evalucion!EK5=Datos!$C$17,Datos!$D$17,IF(Evalucion!EK5=Datos!$C$18,Datos!$D$18,IF(Evalucion!EK5=Datos!$C$19,Datos!$D$19,"=")))))</f>
        <v>5</v>
      </c>
      <c r="EK7">
        <f>IF(Evalucion!EL5=Datos!$C$15,Datos!$D$15,IF(Evalucion!EL5=Datos!$C$16,Datos!$D$16,IF(Evalucion!EL5=Datos!$C$17,Datos!$D$17,IF(Evalucion!EL5=Datos!$C$18,Datos!$D$18,IF(Evalucion!EL5=Datos!$C$19,Datos!$D$19,"=")))))</f>
        <v>5</v>
      </c>
      <c r="EL7">
        <f>IF(Evalucion!EM5=Datos!$C$15,Datos!$D$15,IF(Evalucion!EM5=Datos!$C$16,Datos!$D$16,IF(Evalucion!EM5=Datos!$C$17,Datos!$D$17,IF(Evalucion!EM5=Datos!$C$18,Datos!$D$18,IF(Evalucion!EM5=Datos!$C$19,Datos!$D$19,"=")))))</f>
        <v>5</v>
      </c>
      <c r="EM7">
        <f>IF(Evalucion!EN5=Datos!$C$15,Datos!$D$15,IF(Evalucion!EN5=Datos!$C$16,Datos!$D$16,IF(Evalucion!EN5=Datos!$C$17,Datos!$D$17,IF(Evalucion!EN5=Datos!$C$18,Datos!$D$18,IF(Evalucion!EN5=Datos!$C$19,Datos!$D$19,"=")))))</f>
        <v>5</v>
      </c>
      <c r="EN7">
        <f>IF(Evalucion!EO5=Datos!$C$15,Datos!$D$15,IF(Evalucion!EO5=Datos!$C$16,Datos!$D$16,IF(Evalucion!EO5=Datos!$C$17,Datos!$D$17,IF(Evalucion!EO5=Datos!$C$18,Datos!$D$18,IF(Evalucion!EO5=Datos!$C$19,Datos!$D$19,"=")))))</f>
        <v>5</v>
      </c>
      <c r="EO7">
        <f>IF(Evalucion!EP5=Datos!$C$15,Datos!$D$15,IF(Evalucion!EP5=Datos!$C$16,Datos!$D$16,IF(Evalucion!EP5=Datos!$C$17,Datos!$D$17,IF(Evalucion!EP5=Datos!$C$18,Datos!$D$18,IF(Evalucion!EP5=Datos!$C$19,Datos!$D$19,"=")))))</f>
        <v>5</v>
      </c>
      <c r="EP7">
        <f>IF(Evalucion!EQ5=Datos!$C$15,Datos!$D$15,IF(Evalucion!EQ5=Datos!$C$16,Datos!$D$16,IF(Evalucion!EQ5=Datos!$C$17,Datos!$D$17,IF(Evalucion!EQ5=Datos!$C$18,Datos!$D$18,IF(Evalucion!EQ5=Datos!$C$19,Datos!$D$19,"=")))))</f>
        <v>5</v>
      </c>
      <c r="EQ7">
        <f>IF(Evalucion!ER5=Datos!$C$15,Datos!$D$15,IF(Evalucion!ER5=Datos!$C$16,Datos!$D$16,IF(Evalucion!ER5=Datos!$C$17,Datos!$D$17,IF(Evalucion!ER5=Datos!$C$18,Datos!$D$18,IF(Evalucion!ER5=Datos!$C$19,Datos!$D$19,"=")))))</f>
        <v>5</v>
      </c>
      <c r="ER7">
        <f>IF(Evalucion!ES5=Datos!$C$15,Datos!$D$15,IF(Evalucion!ES5=Datos!$C$16,Datos!$D$16,IF(Evalucion!ES5=Datos!$C$17,Datos!$D$17,IF(Evalucion!ES5=Datos!$C$18,Datos!$D$18,IF(Evalucion!ES5=Datos!$C$19,Datos!$D$19,"=")))))</f>
        <v>5</v>
      </c>
      <c r="ES7">
        <f>IF(Evalucion!ET5=Datos!$C$15,Datos!$D$15,IF(Evalucion!ET5=Datos!$C$16,Datos!$D$16,IF(Evalucion!ET5=Datos!$C$17,Datos!$D$17,IF(Evalucion!ET5=Datos!$C$18,Datos!$D$18,IF(Evalucion!ET5=Datos!$C$19,Datos!$D$19,"=")))))</f>
        <v>5</v>
      </c>
      <c r="ET7">
        <f>IF(Evalucion!EU5=Datos!$C$15,Datos!$D$15,IF(Evalucion!EU5=Datos!$C$16,Datos!$D$16,IF(Evalucion!EU5=Datos!$C$17,Datos!$D$17,IF(Evalucion!EU5=Datos!$C$18,Datos!$D$18,IF(Evalucion!EU5=Datos!$C$19,Datos!$D$19,"=")))))</f>
        <v>5</v>
      </c>
      <c r="EU7">
        <f>IF(Evalucion!EV5=Datos!$C$15,Datos!$D$15,IF(Evalucion!EV5=Datos!$C$16,Datos!$D$16,IF(Evalucion!EV5=Datos!$C$17,Datos!$D$17,IF(Evalucion!EV5=Datos!$C$18,Datos!$D$18,IF(Evalucion!EV5=Datos!$C$19,Datos!$D$19,"=")))))</f>
        <v>1</v>
      </c>
      <c r="EV7">
        <f>IF(Evalucion!EW5=Datos!$C$15,Datos!$D$15,IF(Evalucion!EW5=Datos!$C$16,Datos!$D$16,IF(Evalucion!EW5=Datos!$C$17,Datos!$D$17,IF(Evalucion!EW5=Datos!$C$18,Datos!$D$18,IF(Evalucion!EW5=Datos!$C$19,Datos!$D$19,"=")))))</f>
        <v>5</v>
      </c>
      <c r="EW7">
        <f>IF(Evalucion!EX5=Datos!$C$15,Datos!$D$15,IF(Evalucion!EX5=Datos!$C$16,Datos!$D$16,IF(Evalucion!EX5=Datos!$C$17,Datos!$D$17,IF(Evalucion!EX5=Datos!$C$18,Datos!$D$18,IF(Evalucion!EX5=Datos!$C$19,Datos!$D$19,"=")))))</f>
        <v>5</v>
      </c>
      <c r="EX7">
        <f>IF(Evalucion!EY5=Datos!$C$15,Datos!$D$15,IF(Evalucion!EY5=Datos!$C$16,Datos!$D$16,IF(Evalucion!EY5=Datos!$C$17,Datos!$D$17,IF(Evalucion!EY5=Datos!$C$18,Datos!$D$18,IF(Evalucion!EY5=Datos!$C$19,Datos!$D$19,"=")))))</f>
        <v>5</v>
      </c>
      <c r="EY7">
        <f>IF(Evalucion!EZ5=Datos!$C$15,Datos!$D$15,IF(Evalucion!EZ5=Datos!$C$16,Datos!$D$16,IF(Evalucion!EZ5=Datos!$C$17,Datos!$D$17,IF(Evalucion!EZ5=Datos!$C$18,Datos!$D$18,IF(Evalucion!EZ5=Datos!$C$19,Datos!$D$19,"=")))))</f>
        <v>3</v>
      </c>
      <c r="FA7">
        <f t="shared" si="3"/>
        <v>335</v>
      </c>
      <c r="FB7">
        <f t="shared" si="3"/>
        <v>321</v>
      </c>
      <c r="FC7" s="3">
        <f t="shared" si="4"/>
        <v>0.85599999999999998</v>
      </c>
      <c r="FD7" t="str">
        <f t="shared" si="0"/>
        <v>Conf_CR</v>
      </c>
      <c r="FF7">
        <f t="shared" si="1"/>
        <v>656</v>
      </c>
      <c r="FG7">
        <f t="shared" si="2"/>
        <v>0</v>
      </c>
      <c r="FJ7">
        <f>SUM(FJ4:FJ6)</f>
        <v>50</v>
      </c>
    </row>
    <row r="8" spans="1:167" x14ac:dyDescent="0.2">
      <c r="A8">
        <v>5</v>
      </c>
      <c r="B8" t="s">
        <v>249</v>
      </c>
      <c r="C8" t="s">
        <v>191</v>
      </c>
      <c r="D8" s="1">
        <v>43987</v>
      </c>
      <c r="E8">
        <f>IF(Evalucion!F6=Datos!$C$15,Datos!$D$15,IF(Evalucion!F6=Datos!$C$16,Datos!$D$16,IF(Evalucion!F6=Datos!$C$17,Datos!$D$17,IF(Evalucion!F6=Datos!$C$18,Datos!$D$18,IF(Evalucion!F6=Datos!$C$19,Datos!$D$19,"=")))))</f>
        <v>5</v>
      </c>
      <c r="F8">
        <f>IF(Evalucion!G6=Datos!$C$15,Datos!$D$15,IF(Evalucion!G6=Datos!$C$16,Datos!$D$16,IF(Evalucion!G6=Datos!$C$17,Datos!$D$17,IF(Evalucion!G6=Datos!$C$18,Datos!$D$18,IF(Evalucion!G6=Datos!$C$19,Datos!$D$19,"=")))))</f>
        <v>1</v>
      </c>
      <c r="G8">
        <f>IF(Evalucion!H6=Datos!$C$15,Datos!$D$15,IF(Evalucion!H6=Datos!$C$16,Datos!$D$16,IF(Evalucion!H6=Datos!$C$17,Datos!$D$17,IF(Evalucion!H6=Datos!$C$18,Datos!$D$18,IF(Evalucion!H6=Datos!$C$19,Datos!$D$19,"=")))))</f>
        <v>5</v>
      </c>
      <c r="H8">
        <f>IF(Evalucion!I6=Datos!$C$15,Datos!$D$15,IF(Evalucion!I6=Datos!$C$16,Datos!$D$16,IF(Evalucion!I6=Datos!$C$17,Datos!$D$17,IF(Evalucion!I6=Datos!$C$18,Datos!$D$18,IF(Evalucion!I6=Datos!$C$19,Datos!$D$19,"=")))))</f>
        <v>3</v>
      </c>
      <c r="I8">
        <f>IF(Evalucion!J6=Datos!$C$15,Datos!$D$15,IF(Evalucion!J6=Datos!$C$16,Datos!$D$16,IF(Evalucion!J6=Datos!$C$17,Datos!$D$17,IF(Evalucion!J6=Datos!$C$18,Datos!$D$18,IF(Evalucion!J6=Datos!$C$19,Datos!$D$19,"=")))))</f>
        <v>5</v>
      </c>
      <c r="J8">
        <f>IF(Evalucion!K6=Datos!$C$15,Datos!$D$15,IF(Evalucion!K6=Datos!$C$16,Datos!$D$16,IF(Evalucion!K6=Datos!$C$17,Datos!$D$17,IF(Evalucion!K6=Datos!$C$18,Datos!$D$18,IF(Evalucion!K6=Datos!$C$19,Datos!$D$19,"=")))))</f>
        <v>3</v>
      </c>
      <c r="K8">
        <f>IF(Evalucion!L6=Datos!$C$15,Datos!$D$15,IF(Evalucion!L6=Datos!$C$16,Datos!$D$16,IF(Evalucion!L6=Datos!$C$17,Datos!$D$17,IF(Evalucion!L6=Datos!$C$18,Datos!$D$18,IF(Evalucion!L6=Datos!$C$19,Datos!$D$19,"=")))))</f>
        <v>5</v>
      </c>
      <c r="L8">
        <f>IF(Evalucion!M6=Datos!$C$15,Datos!$D$15,IF(Evalucion!M6=Datos!$C$16,Datos!$D$16,IF(Evalucion!M6=Datos!$C$17,Datos!$D$17,IF(Evalucion!M6=Datos!$C$18,Datos!$D$18,IF(Evalucion!M6=Datos!$C$19,Datos!$D$19,"=")))))</f>
        <v>5</v>
      </c>
      <c r="M8">
        <f>IF(Evalucion!N6=Datos!$C$15,Datos!$D$15,IF(Evalucion!N6=Datos!$C$16,Datos!$D$16,IF(Evalucion!N6=Datos!$C$17,Datos!$D$17,IF(Evalucion!N6=Datos!$C$18,Datos!$D$18,IF(Evalucion!N6=Datos!$C$19,Datos!$D$19,"=")))))</f>
        <v>5</v>
      </c>
      <c r="N8">
        <f>IF(Evalucion!O6=Datos!$C$15,Datos!$D$15,IF(Evalucion!O6=Datos!$C$16,Datos!$D$16,IF(Evalucion!O6=Datos!$C$17,Datos!$D$17,IF(Evalucion!O6=Datos!$C$18,Datos!$D$18,IF(Evalucion!O6=Datos!$C$19,Datos!$D$19,"=")))))</f>
        <v>5</v>
      </c>
      <c r="O8">
        <f>IF(Evalucion!P6=Datos!$C$15,Datos!$D$15,IF(Evalucion!P6=Datos!$C$16,Datos!$D$16,IF(Evalucion!P6=Datos!$C$17,Datos!$D$17,IF(Evalucion!P6=Datos!$C$18,Datos!$D$18,IF(Evalucion!P6=Datos!$C$19,Datos!$D$19,"=")))))</f>
        <v>5</v>
      </c>
      <c r="P8">
        <f>IF(Evalucion!Q6=Datos!$C$15,Datos!$D$15,IF(Evalucion!Q6=Datos!$C$16,Datos!$D$16,IF(Evalucion!Q6=Datos!$C$17,Datos!$D$17,IF(Evalucion!Q6=Datos!$C$18,Datos!$D$18,IF(Evalucion!Q6=Datos!$C$19,Datos!$D$19,"=")))))</f>
        <v>3</v>
      </c>
      <c r="Q8">
        <f>IF(Evalucion!R6=Datos!$C$15,Datos!$D$15,IF(Evalucion!R6=Datos!$C$16,Datos!$D$16,IF(Evalucion!R6=Datos!$C$17,Datos!$D$17,IF(Evalucion!R6=Datos!$C$18,Datos!$D$18,IF(Evalucion!R6=Datos!$C$19,Datos!$D$19,"=")))))</f>
        <v>5</v>
      </c>
      <c r="R8">
        <f>IF(Evalucion!S6=Datos!$C$15,Datos!$D$15,IF(Evalucion!S6=Datos!$C$16,Datos!$D$16,IF(Evalucion!S6=Datos!$C$17,Datos!$D$17,IF(Evalucion!S6=Datos!$C$18,Datos!$D$18,IF(Evalucion!S6=Datos!$C$19,Datos!$D$19,"=")))))</f>
        <v>5</v>
      </c>
      <c r="S8">
        <f>IF(Evalucion!T6=Datos!$C$15,Datos!$D$15,IF(Evalucion!T6=Datos!$C$16,Datos!$D$16,IF(Evalucion!T6=Datos!$C$17,Datos!$D$17,IF(Evalucion!T6=Datos!$C$18,Datos!$D$18,IF(Evalucion!T6=Datos!$C$19,Datos!$D$19,"=")))))</f>
        <v>5</v>
      </c>
      <c r="T8">
        <f>IF(Evalucion!U6=Datos!$C$15,Datos!$D$15,IF(Evalucion!U6=Datos!$C$16,Datos!$D$16,IF(Evalucion!U6=Datos!$C$17,Datos!$D$17,IF(Evalucion!U6=Datos!$C$18,Datos!$D$18,IF(Evalucion!U6=Datos!$C$19,Datos!$D$19,"=")))))</f>
        <v>5</v>
      </c>
      <c r="U8">
        <f>IF(Evalucion!V6=Datos!$C$15,Datos!$D$15,IF(Evalucion!V6=Datos!$C$16,Datos!$D$16,IF(Evalucion!V6=Datos!$C$17,Datos!$D$17,IF(Evalucion!V6=Datos!$C$18,Datos!$D$18,IF(Evalucion!V6=Datos!$C$19,Datos!$D$19,"=")))))</f>
        <v>5</v>
      </c>
      <c r="V8">
        <f>IF(Evalucion!W6=Datos!$C$15,Datos!$D$15,IF(Evalucion!W6=Datos!$C$16,Datos!$D$16,IF(Evalucion!W6=Datos!$C$17,Datos!$D$17,IF(Evalucion!W6=Datos!$C$18,Datos!$D$18,IF(Evalucion!W6=Datos!$C$19,Datos!$D$19,"=")))))</f>
        <v>5</v>
      </c>
      <c r="W8">
        <f>IF(Evalucion!X6=Datos!$C$15,Datos!$D$15,IF(Evalucion!X6=Datos!$C$16,Datos!$D$16,IF(Evalucion!X6=Datos!$C$17,Datos!$D$17,IF(Evalucion!X6=Datos!$C$18,Datos!$D$18,IF(Evalucion!X6=Datos!$C$19,Datos!$D$19,"=")))))</f>
        <v>5</v>
      </c>
      <c r="X8">
        <f>IF(Evalucion!Y6=Datos!$C$15,Datos!$D$15,IF(Evalucion!Y6=Datos!$C$16,Datos!$D$16,IF(Evalucion!Y6=Datos!$C$17,Datos!$D$17,IF(Evalucion!Y6=Datos!$C$18,Datos!$D$18,IF(Evalucion!Y6=Datos!$C$19,Datos!$D$19,"=")))))</f>
        <v>5</v>
      </c>
      <c r="Y8">
        <f>IF(Evalucion!Z6=Datos!$C$15,Datos!$D$15,IF(Evalucion!Z6=Datos!$C$16,Datos!$D$16,IF(Evalucion!Z6=Datos!$C$17,Datos!$D$17,IF(Evalucion!Z6=Datos!$C$18,Datos!$D$18,IF(Evalucion!Z6=Datos!$C$19,Datos!$D$19,"=")))))</f>
        <v>5</v>
      </c>
      <c r="Z8">
        <f>IF(Evalucion!AA6=Datos!$C$15,Datos!$D$15,IF(Evalucion!AA6=Datos!$C$16,Datos!$D$16,IF(Evalucion!AA6=Datos!$C$17,Datos!$D$17,IF(Evalucion!AA6=Datos!$C$18,Datos!$D$18,IF(Evalucion!AA6=Datos!$C$19,Datos!$D$19,"=")))))</f>
        <v>5</v>
      </c>
      <c r="AA8">
        <f>IF(Evalucion!AB6=Datos!$C$15,Datos!$D$15,IF(Evalucion!AB6=Datos!$C$16,Datos!$D$16,IF(Evalucion!AB6=Datos!$C$17,Datos!$D$17,IF(Evalucion!AB6=Datos!$C$18,Datos!$D$18,IF(Evalucion!AB6=Datos!$C$19,Datos!$D$19,"=")))))</f>
        <v>5</v>
      </c>
      <c r="AB8">
        <f>IF(Evalucion!AC6=Datos!$C$15,Datos!$D$15,IF(Evalucion!AC6=Datos!$C$16,Datos!$D$16,IF(Evalucion!AC6=Datos!$C$17,Datos!$D$17,IF(Evalucion!AC6=Datos!$C$18,Datos!$D$18,IF(Evalucion!AC6=Datos!$C$19,Datos!$D$19,"=")))))</f>
        <v>5</v>
      </c>
      <c r="AC8">
        <f>IF(Evalucion!AD6=Datos!$C$15,Datos!$D$15,IF(Evalucion!AD6=Datos!$C$16,Datos!$D$16,IF(Evalucion!AD6=Datos!$C$17,Datos!$D$17,IF(Evalucion!AD6=Datos!$C$18,Datos!$D$18,IF(Evalucion!AD6=Datos!$C$19,Datos!$D$19,"=")))))</f>
        <v>5</v>
      </c>
      <c r="AD8">
        <f>IF(Evalucion!AE6=Datos!$C$15,Datos!$D$15,IF(Evalucion!AE6=Datos!$C$16,Datos!$D$16,IF(Evalucion!AE6=Datos!$C$17,Datos!$D$17,IF(Evalucion!AE6=Datos!$C$18,Datos!$D$18,IF(Evalucion!AE6=Datos!$C$19,Datos!$D$19,"=")))))</f>
        <v>5</v>
      </c>
      <c r="AE8">
        <f>IF(Evalucion!AF6=Datos!$C$15,Datos!$D$15,IF(Evalucion!AF6=Datos!$C$16,Datos!$D$16,IF(Evalucion!AF6=Datos!$C$17,Datos!$D$17,IF(Evalucion!AF6=Datos!$C$18,Datos!$D$18,IF(Evalucion!AF6=Datos!$C$19,Datos!$D$19,"=")))))</f>
        <v>5</v>
      </c>
      <c r="AF8">
        <f>IF(Evalucion!AG6=Datos!$C$15,Datos!$D$15,IF(Evalucion!AG6=Datos!$C$16,Datos!$D$16,IF(Evalucion!AG6=Datos!$C$17,Datos!$D$17,IF(Evalucion!AG6=Datos!$C$18,Datos!$D$18,IF(Evalucion!AG6=Datos!$C$19,Datos!$D$19,"=")))))</f>
        <v>5</v>
      </c>
      <c r="AO8">
        <f>IF(Evalucion!AP6=Datos!$C$15,Datos!$D$15,IF(Evalucion!AP6=Datos!$C$16,Datos!$D$16,IF(Evalucion!AP6=Datos!$C$17,Datos!$D$17,IF(Evalucion!AP6=Datos!$C$18,Datos!$D$18,IF(Evalucion!AP6=Datos!$C$19,Datos!$D$19,"=")))))</f>
        <v>5</v>
      </c>
      <c r="AP8">
        <f>IF(Evalucion!AQ6=Datos!$C$15,Datos!$D$15,IF(Evalucion!AQ6=Datos!$C$16,Datos!$D$16,IF(Evalucion!AQ6=Datos!$C$17,Datos!$D$17,IF(Evalucion!AQ6=Datos!$C$18,Datos!$D$18,IF(Evalucion!AQ6=Datos!$C$19,Datos!$D$19,"=")))))</f>
        <v>5</v>
      </c>
      <c r="AQ8">
        <f>IF(Evalucion!AR6=Datos!$C$15,Datos!$D$15,IF(Evalucion!AR6=Datos!$C$16,Datos!$D$16,IF(Evalucion!AR6=Datos!$C$17,Datos!$D$17,IF(Evalucion!AR6=Datos!$C$18,Datos!$D$18,IF(Evalucion!AR6=Datos!$C$19,Datos!$D$19,"=")))))</f>
        <v>1</v>
      </c>
      <c r="AR8">
        <f>IF(Evalucion!AS6=Datos!$C$15,Datos!$D$15,IF(Evalucion!AS6=Datos!$C$16,Datos!$D$16,IF(Evalucion!AS6=Datos!$C$17,Datos!$D$17,IF(Evalucion!AS6=Datos!$C$18,Datos!$D$18,IF(Evalucion!AS6=Datos!$C$19,Datos!$D$19,"=")))))</f>
        <v>5</v>
      </c>
      <c r="AS8">
        <f>IF(Evalucion!AT6=Datos!$C$15,Datos!$D$15,IF(Evalucion!AT6=Datos!$C$16,Datos!$D$16,IF(Evalucion!AT6=Datos!$C$17,Datos!$D$17,IF(Evalucion!AT6=Datos!$C$18,Datos!$D$18,IF(Evalucion!AT6=Datos!$C$19,Datos!$D$19,"=")))))</f>
        <v>1</v>
      </c>
      <c r="AT8">
        <f>IF(Evalucion!AU6=Datos!$C$15,Datos!$D$15,IF(Evalucion!AU6=Datos!$C$16,Datos!$D$16,IF(Evalucion!AU6=Datos!$C$17,Datos!$D$17,IF(Evalucion!AU6=Datos!$C$18,Datos!$D$18,IF(Evalucion!AU6=Datos!$C$19,Datos!$D$19,"=")))))</f>
        <v>5</v>
      </c>
      <c r="AV8">
        <f>IF(Evalucion!AW6=Datos!$C$15,Datos!$D$15,IF(Evalucion!AW6=Datos!$C$16,Datos!$D$16,IF(Evalucion!AW6=Datos!$C$17,Datos!$D$17,IF(Evalucion!AW6=Datos!$C$18,Datos!$D$18,IF(Evalucion!AW6=Datos!$C$19,Datos!$D$19,"=")))))</f>
        <v>1</v>
      </c>
      <c r="AW8">
        <f>IF(Evalucion!AX6=Datos!$C$15,Datos!$D$15,IF(Evalucion!AX6=Datos!$C$16,Datos!$D$16,IF(Evalucion!AX6=Datos!$C$17,Datos!$D$17,IF(Evalucion!AX6=Datos!$C$18,Datos!$D$18,IF(Evalucion!AX6=Datos!$C$19,Datos!$D$19,"=")))))</f>
        <v>5</v>
      </c>
      <c r="AX8">
        <f>IF(Evalucion!AY6=Datos!$C$15,Datos!$D$15,IF(Evalucion!AY6=Datos!$C$16,Datos!$D$16,IF(Evalucion!AY6=Datos!$C$17,Datos!$D$17,IF(Evalucion!AY6=Datos!$C$18,Datos!$D$18,IF(Evalucion!AY6=Datos!$C$19,Datos!$D$19,"=")))))</f>
        <v>5</v>
      </c>
      <c r="AY8">
        <f>IF(Evalucion!AZ6=Datos!$C$15,Datos!$D$15,IF(Evalucion!AZ6=Datos!$C$16,Datos!$D$16,IF(Evalucion!AZ6=Datos!$C$17,Datos!$D$17,IF(Evalucion!AZ6=Datos!$C$18,Datos!$D$18,IF(Evalucion!AZ6=Datos!$C$19,Datos!$D$19,"=")))))</f>
        <v>5</v>
      </c>
      <c r="AZ8">
        <f>IF(Evalucion!BA6=Datos!$C$15,Datos!$D$15,IF(Evalucion!BA6=Datos!$C$16,Datos!$D$16,IF(Evalucion!BA6=Datos!$C$17,Datos!$D$17,IF(Evalucion!BA6=Datos!$C$18,Datos!$D$18,IF(Evalucion!BA6=Datos!$C$19,Datos!$D$19,"=")))))</f>
        <v>5</v>
      </c>
      <c r="BA8">
        <f>IF(Evalucion!BB6=Datos!$C$15,Datos!$D$15,IF(Evalucion!BB6=Datos!$C$16,Datos!$D$16,IF(Evalucion!BB6=Datos!$C$17,Datos!$D$17,IF(Evalucion!BB6=Datos!$C$18,Datos!$D$18,IF(Evalucion!BB6=Datos!$C$19,Datos!$D$19,"=")))))</f>
        <v>5</v>
      </c>
      <c r="BB8">
        <f>IF(Evalucion!BC6=Datos!$C$15,Datos!$D$15,IF(Evalucion!BC6=Datos!$C$16,Datos!$D$16,IF(Evalucion!BC6=Datos!$C$17,Datos!$D$17,IF(Evalucion!BC6=Datos!$C$18,Datos!$D$18,IF(Evalucion!BC6=Datos!$C$19,Datos!$D$19,"=")))))</f>
        <v>5</v>
      </c>
      <c r="BC8">
        <f>IF(Evalucion!BD6=Datos!$C$15,Datos!$D$15,IF(Evalucion!BD6=Datos!$C$16,Datos!$D$16,IF(Evalucion!BD6=Datos!$C$17,Datos!$D$17,IF(Evalucion!BD6=Datos!$C$18,Datos!$D$18,IF(Evalucion!BD6=Datos!$C$19,Datos!$D$19,"=")))))</f>
        <v>5</v>
      </c>
      <c r="BD8">
        <f>IF(Evalucion!BE6=Datos!$C$15,Datos!$D$15,IF(Evalucion!BE6=Datos!$C$16,Datos!$D$16,IF(Evalucion!BE6=Datos!$C$17,Datos!$D$17,IF(Evalucion!BE6=Datos!$C$18,Datos!$D$18,IF(Evalucion!BE6=Datos!$C$19,Datos!$D$19,"=")))))</f>
        <v>5</v>
      </c>
      <c r="BE8">
        <f>IF(Evalucion!BF6=Datos!$C$15,Datos!$D$15,IF(Evalucion!BF6=Datos!$C$16,Datos!$D$16,IF(Evalucion!BF6=Datos!$C$17,Datos!$D$17,IF(Evalucion!BF6=Datos!$C$18,Datos!$D$18,IF(Evalucion!BF6=Datos!$C$19,Datos!$D$19,"=")))))</f>
        <v>5</v>
      </c>
      <c r="BF8">
        <f>IF(Evalucion!BG6=Datos!$C$15,Datos!$D$15,IF(Evalucion!BG6=Datos!$C$16,Datos!$D$16,IF(Evalucion!BG6=Datos!$C$17,Datos!$D$17,IF(Evalucion!BG6=Datos!$C$18,Datos!$D$18,IF(Evalucion!BG6=Datos!$C$19,Datos!$D$19,"=")))))</f>
        <v>5</v>
      </c>
      <c r="BG8">
        <f>IF(Evalucion!BH6=Datos!$C$15,Datos!$D$15,IF(Evalucion!BH6=Datos!$C$16,Datos!$D$16,IF(Evalucion!BH6=Datos!$C$17,Datos!$D$17,IF(Evalucion!BH6=Datos!$C$18,Datos!$D$18,IF(Evalucion!BH6=Datos!$C$19,Datos!$D$19,"=")))))</f>
        <v>5</v>
      </c>
      <c r="BH8">
        <f>IF(Evalucion!BI6=Datos!$C$15,Datos!$D$15,IF(Evalucion!BI6=Datos!$C$16,Datos!$D$16,IF(Evalucion!BI6=Datos!$C$17,Datos!$D$17,IF(Evalucion!BI6=Datos!$C$18,Datos!$D$18,IF(Evalucion!BI6=Datos!$C$19,Datos!$D$19,"=")))))</f>
        <v>5</v>
      </c>
      <c r="BI8">
        <f>IF(Evalucion!BJ6=Datos!$C$15,Datos!$D$15,IF(Evalucion!BJ6=Datos!$C$16,Datos!$D$16,IF(Evalucion!BJ6=Datos!$C$17,Datos!$D$17,IF(Evalucion!BJ6=Datos!$C$18,Datos!$D$18,IF(Evalucion!BJ6=Datos!$C$19,Datos!$D$19,"=")))))</f>
        <v>5</v>
      </c>
      <c r="BJ8">
        <f>IF(Evalucion!BK6=Datos!$C$15,Datos!$D$15,IF(Evalucion!BK6=Datos!$C$16,Datos!$D$16,IF(Evalucion!BK6=Datos!$C$17,Datos!$D$17,IF(Evalucion!BK6=Datos!$C$18,Datos!$D$18,IF(Evalucion!BK6=Datos!$C$19,Datos!$D$19,"=")))))</f>
        <v>5</v>
      </c>
      <c r="BK8">
        <f>IF(Evalucion!BL6=Datos!$C$15,Datos!$D$15,IF(Evalucion!BL6=Datos!$C$16,Datos!$D$16,IF(Evalucion!BL6=Datos!$C$17,Datos!$D$17,IF(Evalucion!BL6=Datos!$C$18,Datos!$D$18,IF(Evalucion!BL6=Datos!$C$19,Datos!$D$19,"=")))))</f>
        <v>5</v>
      </c>
      <c r="BL8">
        <f>IF(Evalucion!BM6=Datos!$C$15,Datos!$D$15,IF(Evalucion!BM6=Datos!$C$16,Datos!$D$16,IF(Evalucion!BM6=Datos!$C$17,Datos!$D$17,IF(Evalucion!BM6=Datos!$C$18,Datos!$D$18,IF(Evalucion!BM6=Datos!$C$19,Datos!$D$19,"=")))))</f>
        <v>5</v>
      </c>
      <c r="BM8">
        <f>IF(Evalucion!BN6=Datos!$C$15,Datos!$D$15,IF(Evalucion!BN6=Datos!$C$16,Datos!$D$16,IF(Evalucion!BN6=Datos!$C$17,Datos!$D$17,IF(Evalucion!BN6=Datos!$C$18,Datos!$D$18,IF(Evalucion!BN6=Datos!$C$19,Datos!$D$19,"=")))))</f>
        <v>5</v>
      </c>
      <c r="BN8">
        <f>IF(Evalucion!BO6=Datos!$C$15,Datos!$D$15,IF(Evalucion!BO6=Datos!$C$16,Datos!$D$16,IF(Evalucion!BO6=Datos!$C$17,Datos!$D$17,IF(Evalucion!BO6=Datos!$C$18,Datos!$D$18,IF(Evalucion!BO6=Datos!$C$19,Datos!$D$19,"=")))))</f>
        <v>5</v>
      </c>
      <c r="BO8">
        <f>IF(Evalucion!BP6=Datos!$C$15,Datos!$D$15,IF(Evalucion!BP6=Datos!$C$16,Datos!$D$16,IF(Evalucion!BP6=Datos!$C$17,Datos!$D$17,IF(Evalucion!BP6=Datos!$C$18,Datos!$D$18,IF(Evalucion!BP6=Datos!$C$19,Datos!$D$19,"=")))))</f>
        <v>5</v>
      </c>
      <c r="BP8">
        <f>IF(Evalucion!BQ6=Datos!$C$15,Datos!$D$15,IF(Evalucion!BQ6=Datos!$C$16,Datos!$D$16,IF(Evalucion!BQ6=Datos!$C$17,Datos!$D$17,IF(Evalucion!BQ6=Datos!$C$18,Datos!$D$18,IF(Evalucion!BQ6=Datos!$C$19,Datos!$D$19,"=")))))</f>
        <v>5</v>
      </c>
      <c r="BQ8">
        <f>IF(Evalucion!BR6=Datos!$C$15,Datos!$D$15,IF(Evalucion!BR6=Datos!$C$16,Datos!$D$16,IF(Evalucion!BR6=Datos!$C$17,Datos!$D$17,IF(Evalucion!BR6=Datos!$C$18,Datos!$D$18,IF(Evalucion!BR6=Datos!$C$19,Datos!$D$19,"=")))))</f>
        <v>5</v>
      </c>
      <c r="BR8">
        <f>IF(Evalucion!BS6=Datos!$C$15,Datos!$D$15,IF(Evalucion!BS6=Datos!$C$16,Datos!$D$16,IF(Evalucion!BS6=Datos!$C$17,Datos!$D$17,IF(Evalucion!BS6=Datos!$C$18,Datos!$D$18,IF(Evalucion!BS6=Datos!$C$19,Datos!$D$19,"=")))))</f>
        <v>1</v>
      </c>
      <c r="BS8">
        <f>IF(Evalucion!BT6=Datos!$C$15,Datos!$D$15,IF(Evalucion!BT6=Datos!$C$16,Datos!$D$16,IF(Evalucion!BT6=Datos!$C$17,Datos!$D$17,IF(Evalucion!BT6=Datos!$C$18,Datos!$D$18,IF(Evalucion!BT6=Datos!$C$19,Datos!$D$19,"=")))))</f>
        <v>1</v>
      </c>
      <c r="BT8">
        <f>IF(Evalucion!BU6=Datos!$C$15,Datos!$D$15,IF(Evalucion!BU6=Datos!$C$16,Datos!$D$16,IF(Evalucion!BU6=Datos!$C$17,Datos!$D$17,IF(Evalucion!BU6=Datos!$C$18,Datos!$D$18,IF(Evalucion!BU6=Datos!$C$19,Datos!$D$19,"=")))))</f>
        <v>5</v>
      </c>
      <c r="BU8">
        <f>IF(Evalucion!BV6=Datos!$C$15,Datos!$D$15,IF(Evalucion!BV6=Datos!$C$16,Datos!$D$16,IF(Evalucion!BV6=Datos!$C$17,Datos!$D$17,IF(Evalucion!BV6=Datos!$C$18,Datos!$D$18,IF(Evalucion!BV6=Datos!$C$19,Datos!$D$19,"=")))))</f>
        <v>5</v>
      </c>
      <c r="BV8">
        <f>IF(Evalucion!BW6=Datos!$C$15,Datos!$D$15,IF(Evalucion!BW6=Datos!$C$16,Datos!$D$16,IF(Evalucion!BW6=Datos!$C$17,Datos!$D$17,IF(Evalucion!BW6=Datos!$C$18,Datos!$D$18,IF(Evalucion!BW6=Datos!$C$19,Datos!$D$19,"=")))))</f>
        <v>5</v>
      </c>
      <c r="BW8">
        <f>IF(Evalucion!BX6=Datos!$C$15,Datos!$D$15,IF(Evalucion!BX6=Datos!$C$16,Datos!$D$16,IF(Evalucion!BX6=Datos!$C$17,Datos!$D$17,IF(Evalucion!BX6=Datos!$C$18,Datos!$D$18,IF(Evalucion!BX6=Datos!$C$19,Datos!$D$19,"=")))))</f>
        <v>5</v>
      </c>
      <c r="BX8">
        <f>IF(Evalucion!BY6=Datos!$C$15,Datos!$D$15,IF(Evalucion!BY6=Datos!$C$16,Datos!$D$16,IF(Evalucion!BY6=Datos!$C$17,Datos!$D$17,IF(Evalucion!BY6=Datos!$C$18,Datos!$D$18,IF(Evalucion!BY6=Datos!$C$19,Datos!$D$19,"=")))))</f>
        <v>5</v>
      </c>
      <c r="BY8">
        <f>IF(Evalucion!BZ6=Datos!$C$15,Datos!$D$15,IF(Evalucion!BZ6=Datos!$C$16,Datos!$D$16,IF(Evalucion!BZ6=Datos!$C$17,Datos!$D$17,IF(Evalucion!BZ6=Datos!$C$18,Datos!$D$18,IF(Evalucion!BZ6=Datos!$C$19,Datos!$D$19,"=")))))</f>
        <v>5</v>
      </c>
      <c r="BZ8">
        <f>IF(Evalucion!CA6=Datos!$C$15,Datos!$D$15,IF(Evalucion!CA6=Datos!$C$16,Datos!$D$16,IF(Evalucion!CA6=Datos!$C$17,Datos!$D$17,IF(Evalucion!CA6=Datos!$C$18,Datos!$D$18,IF(Evalucion!CA6=Datos!$C$19,Datos!$D$19,"=")))))</f>
        <v>1</v>
      </c>
      <c r="CA8">
        <f>IF(Evalucion!CB6=Datos!$C$15,Datos!$D$15,IF(Evalucion!CB6=Datos!$C$16,Datos!$D$16,IF(Evalucion!CB6=Datos!$C$17,Datos!$D$17,IF(Evalucion!CB6=Datos!$C$18,Datos!$D$18,IF(Evalucion!CB6=Datos!$C$19,Datos!$D$19,"=")))))</f>
        <v>1</v>
      </c>
      <c r="CB8">
        <f>IF(Evalucion!CC6=Datos!$C$15,Datos!$D$15,IF(Evalucion!CC6=Datos!$C$16,Datos!$D$16,IF(Evalucion!CC6=Datos!$C$17,Datos!$D$17,IF(Evalucion!CC6=Datos!$C$18,Datos!$D$18,IF(Evalucion!CC6=Datos!$C$19,Datos!$D$19,"=")))))</f>
        <v>5</v>
      </c>
      <c r="CC8">
        <f>IF(Evalucion!CD6=Datos!$C$15,Datos!$D$15,IF(Evalucion!CD6=Datos!$C$16,Datos!$D$16,IF(Evalucion!CD6=Datos!$C$17,Datos!$D$17,IF(Evalucion!CD6=Datos!$C$18,Datos!$D$18,IF(Evalucion!CD6=Datos!$C$19,Datos!$D$19,"=")))))</f>
        <v>5</v>
      </c>
      <c r="CD8">
        <f>IF(Evalucion!CE6=Datos!$C$15,Datos!$D$15,IF(Evalucion!CE6=Datos!$C$16,Datos!$D$16,IF(Evalucion!CE6=Datos!$C$17,Datos!$D$17,IF(Evalucion!CE6=Datos!$C$18,Datos!$D$18,IF(Evalucion!CE6=Datos!$C$19,Datos!$D$19,"=")))))</f>
        <v>5</v>
      </c>
      <c r="CE8">
        <f>IF(Evalucion!CF6=Datos!$C$15,Datos!$D$15,IF(Evalucion!CF6=Datos!$C$16,Datos!$D$16,IF(Evalucion!CF6=Datos!$C$17,Datos!$D$17,IF(Evalucion!CF6=Datos!$C$18,Datos!$D$18,IF(Evalucion!CF6=Datos!$C$19,Datos!$D$19,"=")))))</f>
        <v>3</v>
      </c>
      <c r="CF8">
        <f>IF(Evalucion!CG6=Datos!$C$15,Datos!$D$15,IF(Evalucion!CG6=Datos!$C$16,Datos!$D$16,IF(Evalucion!CG6=Datos!$C$17,Datos!$D$17,IF(Evalucion!CG6=Datos!$C$18,Datos!$D$18,IF(Evalucion!CG6=Datos!$C$19,Datos!$D$19,"=")))))</f>
        <v>5</v>
      </c>
      <c r="CG8">
        <f>IF(Evalucion!CH6=Datos!$C$15,Datos!$D$15,IF(Evalucion!CH6=Datos!$C$16,Datos!$D$16,IF(Evalucion!CH6=Datos!$C$17,Datos!$D$17,IF(Evalucion!CH6=Datos!$C$18,Datos!$D$18,IF(Evalucion!CH6=Datos!$C$19,Datos!$D$19,"=")))))</f>
        <v>3</v>
      </c>
      <c r="CH8">
        <f>IF(Evalucion!CI6=Datos!$C$15,Datos!$D$15,IF(Evalucion!CI6=Datos!$C$16,Datos!$D$16,IF(Evalucion!CI6=Datos!$C$17,Datos!$D$17,IF(Evalucion!CI6=Datos!$C$18,Datos!$D$18,IF(Evalucion!CI6=Datos!$C$19,Datos!$D$19,"=")))))</f>
        <v>5</v>
      </c>
      <c r="CI8">
        <f>IF(Evalucion!CJ6=Datos!$C$15,Datos!$D$15,IF(Evalucion!CJ6=Datos!$C$16,Datos!$D$16,IF(Evalucion!CJ6=Datos!$C$17,Datos!$D$17,IF(Evalucion!CJ6=Datos!$C$18,Datos!$D$18,IF(Evalucion!CJ6=Datos!$C$19,Datos!$D$19,"=")))))</f>
        <v>5</v>
      </c>
      <c r="CJ8">
        <f>IF(Evalucion!CK6=Datos!$C$15,Datos!$D$15,IF(Evalucion!CK6=Datos!$C$16,Datos!$D$16,IF(Evalucion!CK6=Datos!$C$17,Datos!$D$17,IF(Evalucion!CK6=Datos!$C$18,Datos!$D$18,IF(Evalucion!CK6=Datos!$C$19,Datos!$D$19,"=")))))</f>
        <v>5</v>
      </c>
      <c r="CK8">
        <f>IF(Evalucion!CL6=Datos!$C$15,Datos!$D$15,IF(Evalucion!CL6=Datos!$C$16,Datos!$D$16,IF(Evalucion!CL6=Datos!$C$17,Datos!$D$17,IF(Evalucion!CL6=Datos!$C$18,Datos!$D$18,IF(Evalucion!CL6=Datos!$C$19,Datos!$D$19,"=")))))</f>
        <v>5</v>
      </c>
      <c r="CL8">
        <f>IF(Evalucion!CM6=Datos!$C$15,Datos!$D$15,IF(Evalucion!CM6=Datos!$C$16,Datos!$D$16,IF(Evalucion!CM6=Datos!$C$17,Datos!$D$17,IF(Evalucion!CM6=Datos!$C$18,Datos!$D$18,IF(Evalucion!CM6=Datos!$C$19,Datos!$D$19,"=")))))</f>
        <v>5</v>
      </c>
      <c r="CM8">
        <f>IF(Evalucion!CN6=Datos!$C$15,Datos!$D$15,IF(Evalucion!CN6=Datos!$C$16,Datos!$D$16,IF(Evalucion!CN6=Datos!$C$17,Datos!$D$17,IF(Evalucion!CN6=Datos!$C$18,Datos!$D$18,IF(Evalucion!CN6=Datos!$C$19,Datos!$D$19,"=")))))</f>
        <v>5</v>
      </c>
      <c r="CN8">
        <f>IF(Evalucion!CO6=Datos!$C$15,Datos!$D$15,IF(Evalucion!CO6=Datos!$C$16,Datos!$D$16,IF(Evalucion!CO6=Datos!$C$17,Datos!$D$17,IF(Evalucion!CO6=Datos!$C$18,Datos!$D$18,IF(Evalucion!CO6=Datos!$C$19,Datos!$D$19,"=")))))</f>
        <v>5</v>
      </c>
      <c r="CO8">
        <f>IF(Evalucion!CP6=Datos!$C$15,Datos!$D$15,IF(Evalucion!CP6=Datos!$C$16,Datos!$D$16,IF(Evalucion!CP6=Datos!$C$17,Datos!$D$17,IF(Evalucion!CP6=Datos!$C$18,Datos!$D$18,IF(Evalucion!CP6=Datos!$C$19,Datos!$D$19,"=")))))</f>
        <v>5</v>
      </c>
      <c r="CP8">
        <f>IF(Evalucion!CQ6=Datos!$C$15,Datos!$D$15,IF(Evalucion!CQ6=Datos!$C$16,Datos!$D$16,IF(Evalucion!CQ6=Datos!$C$17,Datos!$D$17,IF(Evalucion!CQ6=Datos!$C$18,Datos!$D$18,IF(Evalucion!CQ6=Datos!$C$19,Datos!$D$19,"=")))))</f>
        <v>5</v>
      </c>
      <c r="CQ8">
        <f>IF(Evalucion!CR6=Datos!$C$15,Datos!$D$15,IF(Evalucion!CR6=Datos!$C$16,Datos!$D$16,IF(Evalucion!CR6=Datos!$C$17,Datos!$D$17,IF(Evalucion!CR6=Datos!$C$18,Datos!$D$18,IF(Evalucion!CR6=Datos!$C$19,Datos!$D$19,"=")))))</f>
        <v>5</v>
      </c>
      <c r="CR8">
        <f>IF(Evalucion!CS6=Datos!$C$15,Datos!$D$15,IF(Evalucion!CS6=Datos!$C$16,Datos!$D$16,IF(Evalucion!CS6=Datos!$C$17,Datos!$D$17,IF(Evalucion!CS6=Datos!$C$18,Datos!$D$18,IF(Evalucion!CS6=Datos!$C$19,Datos!$D$19,"=")))))</f>
        <v>5</v>
      </c>
      <c r="CS8">
        <f>IF(Evalucion!CT6=Datos!$C$15,Datos!$D$15,IF(Evalucion!CT6=Datos!$C$16,Datos!$D$16,IF(Evalucion!CT6=Datos!$C$17,Datos!$D$17,IF(Evalucion!CT6=Datos!$C$18,Datos!$D$18,IF(Evalucion!CT6=Datos!$C$19,Datos!$D$19,"=")))))</f>
        <v>5</v>
      </c>
      <c r="CT8">
        <f>IF(Evalucion!CU6=Datos!$C$15,Datos!$D$15,IF(Evalucion!CU6=Datos!$C$16,Datos!$D$16,IF(Evalucion!CU6=Datos!$C$17,Datos!$D$17,IF(Evalucion!CU6=Datos!$C$18,Datos!$D$18,IF(Evalucion!CU6=Datos!$C$19,Datos!$D$19,"=")))))</f>
        <v>5</v>
      </c>
      <c r="CU8">
        <f>IF(Evalucion!CV6=Datos!$C$15,Datos!$D$15,IF(Evalucion!CV6=Datos!$C$16,Datos!$D$16,IF(Evalucion!CV6=Datos!$C$17,Datos!$D$17,IF(Evalucion!CV6=Datos!$C$18,Datos!$D$18,IF(Evalucion!CV6=Datos!$C$19,Datos!$D$19,"=")))))</f>
        <v>3</v>
      </c>
      <c r="CV8">
        <f>IF(Evalucion!CW6=Datos!$C$15,Datos!$D$15,IF(Evalucion!CW6=Datos!$C$16,Datos!$D$16,IF(Evalucion!CW6=Datos!$C$17,Datos!$D$17,IF(Evalucion!CW6=Datos!$C$18,Datos!$D$18,IF(Evalucion!CW6=Datos!$C$19,Datos!$D$19,"=")))))</f>
        <v>5</v>
      </c>
      <c r="CW8">
        <f>IF(Evalucion!CX6=Datos!$C$15,Datos!$D$15,IF(Evalucion!CX6=Datos!$C$16,Datos!$D$16,IF(Evalucion!CX6=Datos!$C$17,Datos!$D$17,IF(Evalucion!CX6=Datos!$C$18,Datos!$D$18,IF(Evalucion!CX6=Datos!$C$19,Datos!$D$19,"=")))))</f>
        <v>5</v>
      </c>
      <c r="CX8">
        <f>IF(Evalucion!CY6=Datos!$C$15,Datos!$D$15,IF(Evalucion!CY6=Datos!$C$16,Datos!$D$16,IF(Evalucion!CY6=Datos!$C$17,Datos!$D$17,IF(Evalucion!CY6=Datos!$C$18,Datos!$D$18,IF(Evalucion!CY6=Datos!$C$19,Datos!$D$19,"=")))))</f>
        <v>5</v>
      </c>
      <c r="CY8">
        <f>IF(Evalucion!CZ6=Datos!$C$15,Datos!$D$15,IF(Evalucion!CZ6=Datos!$C$16,Datos!$D$16,IF(Evalucion!CZ6=Datos!$C$17,Datos!$D$17,IF(Evalucion!CZ6=Datos!$C$18,Datos!$D$18,IF(Evalucion!CZ6=Datos!$C$19,Datos!$D$19,"=")))))</f>
        <v>5</v>
      </c>
      <c r="CZ8">
        <f>IF(Evalucion!DA6=Datos!$C$15,Datos!$D$15,IF(Evalucion!DA6=Datos!$C$16,Datos!$D$16,IF(Evalucion!DA6=Datos!$C$17,Datos!$D$17,IF(Evalucion!DA6=Datos!$C$18,Datos!$D$18,IF(Evalucion!DA6=Datos!$C$19,Datos!$D$19,"=")))))</f>
        <v>5</v>
      </c>
      <c r="DA8">
        <f>IF(Evalucion!DB6=Datos!$C$15,Datos!$D$15,IF(Evalucion!DB6=Datos!$C$16,Datos!$D$16,IF(Evalucion!DB6=Datos!$C$17,Datos!$D$17,IF(Evalucion!DB6=Datos!$C$18,Datos!$D$18,IF(Evalucion!DB6=Datos!$C$19,Datos!$D$19,"=")))))</f>
        <v>3</v>
      </c>
      <c r="DB8">
        <f>IF(Evalucion!DC6=Datos!$C$15,Datos!$D$15,IF(Evalucion!DC6=Datos!$C$16,Datos!$D$16,IF(Evalucion!DC6=Datos!$C$17,Datos!$D$17,IF(Evalucion!DC6=Datos!$C$18,Datos!$D$18,IF(Evalucion!DC6=Datos!$C$19,Datos!$D$19,"=")))))</f>
        <v>5</v>
      </c>
      <c r="DC8">
        <f>IF(Evalucion!DD6=Datos!$C$15,Datos!$D$15,IF(Evalucion!DD6=Datos!$C$16,Datos!$D$16,IF(Evalucion!DD6=Datos!$C$17,Datos!$D$17,IF(Evalucion!DD6=Datos!$C$18,Datos!$D$18,IF(Evalucion!DD6=Datos!$C$19,Datos!$D$19,"=")))))</f>
        <v>5</v>
      </c>
      <c r="DD8">
        <f>IF(Evalucion!DE6=Datos!$C$15,Datos!$D$15,IF(Evalucion!DE6=Datos!$C$16,Datos!$D$16,IF(Evalucion!DE6=Datos!$C$17,Datos!$D$17,IF(Evalucion!DE6=Datos!$C$18,Datos!$D$18,IF(Evalucion!DE6=Datos!$C$19,Datos!$D$19,"=")))))</f>
        <v>5</v>
      </c>
      <c r="DE8">
        <f>IF(Evalucion!DF6=Datos!$C$15,Datos!$D$15,IF(Evalucion!DF6=Datos!$C$16,Datos!$D$16,IF(Evalucion!DF6=Datos!$C$17,Datos!$D$17,IF(Evalucion!DF6=Datos!$C$18,Datos!$D$18,IF(Evalucion!DF6=Datos!$C$19,Datos!$D$19,"=")))))</f>
        <v>3</v>
      </c>
      <c r="DF8">
        <f>IF(Evalucion!DG6=Datos!$C$15,Datos!$D$15,IF(Evalucion!DG6=Datos!$C$16,Datos!$D$16,IF(Evalucion!DG6=Datos!$C$17,Datos!$D$17,IF(Evalucion!DG6=Datos!$C$18,Datos!$D$18,IF(Evalucion!DG6=Datos!$C$19,Datos!$D$19,"=")))))</f>
        <v>5</v>
      </c>
      <c r="DG8">
        <f>IF(Evalucion!DH6=Datos!$C$15,Datos!$D$15,IF(Evalucion!DH6=Datos!$C$16,Datos!$D$16,IF(Evalucion!DH6=Datos!$C$17,Datos!$D$17,IF(Evalucion!DH6=Datos!$C$18,Datos!$D$18,IF(Evalucion!DH6=Datos!$C$19,Datos!$D$19,"=")))))</f>
        <v>5</v>
      </c>
      <c r="DH8">
        <f>IF(Evalucion!DI6=Datos!$C$15,Datos!$D$15,IF(Evalucion!DI6=Datos!$C$16,Datos!$D$16,IF(Evalucion!DI6=Datos!$C$17,Datos!$D$17,IF(Evalucion!DI6=Datos!$C$18,Datos!$D$18,IF(Evalucion!DI6=Datos!$C$19,Datos!$D$19,"=")))))</f>
        <v>5</v>
      </c>
      <c r="DI8">
        <f>IF(Evalucion!DJ6=Datos!$C$15,Datos!$D$15,IF(Evalucion!DJ6=Datos!$C$16,Datos!$D$16,IF(Evalucion!DJ6=Datos!$C$17,Datos!$D$17,IF(Evalucion!DJ6=Datos!$C$18,Datos!$D$18,IF(Evalucion!DJ6=Datos!$C$19,Datos!$D$19,"=")))))</f>
        <v>5</v>
      </c>
      <c r="DJ8">
        <f>IF(Evalucion!DK6=Datos!$C$15,Datos!$D$15,IF(Evalucion!DK6=Datos!$C$16,Datos!$D$16,IF(Evalucion!DK6=Datos!$C$17,Datos!$D$17,IF(Evalucion!DK6=Datos!$C$18,Datos!$D$18,IF(Evalucion!DK6=Datos!$C$19,Datos!$D$19,"=")))))</f>
        <v>5</v>
      </c>
      <c r="DK8">
        <f>IF(Evalucion!DL6=Datos!$C$15,Datos!$D$15,IF(Evalucion!DL6=Datos!$C$16,Datos!$D$16,IF(Evalucion!DL6=Datos!$C$17,Datos!$D$17,IF(Evalucion!DL6=Datos!$C$18,Datos!$D$18,IF(Evalucion!DL6=Datos!$C$19,Datos!$D$19,"=")))))</f>
        <v>5</v>
      </c>
      <c r="DL8">
        <f>IF(Evalucion!DM6=Datos!$C$15,Datos!$D$15,IF(Evalucion!DM6=Datos!$C$16,Datos!$D$16,IF(Evalucion!DM6=Datos!$C$17,Datos!$D$17,IF(Evalucion!DM6=Datos!$C$18,Datos!$D$18,IF(Evalucion!DM6=Datos!$C$19,Datos!$D$19,"=")))))</f>
        <v>5</v>
      </c>
      <c r="DM8">
        <f>IF(Evalucion!DN6=Datos!$C$15,Datos!$D$15,IF(Evalucion!DN6=Datos!$C$16,Datos!$D$16,IF(Evalucion!DN6=Datos!$C$17,Datos!$D$17,IF(Evalucion!DN6=Datos!$C$18,Datos!$D$18,IF(Evalucion!DN6=Datos!$C$19,Datos!$D$19,"=")))))</f>
        <v>5</v>
      </c>
      <c r="DN8">
        <f>IF(Evalucion!DO6=Datos!$C$15,Datos!$D$15,IF(Evalucion!DO6=Datos!$C$16,Datos!$D$16,IF(Evalucion!DO6=Datos!$C$17,Datos!$D$17,IF(Evalucion!DO6=Datos!$C$18,Datos!$D$18,IF(Evalucion!DO6=Datos!$C$19,Datos!$D$19,"=")))))</f>
        <v>5</v>
      </c>
      <c r="DO8">
        <f>IF(Evalucion!DP6=Datos!$C$15,Datos!$D$15,IF(Evalucion!DP6=Datos!$C$16,Datos!$D$16,IF(Evalucion!DP6=Datos!$C$17,Datos!$D$17,IF(Evalucion!DP6=Datos!$C$18,Datos!$D$18,IF(Evalucion!DP6=Datos!$C$19,Datos!$D$19,"=")))))</f>
        <v>5</v>
      </c>
      <c r="DP8">
        <f>IF(Evalucion!DQ6=Datos!$C$15,Datos!$D$15,IF(Evalucion!DQ6=Datos!$C$16,Datos!$D$16,IF(Evalucion!DQ6=Datos!$C$17,Datos!$D$17,IF(Evalucion!DQ6=Datos!$C$18,Datos!$D$18,IF(Evalucion!DQ6=Datos!$C$19,Datos!$D$19,"=")))))</f>
        <v>5</v>
      </c>
      <c r="DQ8">
        <f>IF(Evalucion!DR6=Datos!$C$15,Datos!$D$15,IF(Evalucion!DR6=Datos!$C$16,Datos!$D$16,IF(Evalucion!DR6=Datos!$C$17,Datos!$D$17,IF(Evalucion!DR6=Datos!$C$18,Datos!$D$18,IF(Evalucion!DR6=Datos!$C$19,Datos!$D$19,"=")))))</f>
        <v>5</v>
      </c>
      <c r="DR8">
        <f>IF(Evalucion!DS6=Datos!$C$15,Datos!$D$15,IF(Evalucion!DS6=Datos!$C$16,Datos!$D$16,IF(Evalucion!DS6=Datos!$C$17,Datos!$D$17,IF(Evalucion!DS6=Datos!$C$18,Datos!$D$18,IF(Evalucion!DS6=Datos!$C$19,Datos!$D$19,"=")))))</f>
        <v>5</v>
      </c>
      <c r="DS8">
        <f>IF(Evalucion!DT6=Datos!$C$15,Datos!$D$15,IF(Evalucion!DT6=Datos!$C$16,Datos!$D$16,IF(Evalucion!DT6=Datos!$C$17,Datos!$D$17,IF(Evalucion!DT6=Datos!$C$18,Datos!$D$18,IF(Evalucion!DT6=Datos!$C$19,Datos!$D$19,"=")))))</f>
        <v>5</v>
      </c>
      <c r="DT8">
        <f>IF(Evalucion!DU6=Datos!$C$15,Datos!$D$15,IF(Evalucion!DU6=Datos!$C$16,Datos!$D$16,IF(Evalucion!DU6=Datos!$C$17,Datos!$D$17,IF(Evalucion!DU6=Datos!$C$18,Datos!$D$18,IF(Evalucion!DU6=Datos!$C$19,Datos!$D$19,"=")))))</f>
        <v>5</v>
      </c>
      <c r="DU8">
        <f>IF(Evalucion!DV6=Datos!$C$15,Datos!$D$15,IF(Evalucion!DV6=Datos!$C$16,Datos!$D$16,IF(Evalucion!DV6=Datos!$C$17,Datos!$D$17,IF(Evalucion!DV6=Datos!$C$18,Datos!$D$18,IF(Evalucion!DV6=Datos!$C$19,Datos!$D$19,"=")))))</f>
        <v>5</v>
      </c>
      <c r="DV8">
        <f>IF(Evalucion!DW6=Datos!$C$15,Datos!$D$15,IF(Evalucion!DW6=Datos!$C$16,Datos!$D$16,IF(Evalucion!DW6=Datos!$C$17,Datos!$D$17,IF(Evalucion!DW6=Datos!$C$18,Datos!$D$18,IF(Evalucion!DW6=Datos!$C$19,Datos!$D$19,"=")))))</f>
        <v>5</v>
      </c>
      <c r="DW8">
        <f>IF(Evalucion!DX6=Datos!$C$15,Datos!$D$15,IF(Evalucion!DX6=Datos!$C$16,Datos!$D$16,IF(Evalucion!DX6=Datos!$C$17,Datos!$D$17,IF(Evalucion!DX6=Datos!$C$18,Datos!$D$18,IF(Evalucion!DX6=Datos!$C$19,Datos!$D$19,"=")))))</f>
        <v>5</v>
      </c>
      <c r="DX8">
        <f>IF(Evalucion!DY6=Datos!$C$15,Datos!$D$15,IF(Evalucion!DY6=Datos!$C$16,Datos!$D$16,IF(Evalucion!DY6=Datos!$C$17,Datos!$D$17,IF(Evalucion!DY6=Datos!$C$18,Datos!$D$18,IF(Evalucion!DY6=Datos!$C$19,Datos!$D$19,"=")))))</f>
        <v>5</v>
      </c>
      <c r="DY8">
        <f>IF(Evalucion!DZ6=Datos!$C$15,Datos!$D$15,IF(Evalucion!DZ6=Datos!$C$16,Datos!$D$16,IF(Evalucion!DZ6=Datos!$C$17,Datos!$D$17,IF(Evalucion!DZ6=Datos!$C$18,Datos!$D$18,IF(Evalucion!DZ6=Datos!$C$19,Datos!$D$19,"=")))))</f>
        <v>5</v>
      </c>
      <c r="DZ8">
        <f>IF(Evalucion!EA6=Datos!$C$15,Datos!$D$15,IF(Evalucion!EA6=Datos!$C$16,Datos!$D$16,IF(Evalucion!EA6=Datos!$C$17,Datos!$D$17,IF(Evalucion!EA6=Datos!$C$18,Datos!$D$18,IF(Evalucion!EA6=Datos!$C$19,Datos!$D$19,"=")))))</f>
        <v>5</v>
      </c>
      <c r="EA8">
        <f>IF(Evalucion!EB6=Datos!$C$15,Datos!$D$15,IF(Evalucion!EB6=Datos!$C$16,Datos!$D$16,IF(Evalucion!EB6=Datos!$C$17,Datos!$D$17,IF(Evalucion!EB6=Datos!$C$18,Datos!$D$18,IF(Evalucion!EB6=Datos!$C$19,Datos!$D$19,"=")))))</f>
        <v>5</v>
      </c>
      <c r="EB8">
        <f>IF(Evalucion!EC6=Datos!$C$15,Datos!$D$15,IF(Evalucion!EC6=Datos!$C$16,Datos!$D$16,IF(Evalucion!EC6=Datos!$C$17,Datos!$D$17,IF(Evalucion!EC6=Datos!$C$18,Datos!$D$18,IF(Evalucion!EC6=Datos!$C$19,Datos!$D$19,"=")))))</f>
        <v>5</v>
      </c>
      <c r="EC8">
        <f>IF(Evalucion!ED6=Datos!$C$15,Datos!$D$15,IF(Evalucion!ED6=Datos!$C$16,Datos!$D$16,IF(Evalucion!ED6=Datos!$C$17,Datos!$D$17,IF(Evalucion!ED6=Datos!$C$18,Datos!$D$18,IF(Evalucion!ED6=Datos!$C$19,Datos!$D$19,"=")))))</f>
        <v>5</v>
      </c>
      <c r="ED8">
        <f>IF(Evalucion!EE6=Datos!$C$15,Datos!$D$15,IF(Evalucion!EE6=Datos!$C$16,Datos!$D$16,IF(Evalucion!EE6=Datos!$C$17,Datos!$D$17,IF(Evalucion!EE6=Datos!$C$18,Datos!$D$18,IF(Evalucion!EE6=Datos!$C$19,Datos!$D$19,"=")))))</f>
        <v>5</v>
      </c>
      <c r="EE8">
        <f>IF(Evalucion!EF6=Datos!$C$15,Datos!$D$15,IF(Evalucion!EF6=Datos!$C$16,Datos!$D$16,IF(Evalucion!EF6=Datos!$C$17,Datos!$D$17,IF(Evalucion!EF6=Datos!$C$18,Datos!$D$18,IF(Evalucion!EF6=Datos!$C$19,Datos!$D$19,"=")))))</f>
        <v>5</v>
      </c>
      <c r="EF8">
        <f>IF(Evalucion!EG6=Datos!$C$15,Datos!$D$15,IF(Evalucion!EG6=Datos!$C$16,Datos!$D$16,IF(Evalucion!EG6=Datos!$C$17,Datos!$D$17,IF(Evalucion!EG6=Datos!$C$18,Datos!$D$18,IF(Evalucion!EG6=Datos!$C$19,Datos!$D$19,"=")))))</f>
        <v>5</v>
      </c>
      <c r="EG8">
        <f>IF(Evalucion!EH6=Datos!$C$15,Datos!$D$15,IF(Evalucion!EH6=Datos!$C$16,Datos!$D$16,IF(Evalucion!EH6=Datos!$C$17,Datos!$D$17,IF(Evalucion!EH6=Datos!$C$18,Datos!$D$18,IF(Evalucion!EH6=Datos!$C$19,Datos!$D$19,"=")))))</f>
        <v>5</v>
      </c>
      <c r="EH8">
        <f>IF(Evalucion!EI6=Datos!$C$15,Datos!$D$15,IF(Evalucion!EI6=Datos!$C$16,Datos!$D$16,IF(Evalucion!EI6=Datos!$C$17,Datos!$D$17,IF(Evalucion!EI6=Datos!$C$18,Datos!$D$18,IF(Evalucion!EI6=Datos!$C$19,Datos!$D$19,"=")))))</f>
        <v>5</v>
      </c>
      <c r="EI8">
        <f>IF(Evalucion!EJ6=Datos!$C$15,Datos!$D$15,IF(Evalucion!EJ6=Datos!$C$16,Datos!$D$16,IF(Evalucion!EJ6=Datos!$C$17,Datos!$D$17,IF(Evalucion!EJ6=Datos!$C$18,Datos!$D$18,IF(Evalucion!EJ6=Datos!$C$19,Datos!$D$19,"=")))))</f>
        <v>5</v>
      </c>
      <c r="EJ8">
        <f>IF(Evalucion!EK6=Datos!$C$15,Datos!$D$15,IF(Evalucion!EK6=Datos!$C$16,Datos!$D$16,IF(Evalucion!EK6=Datos!$C$17,Datos!$D$17,IF(Evalucion!EK6=Datos!$C$18,Datos!$D$18,IF(Evalucion!EK6=Datos!$C$19,Datos!$D$19,"=")))))</f>
        <v>5</v>
      </c>
      <c r="EK8">
        <f>IF(Evalucion!EL6=Datos!$C$15,Datos!$D$15,IF(Evalucion!EL6=Datos!$C$16,Datos!$D$16,IF(Evalucion!EL6=Datos!$C$17,Datos!$D$17,IF(Evalucion!EL6=Datos!$C$18,Datos!$D$18,IF(Evalucion!EL6=Datos!$C$19,Datos!$D$19,"=")))))</f>
        <v>5</v>
      </c>
      <c r="EL8">
        <f>IF(Evalucion!EM6=Datos!$C$15,Datos!$D$15,IF(Evalucion!EM6=Datos!$C$16,Datos!$D$16,IF(Evalucion!EM6=Datos!$C$17,Datos!$D$17,IF(Evalucion!EM6=Datos!$C$18,Datos!$D$18,IF(Evalucion!EM6=Datos!$C$19,Datos!$D$19,"=")))))</f>
        <v>5</v>
      </c>
      <c r="EM8">
        <f>IF(Evalucion!EN6=Datos!$C$15,Datos!$D$15,IF(Evalucion!EN6=Datos!$C$16,Datos!$D$16,IF(Evalucion!EN6=Datos!$C$17,Datos!$D$17,IF(Evalucion!EN6=Datos!$C$18,Datos!$D$18,IF(Evalucion!EN6=Datos!$C$19,Datos!$D$19,"=")))))</f>
        <v>5</v>
      </c>
      <c r="EN8">
        <f>IF(Evalucion!EO6=Datos!$C$15,Datos!$D$15,IF(Evalucion!EO6=Datos!$C$16,Datos!$D$16,IF(Evalucion!EO6=Datos!$C$17,Datos!$D$17,IF(Evalucion!EO6=Datos!$C$18,Datos!$D$18,IF(Evalucion!EO6=Datos!$C$19,Datos!$D$19,"=")))))</f>
        <v>5</v>
      </c>
      <c r="EO8">
        <f>IF(Evalucion!EP6=Datos!$C$15,Datos!$D$15,IF(Evalucion!EP6=Datos!$C$16,Datos!$D$16,IF(Evalucion!EP6=Datos!$C$17,Datos!$D$17,IF(Evalucion!EP6=Datos!$C$18,Datos!$D$18,IF(Evalucion!EP6=Datos!$C$19,Datos!$D$19,"=")))))</f>
        <v>5</v>
      </c>
      <c r="EP8">
        <f>IF(Evalucion!EQ6=Datos!$C$15,Datos!$D$15,IF(Evalucion!EQ6=Datos!$C$16,Datos!$D$16,IF(Evalucion!EQ6=Datos!$C$17,Datos!$D$17,IF(Evalucion!EQ6=Datos!$C$18,Datos!$D$18,IF(Evalucion!EQ6=Datos!$C$19,Datos!$D$19,"=")))))</f>
        <v>5</v>
      </c>
      <c r="EQ8">
        <f>IF(Evalucion!ER6=Datos!$C$15,Datos!$D$15,IF(Evalucion!ER6=Datos!$C$16,Datos!$D$16,IF(Evalucion!ER6=Datos!$C$17,Datos!$D$17,IF(Evalucion!ER6=Datos!$C$18,Datos!$D$18,IF(Evalucion!ER6=Datos!$C$19,Datos!$D$19,"=")))))</f>
        <v>5</v>
      </c>
      <c r="ER8">
        <f>IF(Evalucion!ES6=Datos!$C$15,Datos!$D$15,IF(Evalucion!ES6=Datos!$C$16,Datos!$D$16,IF(Evalucion!ES6=Datos!$C$17,Datos!$D$17,IF(Evalucion!ES6=Datos!$C$18,Datos!$D$18,IF(Evalucion!ES6=Datos!$C$19,Datos!$D$19,"=")))))</f>
        <v>5</v>
      </c>
      <c r="ES8">
        <f>IF(Evalucion!ET6=Datos!$C$15,Datos!$D$15,IF(Evalucion!ET6=Datos!$C$16,Datos!$D$16,IF(Evalucion!ET6=Datos!$C$17,Datos!$D$17,IF(Evalucion!ET6=Datos!$C$18,Datos!$D$18,IF(Evalucion!ET6=Datos!$C$19,Datos!$D$19,"=")))))</f>
        <v>5</v>
      </c>
      <c r="ET8">
        <f>IF(Evalucion!EU6=Datos!$C$15,Datos!$D$15,IF(Evalucion!EU6=Datos!$C$16,Datos!$D$16,IF(Evalucion!EU6=Datos!$C$17,Datos!$D$17,IF(Evalucion!EU6=Datos!$C$18,Datos!$D$18,IF(Evalucion!EU6=Datos!$C$19,Datos!$D$19,"=")))))</f>
        <v>5</v>
      </c>
      <c r="EU8">
        <f>IF(Evalucion!EV6=Datos!$C$15,Datos!$D$15,IF(Evalucion!EV6=Datos!$C$16,Datos!$D$16,IF(Evalucion!EV6=Datos!$C$17,Datos!$D$17,IF(Evalucion!EV6=Datos!$C$18,Datos!$D$18,IF(Evalucion!EV6=Datos!$C$19,Datos!$D$19,"=")))))</f>
        <v>1</v>
      </c>
      <c r="EV8">
        <f>IF(Evalucion!EW6=Datos!$C$15,Datos!$D$15,IF(Evalucion!EW6=Datos!$C$16,Datos!$D$16,IF(Evalucion!EW6=Datos!$C$17,Datos!$D$17,IF(Evalucion!EW6=Datos!$C$18,Datos!$D$18,IF(Evalucion!EW6=Datos!$C$19,Datos!$D$19,"=")))))</f>
        <v>5</v>
      </c>
      <c r="EW8">
        <f>IF(Evalucion!EX6=Datos!$C$15,Datos!$D$15,IF(Evalucion!EX6=Datos!$C$16,Datos!$D$16,IF(Evalucion!EX6=Datos!$C$17,Datos!$D$17,IF(Evalucion!EX6=Datos!$C$18,Datos!$D$18,IF(Evalucion!EX6=Datos!$C$19,Datos!$D$19,"=")))))</f>
        <v>5</v>
      </c>
      <c r="EX8">
        <f>IF(Evalucion!EY6=Datos!$C$15,Datos!$D$15,IF(Evalucion!EY6=Datos!$C$16,Datos!$D$16,IF(Evalucion!EY6=Datos!$C$17,Datos!$D$17,IF(Evalucion!EY6=Datos!$C$18,Datos!$D$18,IF(Evalucion!EY6=Datos!$C$19,Datos!$D$19,"=")))))</f>
        <v>5</v>
      </c>
      <c r="EY8">
        <f>IF(Evalucion!EZ6=Datos!$C$15,Datos!$D$15,IF(Evalucion!EZ6=Datos!$C$16,Datos!$D$16,IF(Evalucion!EZ6=Datos!$C$17,Datos!$D$17,IF(Evalucion!EZ6=Datos!$C$18,Datos!$D$18,IF(Evalucion!EZ6=Datos!$C$19,Datos!$D$19,"=")))))</f>
        <v>3</v>
      </c>
      <c r="FA8">
        <f t="shared" si="3"/>
        <v>335</v>
      </c>
      <c r="FB8">
        <f t="shared" si="3"/>
        <v>321</v>
      </c>
      <c r="FC8" s="3">
        <f t="shared" si="4"/>
        <v>0.85599999999999998</v>
      </c>
      <c r="FD8" t="str">
        <f t="shared" si="0"/>
        <v>Conf_CR</v>
      </c>
      <c r="FF8">
        <f t="shared" ref="FF8:FF52" si="5">SUM(E8:EY8)</f>
        <v>656</v>
      </c>
      <c r="FG8">
        <f t="shared" ref="FG8:FG52" si="6">FF8-FB8-FA8</f>
        <v>0</v>
      </c>
    </row>
    <row r="9" spans="1:167" x14ac:dyDescent="0.2">
      <c r="A9">
        <v>6</v>
      </c>
      <c r="B9" t="s">
        <v>250</v>
      </c>
      <c r="C9" t="s">
        <v>193</v>
      </c>
      <c r="D9" s="1">
        <v>43188</v>
      </c>
      <c r="E9">
        <f>IF(Evalucion!F7=Datos!$C$15,Datos!$D$15,IF(Evalucion!F7=Datos!$C$16,Datos!$D$16,IF(Evalucion!F7=Datos!$C$17,Datos!$D$17,IF(Evalucion!F7=Datos!$C$18,Datos!$D$18,IF(Evalucion!F7=Datos!$C$19,Datos!$D$19,"=")))))</f>
        <v>5</v>
      </c>
      <c r="F9">
        <f>IF(Evalucion!G7=Datos!$C$15,Datos!$D$15,IF(Evalucion!G7=Datos!$C$16,Datos!$D$16,IF(Evalucion!G7=Datos!$C$17,Datos!$D$17,IF(Evalucion!G7=Datos!$C$18,Datos!$D$18,IF(Evalucion!G7=Datos!$C$19,Datos!$D$19,"=")))))</f>
        <v>5</v>
      </c>
      <c r="G9">
        <f>IF(Evalucion!H7=Datos!$C$15,Datos!$D$15,IF(Evalucion!H7=Datos!$C$16,Datos!$D$16,IF(Evalucion!H7=Datos!$C$17,Datos!$D$17,IF(Evalucion!H7=Datos!$C$18,Datos!$D$18,IF(Evalucion!H7=Datos!$C$19,Datos!$D$19,"=")))))</f>
        <v>5</v>
      </c>
      <c r="H9">
        <f>IF(Evalucion!I7=Datos!$C$15,Datos!$D$15,IF(Evalucion!I7=Datos!$C$16,Datos!$D$16,IF(Evalucion!I7=Datos!$C$17,Datos!$D$17,IF(Evalucion!I7=Datos!$C$18,Datos!$D$18,IF(Evalucion!I7=Datos!$C$19,Datos!$D$19,"=")))))</f>
        <v>5</v>
      </c>
      <c r="I9">
        <f>IF(Evalucion!J7=Datos!$C$15,Datos!$D$15,IF(Evalucion!J7=Datos!$C$16,Datos!$D$16,IF(Evalucion!J7=Datos!$C$17,Datos!$D$17,IF(Evalucion!J7=Datos!$C$18,Datos!$D$18,IF(Evalucion!J7=Datos!$C$19,Datos!$D$19,"=")))))</f>
        <v>5</v>
      </c>
      <c r="J9">
        <f>IF(Evalucion!K7=Datos!$C$15,Datos!$D$15,IF(Evalucion!K7=Datos!$C$16,Datos!$D$16,IF(Evalucion!K7=Datos!$C$17,Datos!$D$17,IF(Evalucion!K7=Datos!$C$18,Datos!$D$18,IF(Evalucion!K7=Datos!$C$19,Datos!$D$19,"=")))))</f>
        <v>5</v>
      </c>
      <c r="K9">
        <f>IF(Evalucion!L7=Datos!$C$15,Datos!$D$15,IF(Evalucion!L7=Datos!$C$16,Datos!$D$16,IF(Evalucion!L7=Datos!$C$17,Datos!$D$17,IF(Evalucion!L7=Datos!$C$18,Datos!$D$18,IF(Evalucion!L7=Datos!$C$19,Datos!$D$19,"=")))))</f>
        <v>5</v>
      </c>
      <c r="L9">
        <f>IF(Evalucion!M7=Datos!$C$15,Datos!$D$15,IF(Evalucion!M7=Datos!$C$16,Datos!$D$16,IF(Evalucion!M7=Datos!$C$17,Datos!$D$17,IF(Evalucion!M7=Datos!$C$18,Datos!$D$18,IF(Evalucion!M7=Datos!$C$19,Datos!$D$19,"=")))))</f>
        <v>5</v>
      </c>
      <c r="M9">
        <f>IF(Evalucion!N7=Datos!$C$15,Datos!$D$15,IF(Evalucion!N7=Datos!$C$16,Datos!$D$16,IF(Evalucion!N7=Datos!$C$17,Datos!$D$17,IF(Evalucion!N7=Datos!$C$18,Datos!$D$18,IF(Evalucion!N7=Datos!$C$19,Datos!$D$19,"=")))))</f>
        <v>5</v>
      </c>
      <c r="N9">
        <f>IF(Evalucion!O7=Datos!$C$15,Datos!$D$15,IF(Evalucion!O7=Datos!$C$16,Datos!$D$16,IF(Evalucion!O7=Datos!$C$17,Datos!$D$17,IF(Evalucion!O7=Datos!$C$18,Datos!$D$18,IF(Evalucion!O7=Datos!$C$19,Datos!$D$19,"=")))))</f>
        <v>5</v>
      </c>
      <c r="O9">
        <f>IF(Evalucion!P7=Datos!$C$15,Datos!$D$15,IF(Evalucion!P7=Datos!$C$16,Datos!$D$16,IF(Evalucion!P7=Datos!$C$17,Datos!$D$17,IF(Evalucion!P7=Datos!$C$18,Datos!$D$18,IF(Evalucion!P7=Datos!$C$19,Datos!$D$19,"=")))))</f>
        <v>5</v>
      </c>
      <c r="P9">
        <f>IF(Evalucion!Q7=Datos!$C$15,Datos!$D$15,IF(Evalucion!Q7=Datos!$C$16,Datos!$D$16,IF(Evalucion!Q7=Datos!$C$17,Datos!$D$17,IF(Evalucion!Q7=Datos!$C$18,Datos!$D$18,IF(Evalucion!Q7=Datos!$C$19,Datos!$D$19,"=")))))</f>
        <v>1</v>
      </c>
      <c r="Q9">
        <f>IF(Evalucion!R7=Datos!$C$15,Datos!$D$15,IF(Evalucion!R7=Datos!$C$16,Datos!$D$16,IF(Evalucion!R7=Datos!$C$17,Datos!$D$17,IF(Evalucion!R7=Datos!$C$18,Datos!$D$18,IF(Evalucion!R7=Datos!$C$19,Datos!$D$19,"=")))))</f>
        <v>5</v>
      </c>
      <c r="R9">
        <f>IF(Evalucion!S7=Datos!$C$15,Datos!$D$15,IF(Evalucion!S7=Datos!$C$16,Datos!$D$16,IF(Evalucion!S7=Datos!$C$17,Datos!$D$17,IF(Evalucion!S7=Datos!$C$18,Datos!$D$18,IF(Evalucion!S7=Datos!$C$19,Datos!$D$19,"=")))))</f>
        <v>5</v>
      </c>
      <c r="S9">
        <f>IF(Evalucion!T7=Datos!$C$15,Datos!$D$15,IF(Evalucion!T7=Datos!$C$16,Datos!$D$16,IF(Evalucion!T7=Datos!$C$17,Datos!$D$17,IF(Evalucion!T7=Datos!$C$18,Datos!$D$18,IF(Evalucion!T7=Datos!$C$19,Datos!$D$19,"=")))))</f>
        <v>5</v>
      </c>
      <c r="T9">
        <f>IF(Evalucion!U7=Datos!$C$15,Datos!$D$15,IF(Evalucion!U7=Datos!$C$16,Datos!$D$16,IF(Evalucion!U7=Datos!$C$17,Datos!$D$17,IF(Evalucion!U7=Datos!$C$18,Datos!$D$18,IF(Evalucion!U7=Datos!$C$19,Datos!$D$19,"=")))))</f>
        <v>5</v>
      </c>
      <c r="U9">
        <f>IF(Evalucion!V7=Datos!$C$15,Datos!$D$15,IF(Evalucion!V7=Datos!$C$16,Datos!$D$16,IF(Evalucion!V7=Datos!$C$17,Datos!$D$17,IF(Evalucion!V7=Datos!$C$18,Datos!$D$18,IF(Evalucion!V7=Datos!$C$19,Datos!$D$19,"=")))))</f>
        <v>5</v>
      </c>
      <c r="V9">
        <f>IF(Evalucion!W7=Datos!$C$15,Datos!$D$15,IF(Evalucion!W7=Datos!$C$16,Datos!$D$16,IF(Evalucion!W7=Datos!$C$17,Datos!$D$17,IF(Evalucion!W7=Datos!$C$18,Datos!$D$18,IF(Evalucion!W7=Datos!$C$19,Datos!$D$19,"=")))))</f>
        <v>5</v>
      </c>
      <c r="W9">
        <f>IF(Evalucion!X7=Datos!$C$15,Datos!$D$15,IF(Evalucion!X7=Datos!$C$16,Datos!$D$16,IF(Evalucion!X7=Datos!$C$17,Datos!$D$17,IF(Evalucion!X7=Datos!$C$18,Datos!$D$18,IF(Evalucion!X7=Datos!$C$19,Datos!$D$19,"=")))))</f>
        <v>5</v>
      </c>
      <c r="X9">
        <f>IF(Evalucion!Y7=Datos!$C$15,Datos!$D$15,IF(Evalucion!Y7=Datos!$C$16,Datos!$D$16,IF(Evalucion!Y7=Datos!$C$17,Datos!$D$17,IF(Evalucion!Y7=Datos!$C$18,Datos!$D$18,IF(Evalucion!Y7=Datos!$C$19,Datos!$D$19,"=")))))</f>
        <v>5</v>
      </c>
      <c r="Y9">
        <f>IF(Evalucion!Z7=Datos!$C$15,Datos!$D$15,IF(Evalucion!Z7=Datos!$C$16,Datos!$D$16,IF(Evalucion!Z7=Datos!$C$17,Datos!$D$17,IF(Evalucion!Z7=Datos!$C$18,Datos!$D$18,IF(Evalucion!Z7=Datos!$C$19,Datos!$D$19,"=")))))</f>
        <v>5</v>
      </c>
      <c r="Z9">
        <f>IF(Evalucion!AA7=Datos!$C$15,Datos!$D$15,IF(Evalucion!AA7=Datos!$C$16,Datos!$D$16,IF(Evalucion!AA7=Datos!$C$17,Datos!$D$17,IF(Evalucion!AA7=Datos!$C$18,Datos!$D$18,IF(Evalucion!AA7=Datos!$C$19,Datos!$D$19,"=")))))</f>
        <v>5</v>
      </c>
      <c r="AA9">
        <f>IF(Evalucion!AB7=Datos!$C$15,Datos!$D$15,IF(Evalucion!AB7=Datos!$C$16,Datos!$D$16,IF(Evalucion!AB7=Datos!$C$17,Datos!$D$17,IF(Evalucion!AB7=Datos!$C$18,Datos!$D$18,IF(Evalucion!AB7=Datos!$C$19,Datos!$D$19,"=")))))</f>
        <v>5</v>
      </c>
      <c r="AB9">
        <f>IF(Evalucion!AC7=Datos!$C$15,Datos!$D$15,IF(Evalucion!AC7=Datos!$C$16,Datos!$D$16,IF(Evalucion!AC7=Datos!$C$17,Datos!$D$17,IF(Evalucion!AC7=Datos!$C$18,Datos!$D$18,IF(Evalucion!AC7=Datos!$C$19,Datos!$D$19,"=")))))</f>
        <v>5</v>
      </c>
      <c r="AC9">
        <f>IF(Evalucion!AD7=Datos!$C$15,Datos!$D$15,IF(Evalucion!AD7=Datos!$C$16,Datos!$D$16,IF(Evalucion!AD7=Datos!$C$17,Datos!$D$17,IF(Evalucion!AD7=Datos!$C$18,Datos!$D$18,IF(Evalucion!AD7=Datos!$C$19,Datos!$D$19,"=")))))</f>
        <v>5</v>
      </c>
      <c r="AD9">
        <f>IF(Evalucion!AE7=Datos!$C$15,Datos!$D$15,IF(Evalucion!AE7=Datos!$C$16,Datos!$D$16,IF(Evalucion!AE7=Datos!$C$17,Datos!$D$17,IF(Evalucion!AE7=Datos!$C$18,Datos!$D$18,IF(Evalucion!AE7=Datos!$C$19,Datos!$D$19,"=")))))</f>
        <v>3</v>
      </c>
      <c r="AE9">
        <f>IF(Evalucion!AF7=Datos!$C$15,Datos!$D$15,IF(Evalucion!AF7=Datos!$C$16,Datos!$D$16,IF(Evalucion!AF7=Datos!$C$17,Datos!$D$17,IF(Evalucion!AF7=Datos!$C$18,Datos!$D$18,IF(Evalucion!AF7=Datos!$C$19,Datos!$D$19,"=")))))</f>
        <v>5</v>
      </c>
      <c r="AF9">
        <f>IF(Evalucion!AG7=Datos!$C$15,Datos!$D$15,IF(Evalucion!AG7=Datos!$C$16,Datos!$D$16,IF(Evalucion!AG7=Datos!$C$17,Datos!$D$17,IF(Evalucion!AG7=Datos!$C$18,Datos!$D$18,IF(Evalucion!AG7=Datos!$C$19,Datos!$D$19,"=")))))</f>
        <v>5</v>
      </c>
      <c r="AO9">
        <f>IF(Evalucion!AP7=Datos!$C$15,Datos!$D$15,IF(Evalucion!AP7=Datos!$C$16,Datos!$D$16,IF(Evalucion!AP7=Datos!$C$17,Datos!$D$17,IF(Evalucion!AP7=Datos!$C$18,Datos!$D$18,IF(Evalucion!AP7=Datos!$C$19,Datos!$D$19,"=")))))</f>
        <v>5</v>
      </c>
      <c r="AP9">
        <f>IF(Evalucion!AQ7=Datos!$C$15,Datos!$D$15,IF(Evalucion!AQ7=Datos!$C$16,Datos!$D$16,IF(Evalucion!AQ7=Datos!$C$17,Datos!$D$17,IF(Evalucion!AQ7=Datos!$C$18,Datos!$D$18,IF(Evalucion!AQ7=Datos!$C$19,Datos!$D$19,"=")))))</f>
        <v>3</v>
      </c>
      <c r="AQ9">
        <f>IF(Evalucion!AR7=Datos!$C$15,Datos!$D$15,IF(Evalucion!AR7=Datos!$C$16,Datos!$D$16,IF(Evalucion!AR7=Datos!$C$17,Datos!$D$17,IF(Evalucion!AR7=Datos!$C$18,Datos!$D$18,IF(Evalucion!AR7=Datos!$C$19,Datos!$D$19,"=")))))</f>
        <v>1</v>
      </c>
      <c r="AR9">
        <f>IF(Evalucion!AS7=Datos!$C$15,Datos!$D$15,IF(Evalucion!AS7=Datos!$C$16,Datos!$D$16,IF(Evalucion!AS7=Datos!$C$17,Datos!$D$17,IF(Evalucion!AS7=Datos!$C$18,Datos!$D$18,IF(Evalucion!AS7=Datos!$C$19,Datos!$D$19,"=")))))</f>
        <v>1</v>
      </c>
      <c r="AS9">
        <f>IF(Evalucion!AT7=Datos!$C$15,Datos!$D$15,IF(Evalucion!AT7=Datos!$C$16,Datos!$D$16,IF(Evalucion!AT7=Datos!$C$17,Datos!$D$17,IF(Evalucion!AT7=Datos!$C$18,Datos!$D$18,IF(Evalucion!AT7=Datos!$C$19,Datos!$D$19,"=")))))</f>
        <v>1</v>
      </c>
      <c r="AT9">
        <f>IF(Evalucion!AU7=Datos!$C$15,Datos!$D$15,IF(Evalucion!AU7=Datos!$C$16,Datos!$D$16,IF(Evalucion!AU7=Datos!$C$17,Datos!$D$17,IF(Evalucion!AU7=Datos!$C$18,Datos!$D$18,IF(Evalucion!AU7=Datos!$C$19,Datos!$D$19,"=")))))</f>
        <v>5</v>
      </c>
      <c r="AV9">
        <f>IF(Evalucion!AW7=Datos!$C$15,Datos!$D$15,IF(Evalucion!AW7=Datos!$C$16,Datos!$D$16,IF(Evalucion!AW7=Datos!$C$17,Datos!$D$17,IF(Evalucion!AW7=Datos!$C$18,Datos!$D$18,IF(Evalucion!AW7=Datos!$C$19,Datos!$D$19,"=")))))</f>
        <v>1</v>
      </c>
      <c r="AW9">
        <f>IF(Evalucion!AX7=Datos!$C$15,Datos!$D$15,IF(Evalucion!AX7=Datos!$C$16,Datos!$D$16,IF(Evalucion!AX7=Datos!$C$17,Datos!$D$17,IF(Evalucion!AX7=Datos!$C$18,Datos!$D$18,IF(Evalucion!AX7=Datos!$C$19,Datos!$D$19,"=")))))</f>
        <v>5</v>
      </c>
      <c r="AX9">
        <f>IF(Evalucion!AY7=Datos!$C$15,Datos!$D$15,IF(Evalucion!AY7=Datos!$C$16,Datos!$D$16,IF(Evalucion!AY7=Datos!$C$17,Datos!$D$17,IF(Evalucion!AY7=Datos!$C$18,Datos!$D$18,IF(Evalucion!AY7=Datos!$C$19,Datos!$D$19,"=")))))</f>
        <v>5</v>
      </c>
      <c r="AY9">
        <f>IF(Evalucion!AZ7=Datos!$C$15,Datos!$D$15,IF(Evalucion!AZ7=Datos!$C$16,Datos!$D$16,IF(Evalucion!AZ7=Datos!$C$17,Datos!$D$17,IF(Evalucion!AZ7=Datos!$C$18,Datos!$D$18,IF(Evalucion!AZ7=Datos!$C$19,Datos!$D$19,"=")))))</f>
        <v>5</v>
      </c>
      <c r="AZ9">
        <f>IF(Evalucion!BA7=Datos!$C$15,Datos!$D$15,IF(Evalucion!BA7=Datos!$C$16,Datos!$D$16,IF(Evalucion!BA7=Datos!$C$17,Datos!$D$17,IF(Evalucion!BA7=Datos!$C$18,Datos!$D$18,IF(Evalucion!BA7=Datos!$C$19,Datos!$D$19,"=")))))</f>
        <v>5</v>
      </c>
      <c r="BA9">
        <f>IF(Evalucion!BB7=Datos!$C$15,Datos!$D$15,IF(Evalucion!BB7=Datos!$C$16,Datos!$D$16,IF(Evalucion!BB7=Datos!$C$17,Datos!$D$17,IF(Evalucion!BB7=Datos!$C$18,Datos!$D$18,IF(Evalucion!BB7=Datos!$C$19,Datos!$D$19,"=")))))</f>
        <v>5</v>
      </c>
      <c r="BB9">
        <f>IF(Evalucion!BC7=Datos!$C$15,Datos!$D$15,IF(Evalucion!BC7=Datos!$C$16,Datos!$D$16,IF(Evalucion!BC7=Datos!$C$17,Datos!$D$17,IF(Evalucion!BC7=Datos!$C$18,Datos!$D$18,IF(Evalucion!BC7=Datos!$C$19,Datos!$D$19,"=")))))</f>
        <v>1</v>
      </c>
      <c r="BC9">
        <f>IF(Evalucion!BD7=Datos!$C$15,Datos!$D$15,IF(Evalucion!BD7=Datos!$C$16,Datos!$D$16,IF(Evalucion!BD7=Datos!$C$17,Datos!$D$17,IF(Evalucion!BD7=Datos!$C$18,Datos!$D$18,IF(Evalucion!BD7=Datos!$C$19,Datos!$D$19,"=")))))</f>
        <v>1</v>
      </c>
      <c r="BD9">
        <f>IF(Evalucion!BE7=Datos!$C$15,Datos!$D$15,IF(Evalucion!BE7=Datos!$C$16,Datos!$D$16,IF(Evalucion!BE7=Datos!$C$17,Datos!$D$17,IF(Evalucion!BE7=Datos!$C$18,Datos!$D$18,IF(Evalucion!BE7=Datos!$C$19,Datos!$D$19,"=")))))</f>
        <v>1</v>
      </c>
      <c r="BE9">
        <f>IF(Evalucion!BF7=Datos!$C$15,Datos!$D$15,IF(Evalucion!BF7=Datos!$C$16,Datos!$D$16,IF(Evalucion!BF7=Datos!$C$17,Datos!$D$17,IF(Evalucion!BF7=Datos!$C$18,Datos!$D$18,IF(Evalucion!BF7=Datos!$C$19,Datos!$D$19,"=")))))</f>
        <v>1</v>
      </c>
      <c r="BF9">
        <f>IF(Evalucion!BG7=Datos!$C$15,Datos!$D$15,IF(Evalucion!BG7=Datos!$C$16,Datos!$D$16,IF(Evalucion!BG7=Datos!$C$17,Datos!$D$17,IF(Evalucion!BG7=Datos!$C$18,Datos!$D$18,IF(Evalucion!BG7=Datos!$C$19,Datos!$D$19,"=")))))</f>
        <v>5</v>
      </c>
      <c r="BG9">
        <f>IF(Evalucion!BH7=Datos!$C$15,Datos!$D$15,IF(Evalucion!BH7=Datos!$C$16,Datos!$D$16,IF(Evalucion!BH7=Datos!$C$17,Datos!$D$17,IF(Evalucion!BH7=Datos!$C$18,Datos!$D$18,IF(Evalucion!BH7=Datos!$C$19,Datos!$D$19,"=")))))</f>
        <v>5</v>
      </c>
      <c r="BH9">
        <f>IF(Evalucion!BI7=Datos!$C$15,Datos!$D$15,IF(Evalucion!BI7=Datos!$C$16,Datos!$D$16,IF(Evalucion!BI7=Datos!$C$17,Datos!$D$17,IF(Evalucion!BI7=Datos!$C$18,Datos!$D$18,IF(Evalucion!BI7=Datos!$C$19,Datos!$D$19,"=")))))</f>
        <v>5</v>
      </c>
      <c r="BI9">
        <f>IF(Evalucion!BJ7=Datos!$C$15,Datos!$D$15,IF(Evalucion!BJ7=Datos!$C$16,Datos!$D$16,IF(Evalucion!BJ7=Datos!$C$17,Datos!$D$17,IF(Evalucion!BJ7=Datos!$C$18,Datos!$D$18,IF(Evalucion!BJ7=Datos!$C$19,Datos!$D$19,"=")))))</f>
        <v>3</v>
      </c>
      <c r="BJ9">
        <f>IF(Evalucion!BK7=Datos!$C$15,Datos!$D$15,IF(Evalucion!BK7=Datos!$C$16,Datos!$D$16,IF(Evalucion!BK7=Datos!$C$17,Datos!$D$17,IF(Evalucion!BK7=Datos!$C$18,Datos!$D$18,IF(Evalucion!BK7=Datos!$C$19,Datos!$D$19,"=")))))</f>
        <v>1</v>
      </c>
      <c r="BK9">
        <f>IF(Evalucion!BL7=Datos!$C$15,Datos!$D$15,IF(Evalucion!BL7=Datos!$C$16,Datos!$D$16,IF(Evalucion!BL7=Datos!$C$17,Datos!$D$17,IF(Evalucion!BL7=Datos!$C$18,Datos!$D$18,IF(Evalucion!BL7=Datos!$C$19,Datos!$D$19,"=")))))</f>
        <v>1</v>
      </c>
      <c r="BL9">
        <f>IF(Evalucion!BM7=Datos!$C$15,Datos!$D$15,IF(Evalucion!BM7=Datos!$C$16,Datos!$D$16,IF(Evalucion!BM7=Datos!$C$17,Datos!$D$17,IF(Evalucion!BM7=Datos!$C$18,Datos!$D$18,IF(Evalucion!BM7=Datos!$C$19,Datos!$D$19,"=")))))</f>
        <v>1</v>
      </c>
      <c r="BM9">
        <f>IF(Evalucion!BN7=Datos!$C$15,Datos!$D$15,IF(Evalucion!BN7=Datos!$C$16,Datos!$D$16,IF(Evalucion!BN7=Datos!$C$17,Datos!$D$17,IF(Evalucion!BN7=Datos!$C$18,Datos!$D$18,IF(Evalucion!BN7=Datos!$C$19,Datos!$D$19,"=")))))</f>
        <v>1</v>
      </c>
      <c r="BN9">
        <f>IF(Evalucion!BO7=Datos!$C$15,Datos!$D$15,IF(Evalucion!BO7=Datos!$C$16,Datos!$D$16,IF(Evalucion!BO7=Datos!$C$17,Datos!$D$17,IF(Evalucion!BO7=Datos!$C$18,Datos!$D$18,IF(Evalucion!BO7=Datos!$C$19,Datos!$D$19,"=")))))</f>
        <v>5</v>
      </c>
      <c r="BO9">
        <f>IF(Evalucion!BP7=Datos!$C$15,Datos!$D$15,IF(Evalucion!BP7=Datos!$C$16,Datos!$D$16,IF(Evalucion!BP7=Datos!$C$17,Datos!$D$17,IF(Evalucion!BP7=Datos!$C$18,Datos!$D$18,IF(Evalucion!BP7=Datos!$C$19,Datos!$D$19,"=")))))</f>
        <v>5</v>
      </c>
      <c r="BP9">
        <f>IF(Evalucion!BQ7=Datos!$C$15,Datos!$D$15,IF(Evalucion!BQ7=Datos!$C$16,Datos!$D$16,IF(Evalucion!BQ7=Datos!$C$17,Datos!$D$17,IF(Evalucion!BQ7=Datos!$C$18,Datos!$D$18,IF(Evalucion!BQ7=Datos!$C$19,Datos!$D$19,"=")))))</f>
        <v>1</v>
      </c>
      <c r="BQ9">
        <f>IF(Evalucion!BR7=Datos!$C$15,Datos!$D$15,IF(Evalucion!BR7=Datos!$C$16,Datos!$D$16,IF(Evalucion!BR7=Datos!$C$17,Datos!$D$17,IF(Evalucion!BR7=Datos!$C$18,Datos!$D$18,IF(Evalucion!BR7=Datos!$C$19,Datos!$D$19,"=")))))</f>
        <v>1</v>
      </c>
      <c r="BR9">
        <f>IF(Evalucion!BS7=Datos!$C$15,Datos!$D$15,IF(Evalucion!BS7=Datos!$C$16,Datos!$D$16,IF(Evalucion!BS7=Datos!$C$17,Datos!$D$17,IF(Evalucion!BS7=Datos!$C$18,Datos!$D$18,IF(Evalucion!BS7=Datos!$C$19,Datos!$D$19,"=")))))</f>
        <v>1</v>
      </c>
      <c r="BS9">
        <f>IF(Evalucion!BT7=Datos!$C$15,Datos!$D$15,IF(Evalucion!BT7=Datos!$C$16,Datos!$D$16,IF(Evalucion!BT7=Datos!$C$17,Datos!$D$17,IF(Evalucion!BT7=Datos!$C$18,Datos!$D$18,IF(Evalucion!BT7=Datos!$C$19,Datos!$D$19,"=")))))</f>
        <v>3</v>
      </c>
      <c r="BT9">
        <f>IF(Evalucion!BU7=Datos!$C$15,Datos!$D$15,IF(Evalucion!BU7=Datos!$C$16,Datos!$D$16,IF(Evalucion!BU7=Datos!$C$17,Datos!$D$17,IF(Evalucion!BU7=Datos!$C$18,Datos!$D$18,IF(Evalucion!BU7=Datos!$C$19,Datos!$D$19,"=")))))</f>
        <v>1</v>
      </c>
      <c r="BU9">
        <f>IF(Evalucion!BV7=Datos!$C$15,Datos!$D$15,IF(Evalucion!BV7=Datos!$C$16,Datos!$D$16,IF(Evalucion!BV7=Datos!$C$17,Datos!$D$17,IF(Evalucion!BV7=Datos!$C$18,Datos!$D$18,IF(Evalucion!BV7=Datos!$C$19,Datos!$D$19,"=")))))</f>
        <v>1</v>
      </c>
      <c r="BV9">
        <f>IF(Evalucion!BW7=Datos!$C$15,Datos!$D$15,IF(Evalucion!BW7=Datos!$C$16,Datos!$D$16,IF(Evalucion!BW7=Datos!$C$17,Datos!$D$17,IF(Evalucion!BW7=Datos!$C$18,Datos!$D$18,IF(Evalucion!BW7=Datos!$C$19,Datos!$D$19,"=")))))</f>
        <v>5</v>
      </c>
      <c r="BW9">
        <f>IF(Evalucion!BX7=Datos!$C$15,Datos!$D$15,IF(Evalucion!BX7=Datos!$C$16,Datos!$D$16,IF(Evalucion!BX7=Datos!$C$17,Datos!$D$17,IF(Evalucion!BX7=Datos!$C$18,Datos!$D$18,IF(Evalucion!BX7=Datos!$C$19,Datos!$D$19,"=")))))</f>
        <v>5</v>
      </c>
      <c r="BX9">
        <f>IF(Evalucion!BY7=Datos!$C$15,Datos!$D$15,IF(Evalucion!BY7=Datos!$C$16,Datos!$D$16,IF(Evalucion!BY7=Datos!$C$17,Datos!$D$17,IF(Evalucion!BY7=Datos!$C$18,Datos!$D$18,IF(Evalucion!BY7=Datos!$C$19,Datos!$D$19,"=")))))</f>
        <v>5</v>
      </c>
      <c r="BY9">
        <f>IF(Evalucion!BZ7=Datos!$C$15,Datos!$D$15,IF(Evalucion!BZ7=Datos!$C$16,Datos!$D$16,IF(Evalucion!BZ7=Datos!$C$17,Datos!$D$17,IF(Evalucion!BZ7=Datos!$C$18,Datos!$D$18,IF(Evalucion!BZ7=Datos!$C$19,Datos!$D$19,"=")))))</f>
        <v>5</v>
      </c>
      <c r="BZ9">
        <f>IF(Evalucion!CA7=Datos!$C$15,Datos!$D$15,IF(Evalucion!CA7=Datos!$C$16,Datos!$D$16,IF(Evalucion!CA7=Datos!$C$17,Datos!$D$17,IF(Evalucion!CA7=Datos!$C$18,Datos!$D$18,IF(Evalucion!CA7=Datos!$C$19,Datos!$D$19,"=")))))</f>
        <v>5</v>
      </c>
      <c r="CA9">
        <f>IF(Evalucion!CB7=Datos!$C$15,Datos!$D$15,IF(Evalucion!CB7=Datos!$C$16,Datos!$D$16,IF(Evalucion!CB7=Datos!$C$17,Datos!$D$17,IF(Evalucion!CB7=Datos!$C$18,Datos!$D$18,IF(Evalucion!CB7=Datos!$C$19,Datos!$D$19,"=")))))</f>
        <v>5</v>
      </c>
      <c r="CB9">
        <f>IF(Evalucion!CC7=Datos!$C$15,Datos!$D$15,IF(Evalucion!CC7=Datos!$C$16,Datos!$D$16,IF(Evalucion!CC7=Datos!$C$17,Datos!$D$17,IF(Evalucion!CC7=Datos!$C$18,Datos!$D$18,IF(Evalucion!CC7=Datos!$C$19,Datos!$D$19,"=")))))</f>
        <v>5</v>
      </c>
      <c r="CC9">
        <f>IF(Evalucion!CD7=Datos!$C$15,Datos!$D$15,IF(Evalucion!CD7=Datos!$C$16,Datos!$D$16,IF(Evalucion!CD7=Datos!$C$17,Datos!$D$17,IF(Evalucion!CD7=Datos!$C$18,Datos!$D$18,IF(Evalucion!CD7=Datos!$C$19,Datos!$D$19,"=")))))</f>
        <v>5</v>
      </c>
      <c r="CD9">
        <f>IF(Evalucion!CE7=Datos!$C$15,Datos!$D$15,IF(Evalucion!CE7=Datos!$C$16,Datos!$D$16,IF(Evalucion!CE7=Datos!$C$17,Datos!$D$17,IF(Evalucion!CE7=Datos!$C$18,Datos!$D$18,IF(Evalucion!CE7=Datos!$C$19,Datos!$D$19,"=")))))</f>
        <v>5</v>
      </c>
      <c r="CE9">
        <f>IF(Evalucion!CF7=Datos!$C$15,Datos!$D$15,IF(Evalucion!CF7=Datos!$C$16,Datos!$D$16,IF(Evalucion!CF7=Datos!$C$17,Datos!$D$17,IF(Evalucion!CF7=Datos!$C$18,Datos!$D$18,IF(Evalucion!CF7=Datos!$C$19,Datos!$D$19,"=")))))</f>
        <v>3</v>
      </c>
      <c r="CF9">
        <f>IF(Evalucion!CG7=Datos!$C$15,Datos!$D$15,IF(Evalucion!CG7=Datos!$C$16,Datos!$D$16,IF(Evalucion!CG7=Datos!$C$17,Datos!$D$17,IF(Evalucion!CG7=Datos!$C$18,Datos!$D$18,IF(Evalucion!CG7=Datos!$C$19,Datos!$D$19,"=")))))</f>
        <v>1</v>
      </c>
      <c r="CG9">
        <f>IF(Evalucion!CH7=Datos!$C$15,Datos!$D$15,IF(Evalucion!CH7=Datos!$C$16,Datos!$D$16,IF(Evalucion!CH7=Datos!$C$17,Datos!$D$17,IF(Evalucion!CH7=Datos!$C$18,Datos!$D$18,IF(Evalucion!CH7=Datos!$C$19,Datos!$D$19,"=")))))</f>
        <v>1</v>
      </c>
      <c r="CH9">
        <f>IF(Evalucion!CI7=Datos!$C$15,Datos!$D$15,IF(Evalucion!CI7=Datos!$C$16,Datos!$D$16,IF(Evalucion!CI7=Datos!$C$17,Datos!$D$17,IF(Evalucion!CI7=Datos!$C$18,Datos!$D$18,IF(Evalucion!CI7=Datos!$C$19,Datos!$D$19,"=")))))</f>
        <v>5</v>
      </c>
      <c r="CI9">
        <f>IF(Evalucion!CJ7=Datos!$C$15,Datos!$D$15,IF(Evalucion!CJ7=Datos!$C$16,Datos!$D$16,IF(Evalucion!CJ7=Datos!$C$17,Datos!$D$17,IF(Evalucion!CJ7=Datos!$C$18,Datos!$D$18,IF(Evalucion!CJ7=Datos!$C$19,Datos!$D$19,"=")))))</f>
        <v>3</v>
      </c>
      <c r="CJ9">
        <f>IF(Evalucion!CK7=Datos!$C$15,Datos!$D$15,IF(Evalucion!CK7=Datos!$C$16,Datos!$D$16,IF(Evalucion!CK7=Datos!$C$17,Datos!$D$17,IF(Evalucion!CK7=Datos!$C$18,Datos!$D$18,IF(Evalucion!CK7=Datos!$C$19,Datos!$D$19,"=")))))</f>
        <v>5</v>
      </c>
      <c r="CK9">
        <f>IF(Evalucion!CL7=Datos!$C$15,Datos!$D$15,IF(Evalucion!CL7=Datos!$C$16,Datos!$D$16,IF(Evalucion!CL7=Datos!$C$17,Datos!$D$17,IF(Evalucion!CL7=Datos!$C$18,Datos!$D$18,IF(Evalucion!CL7=Datos!$C$19,Datos!$D$19,"=")))))</f>
        <v>5</v>
      </c>
      <c r="CL9">
        <f>IF(Evalucion!CM7=Datos!$C$15,Datos!$D$15,IF(Evalucion!CM7=Datos!$C$16,Datos!$D$16,IF(Evalucion!CM7=Datos!$C$17,Datos!$D$17,IF(Evalucion!CM7=Datos!$C$18,Datos!$D$18,IF(Evalucion!CM7=Datos!$C$19,Datos!$D$19,"=")))))</f>
        <v>5</v>
      </c>
      <c r="CM9">
        <f>IF(Evalucion!CN7=Datos!$C$15,Datos!$D$15,IF(Evalucion!CN7=Datos!$C$16,Datos!$D$16,IF(Evalucion!CN7=Datos!$C$17,Datos!$D$17,IF(Evalucion!CN7=Datos!$C$18,Datos!$D$18,IF(Evalucion!CN7=Datos!$C$19,Datos!$D$19,"=")))))</f>
        <v>3</v>
      </c>
      <c r="CN9">
        <f>IF(Evalucion!CO7=Datos!$C$15,Datos!$D$15,IF(Evalucion!CO7=Datos!$C$16,Datos!$D$16,IF(Evalucion!CO7=Datos!$C$17,Datos!$D$17,IF(Evalucion!CO7=Datos!$C$18,Datos!$D$18,IF(Evalucion!CO7=Datos!$C$19,Datos!$D$19,"=")))))</f>
        <v>5</v>
      </c>
      <c r="CO9">
        <f>IF(Evalucion!CP7=Datos!$C$15,Datos!$D$15,IF(Evalucion!CP7=Datos!$C$16,Datos!$D$16,IF(Evalucion!CP7=Datos!$C$17,Datos!$D$17,IF(Evalucion!CP7=Datos!$C$18,Datos!$D$18,IF(Evalucion!CP7=Datos!$C$19,Datos!$D$19,"=")))))</f>
        <v>5</v>
      </c>
      <c r="CP9">
        <f>IF(Evalucion!CQ7=Datos!$C$15,Datos!$D$15,IF(Evalucion!CQ7=Datos!$C$16,Datos!$D$16,IF(Evalucion!CQ7=Datos!$C$17,Datos!$D$17,IF(Evalucion!CQ7=Datos!$C$18,Datos!$D$18,IF(Evalucion!CQ7=Datos!$C$19,Datos!$D$19,"=")))))</f>
        <v>1</v>
      </c>
      <c r="CQ9">
        <f>IF(Evalucion!CR7=Datos!$C$15,Datos!$D$15,IF(Evalucion!CR7=Datos!$C$16,Datos!$D$16,IF(Evalucion!CR7=Datos!$C$17,Datos!$D$17,IF(Evalucion!CR7=Datos!$C$18,Datos!$D$18,IF(Evalucion!CR7=Datos!$C$19,Datos!$D$19,"=")))))</f>
        <v>1</v>
      </c>
      <c r="CR9">
        <f>IF(Evalucion!CS7=Datos!$C$15,Datos!$D$15,IF(Evalucion!CS7=Datos!$C$16,Datos!$D$16,IF(Evalucion!CS7=Datos!$C$17,Datos!$D$17,IF(Evalucion!CS7=Datos!$C$18,Datos!$D$18,IF(Evalucion!CS7=Datos!$C$19,Datos!$D$19,"=")))))</f>
        <v>5</v>
      </c>
      <c r="CS9">
        <f>IF(Evalucion!CT7=Datos!$C$15,Datos!$D$15,IF(Evalucion!CT7=Datos!$C$16,Datos!$D$16,IF(Evalucion!CT7=Datos!$C$17,Datos!$D$17,IF(Evalucion!CT7=Datos!$C$18,Datos!$D$18,IF(Evalucion!CT7=Datos!$C$19,Datos!$D$19,"=")))))</f>
        <v>3</v>
      </c>
      <c r="CT9">
        <f>IF(Evalucion!CU7=Datos!$C$15,Datos!$D$15,IF(Evalucion!CU7=Datos!$C$16,Datos!$D$16,IF(Evalucion!CU7=Datos!$C$17,Datos!$D$17,IF(Evalucion!CU7=Datos!$C$18,Datos!$D$18,IF(Evalucion!CU7=Datos!$C$19,Datos!$D$19,"=")))))</f>
        <v>1</v>
      </c>
      <c r="CU9">
        <f>IF(Evalucion!CV7=Datos!$C$15,Datos!$D$15,IF(Evalucion!CV7=Datos!$C$16,Datos!$D$16,IF(Evalucion!CV7=Datos!$C$17,Datos!$D$17,IF(Evalucion!CV7=Datos!$C$18,Datos!$D$18,IF(Evalucion!CV7=Datos!$C$19,Datos!$D$19,"=")))))</f>
        <v>1</v>
      </c>
      <c r="CV9">
        <f>IF(Evalucion!CW7=Datos!$C$15,Datos!$D$15,IF(Evalucion!CW7=Datos!$C$16,Datos!$D$16,IF(Evalucion!CW7=Datos!$C$17,Datos!$D$17,IF(Evalucion!CW7=Datos!$C$18,Datos!$D$18,IF(Evalucion!CW7=Datos!$C$19,Datos!$D$19,"=")))))</f>
        <v>5</v>
      </c>
      <c r="CW9">
        <f>IF(Evalucion!CX7=Datos!$C$15,Datos!$D$15,IF(Evalucion!CX7=Datos!$C$16,Datos!$D$16,IF(Evalucion!CX7=Datos!$C$17,Datos!$D$17,IF(Evalucion!CX7=Datos!$C$18,Datos!$D$18,IF(Evalucion!CX7=Datos!$C$19,Datos!$D$19,"=")))))</f>
        <v>1</v>
      </c>
      <c r="CX9">
        <f>IF(Evalucion!CY7=Datos!$C$15,Datos!$D$15,IF(Evalucion!CY7=Datos!$C$16,Datos!$D$16,IF(Evalucion!CY7=Datos!$C$17,Datos!$D$17,IF(Evalucion!CY7=Datos!$C$18,Datos!$D$18,IF(Evalucion!CY7=Datos!$C$19,Datos!$D$19,"=")))))</f>
        <v>5</v>
      </c>
      <c r="CY9">
        <f>IF(Evalucion!CZ7=Datos!$C$15,Datos!$D$15,IF(Evalucion!CZ7=Datos!$C$16,Datos!$D$16,IF(Evalucion!CZ7=Datos!$C$17,Datos!$D$17,IF(Evalucion!CZ7=Datos!$C$18,Datos!$D$18,IF(Evalucion!CZ7=Datos!$C$19,Datos!$D$19,"=")))))</f>
        <v>3</v>
      </c>
      <c r="CZ9">
        <f>IF(Evalucion!DA7=Datos!$C$15,Datos!$D$15,IF(Evalucion!DA7=Datos!$C$16,Datos!$D$16,IF(Evalucion!DA7=Datos!$C$17,Datos!$D$17,IF(Evalucion!DA7=Datos!$C$18,Datos!$D$18,IF(Evalucion!DA7=Datos!$C$19,Datos!$D$19,"=")))))</f>
        <v>1</v>
      </c>
      <c r="DA9">
        <f>IF(Evalucion!DB7=Datos!$C$15,Datos!$D$15,IF(Evalucion!DB7=Datos!$C$16,Datos!$D$16,IF(Evalucion!DB7=Datos!$C$17,Datos!$D$17,IF(Evalucion!DB7=Datos!$C$18,Datos!$D$18,IF(Evalucion!DB7=Datos!$C$19,Datos!$D$19,"=")))))</f>
        <v>1</v>
      </c>
      <c r="DB9">
        <f>IF(Evalucion!DC7=Datos!$C$15,Datos!$D$15,IF(Evalucion!DC7=Datos!$C$16,Datos!$D$16,IF(Evalucion!DC7=Datos!$C$17,Datos!$D$17,IF(Evalucion!DC7=Datos!$C$18,Datos!$D$18,IF(Evalucion!DC7=Datos!$C$19,Datos!$D$19,"=")))))</f>
        <v>5</v>
      </c>
      <c r="DC9">
        <f>IF(Evalucion!DD7=Datos!$C$15,Datos!$D$15,IF(Evalucion!DD7=Datos!$C$16,Datos!$D$16,IF(Evalucion!DD7=Datos!$C$17,Datos!$D$17,IF(Evalucion!DD7=Datos!$C$18,Datos!$D$18,IF(Evalucion!DD7=Datos!$C$19,Datos!$D$19,"=")))))</f>
        <v>5</v>
      </c>
      <c r="DD9">
        <f>IF(Evalucion!DE7=Datos!$C$15,Datos!$D$15,IF(Evalucion!DE7=Datos!$C$16,Datos!$D$16,IF(Evalucion!DE7=Datos!$C$17,Datos!$D$17,IF(Evalucion!DE7=Datos!$C$18,Datos!$D$18,IF(Evalucion!DE7=Datos!$C$19,Datos!$D$19,"=")))))</f>
        <v>5</v>
      </c>
      <c r="DE9">
        <f>IF(Evalucion!DF7=Datos!$C$15,Datos!$D$15,IF(Evalucion!DF7=Datos!$C$16,Datos!$D$16,IF(Evalucion!DF7=Datos!$C$17,Datos!$D$17,IF(Evalucion!DF7=Datos!$C$18,Datos!$D$18,IF(Evalucion!DF7=Datos!$C$19,Datos!$D$19,"=")))))</f>
        <v>1</v>
      </c>
      <c r="DF9">
        <f>IF(Evalucion!DG7=Datos!$C$15,Datos!$D$15,IF(Evalucion!DG7=Datos!$C$16,Datos!$D$16,IF(Evalucion!DG7=Datos!$C$17,Datos!$D$17,IF(Evalucion!DG7=Datos!$C$18,Datos!$D$18,IF(Evalucion!DG7=Datos!$C$19,Datos!$D$19,"=")))))</f>
        <v>5</v>
      </c>
      <c r="DG9">
        <f>IF(Evalucion!DH7=Datos!$C$15,Datos!$D$15,IF(Evalucion!DH7=Datos!$C$16,Datos!$D$16,IF(Evalucion!DH7=Datos!$C$17,Datos!$D$17,IF(Evalucion!DH7=Datos!$C$18,Datos!$D$18,IF(Evalucion!DH7=Datos!$C$19,Datos!$D$19,"=")))))</f>
        <v>3</v>
      </c>
      <c r="DH9">
        <f>IF(Evalucion!DI7=Datos!$C$15,Datos!$D$15,IF(Evalucion!DI7=Datos!$C$16,Datos!$D$16,IF(Evalucion!DI7=Datos!$C$17,Datos!$D$17,IF(Evalucion!DI7=Datos!$C$18,Datos!$D$18,IF(Evalucion!DI7=Datos!$C$19,Datos!$D$19,"=")))))</f>
        <v>1</v>
      </c>
      <c r="DI9">
        <f>IF(Evalucion!DJ7=Datos!$C$15,Datos!$D$15,IF(Evalucion!DJ7=Datos!$C$16,Datos!$D$16,IF(Evalucion!DJ7=Datos!$C$17,Datos!$D$17,IF(Evalucion!DJ7=Datos!$C$18,Datos!$D$18,IF(Evalucion!DJ7=Datos!$C$19,Datos!$D$19,"=")))))</f>
        <v>1</v>
      </c>
      <c r="DJ9">
        <f>IF(Evalucion!DK7=Datos!$C$15,Datos!$D$15,IF(Evalucion!DK7=Datos!$C$16,Datos!$D$16,IF(Evalucion!DK7=Datos!$C$17,Datos!$D$17,IF(Evalucion!DK7=Datos!$C$18,Datos!$D$18,IF(Evalucion!DK7=Datos!$C$19,Datos!$D$19,"=")))))</f>
        <v>5</v>
      </c>
      <c r="DK9">
        <f>IF(Evalucion!DL7=Datos!$C$15,Datos!$D$15,IF(Evalucion!DL7=Datos!$C$16,Datos!$D$16,IF(Evalucion!DL7=Datos!$C$17,Datos!$D$17,IF(Evalucion!DL7=Datos!$C$18,Datos!$D$18,IF(Evalucion!DL7=Datos!$C$19,Datos!$D$19,"=")))))</f>
        <v>3</v>
      </c>
      <c r="DL9">
        <f>IF(Evalucion!DM7=Datos!$C$15,Datos!$D$15,IF(Evalucion!DM7=Datos!$C$16,Datos!$D$16,IF(Evalucion!DM7=Datos!$C$17,Datos!$D$17,IF(Evalucion!DM7=Datos!$C$18,Datos!$D$18,IF(Evalucion!DM7=Datos!$C$19,Datos!$D$19,"=")))))</f>
        <v>5</v>
      </c>
      <c r="DM9">
        <f>IF(Evalucion!DN7=Datos!$C$15,Datos!$D$15,IF(Evalucion!DN7=Datos!$C$16,Datos!$D$16,IF(Evalucion!DN7=Datos!$C$17,Datos!$D$17,IF(Evalucion!DN7=Datos!$C$18,Datos!$D$18,IF(Evalucion!DN7=Datos!$C$19,Datos!$D$19,"=")))))</f>
        <v>3</v>
      </c>
      <c r="DN9">
        <f>IF(Evalucion!DO7=Datos!$C$15,Datos!$D$15,IF(Evalucion!DO7=Datos!$C$16,Datos!$D$16,IF(Evalucion!DO7=Datos!$C$17,Datos!$D$17,IF(Evalucion!DO7=Datos!$C$18,Datos!$D$18,IF(Evalucion!DO7=Datos!$C$19,Datos!$D$19,"=")))))</f>
        <v>5</v>
      </c>
      <c r="DO9">
        <f>IF(Evalucion!DP7=Datos!$C$15,Datos!$D$15,IF(Evalucion!DP7=Datos!$C$16,Datos!$D$16,IF(Evalucion!DP7=Datos!$C$17,Datos!$D$17,IF(Evalucion!DP7=Datos!$C$18,Datos!$D$18,IF(Evalucion!DP7=Datos!$C$19,Datos!$D$19,"=")))))</f>
        <v>1</v>
      </c>
      <c r="DP9">
        <f>IF(Evalucion!DQ7=Datos!$C$15,Datos!$D$15,IF(Evalucion!DQ7=Datos!$C$16,Datos!$D$16,IF(Evalucion!DQ7=Datos!$C$17,Datos!$D$17,IF(Evalucion!DQ7=Datos!$C$18,Datos!$D$18,IF(Evalucion!DQ7=Datos!$C$19,Datos!$D$19,"=")))))</f>
        <v>1</v>
      </c>
      <c r="DQ9">
        <f>IF(Evalucion!DR7=Datos!$C$15,Datos!$D$15,IF(Evalucion!DR7=Datos!$C$16,Datos!$D$16,IF(Evalucion!DR7=Datos!$C$17,Datos!$D$17,IF(Evalucion!DR7=Datos!$C$18,Datos!$D$18,IF(Evalucion!DR7=Datos!$C$19,Datos!$D$19,"=")))))</f>
        <v>1</v>
      </c>
      <c r="DR9">
        <f>IF(Evalucion!DS7=Datos!$C$15,Datos!$D$15,IF(Evalucion!DS7=Datos!$C$16,Datos!$D$16,IF(Evalucion!DS7=Datos!$C$17,Datos!$D$17,IF(Evalucion!DS7=Datos!$C$18,Datos!$D$18,IF(Evalucion!DS7=Datos!$C$19,Datos!$D$19,"=")))))</f>
        <v>1</v>
      </c>
      <c r="DS9">
        <f>IF(Evalucion!DT7=Datos!$C$15,Datos!$D$15,IF(Evalucion!DT7=Datos!$C$16,Datos!$D$16,IF(Evalucion!DT7=Datos!$C$17,Datos!$D$17,IF(Evalucion!DT7=Datos!$C$18,Datos!$D$18,IF(Evalucion!DT7=Datos!$C$19,Datos!$D$19,"=")))))</f>
        <v>1</v>
      </c>
      <c r="DT9">
        <f>IF(Evalucion!DU7=Datos!$C$15,Datos!$D$15,IF(Evalucion!DU7=Datos!$C$16,Datos!$D$16,IF(Evalucion!DU7=Datos!$C$17,Datos!$D$17,IF(Evalucion!DU7=Datos!$C$18,Datos!$D$18,IF(Evalucion!DU7=Datos!$C$19,Datos!$D$19,"=")))))</f>
        <v>1</v>
      </c>
      <c r="DU9">
        <f>IF(Evalucion!DV7=Datos!$C$15,Datos!$D$15,IF(Evalucion!DV7=Datos!$C$16,Datos!$D$16,IF(Evalucion!DV7=Datos!$C$17,Datos!$D$17,IF(Evalucion!DV7=Datos!$C$18,Datos!$D$18,IF(Evalucion!DV7=Datos!$C$19,Datos!$D$19,"=")))))</f>
        <v>1</v>
      </c>
      <c r="DV9">
        <f>IF(Evalucion!DW7=Datos!$C$15,Datos!$D$15,IF(Evalucion!DW7=Datos!$C$16,Datos!$D$16,IF(Evalucion!DW7=Datos!$C$17,Datos!$D$17,IF(Evalucion!DW7=Datos!$C$18,Datos!$D$18,IF(Evalucion!DW7=Datos!$C$19,Datos!$D$19,"=")))))</f>
        <v>1</v>
      </c>
      <c r="DW9">
        <f>IF(Evalucion!DX7=Datos!$C$15,Datos!$D$15,IF(Evalucion!DX7=Datos!$C$16,Datos!$D$16,IF(Evalucion!DX7=Datos!$C$17,Datos!$D$17,IF(Evalucion!DX7=Datos!$C$18,Datos!$D$18,IF(Evalucion!DX7=Datos!$C$19,Datos!$D$19,"=")))))</f>
        <v>1</v>
      </c>
      <c r="DX9">
        <f>IF(Evalucion!DY7=Datos!$C$15,Datos!$D$15,IF(Evalucion!DY7=Datos!$C$16,Datos!$D$16,IF(Evalucion!DY7=Datos!$C$17,Datos!$D$17,IF(Evalucion!DY7=Datos!$C$18,Datos!$D$18,IF(Evalucion!DY7=Datos!$C$19,Datos!$D$19,"=")))))</f>
        <v>1</v>
      </c>
      <c r="DY9">
        <f>IF(Evalucion!DZ7=Datos!$C$15,Datos!$D$15,IF(Evalucion!DZ7=Datos!$C$16,Datos!$D$16,IF(Evalucion!DZ7=Datos!$C$17,Datos!$D$17,IF(Evalucion!DZ7=Datos!$C$18,Datos!$D$18,IF(Evalucion!DZ7=Datos!$C$19,Datos!$D$19,"=")))))</f>
        <v>1</v>
      </c>
      <c r="DZ9">
        <f>IF(Evalucion!EA7=Datos!$C$15,Datos!$D$15,IF(Evalucion!EA7=Datos!$C$16,Datos!$D$16,IF(Evalucion!EA7=Datos!$C$17,Datos!$D$17,IF(Evalucion!EA7=Datos!$C$18,Datos!$D$18,IF(Evalucion!EA7=Datos!$C$19,Datos!$D$19,"=")))))</f>
        <v>5</v>
      </c>
      <c r="EA9">
        <f>IF(Evalucion!EB7=Datos!$C$15,Datos!$D$15,IF(Evalucion!EB7=Datos!$C$16,Datos!$D$16,IF(Evalucion!EB7=Datos!$C$17,Datos!$D$17,IF(Evalucion!EB7=Datos!$C$18,Datos!$D$18,IF(Evalucion!EB7=Datos!$C$19,Datos!$D$19,"=")))))</f>
        <v>1</v>
      </c>
      <c r="EB9">
        <f>IF(Evalucion!EC7=Datos!$C$15,Datos!$D$15,IF(Evalucion!EC7=Datos!$C$16,Datos!$D$16,IF(Evalucion!EC7=Datos!$C$17,Datos!$D$17,IF(Evalucion!EC7=Datos!$C$18,Datos!$D$18,IF(Evalucion!EC7=Datos!$C$19,Datos!$D$19,"=")))))</f>
        <v>1</v>
      </c>
      <c r="EC9">
        <f>IF(Evalucion!ED7=Datos!$C$15,Datos!$D$15,IF(Evalucion!ED7=Datos!$C$16,Datos!$D$16,IF(Evalucion!ED7=Datos!$C$17,Datos!$D$17,IF(Evalucion!ED7=Datos!$C$18,Datos!$D$18,IF(Evalucion!ED7=Datos!$C$19,Datos!$D$19,"=")))))</f>
        <v>1</v>
      </c>
      <c r="ED9">
        <f>IF(Evalucion!EE7=Datos!$C$15,Datos!$D$15,IF(Evalucion!EE7=Datos!$C$16,Datos!$D$16,IF(Evalucion!EE7=Datos!$C$17,Datos!$D$17,IF(Evalucion!EE7=Datos!$C$18,Datos!$D$18,IF(Evalucion!EE7=Datos!$C$19,Datos!$D$19,"=")))))</f>
        <v>5</v>
      </c>
      <c r="EE9">
        <f>IF(Evalucion!EF7=Datos!$C$15,Datos!$D$15,IF(Evalucion!EF7=Datos!$C$16,Datos!$D$16,IF(Evalucion!EF7=Datos!$C$17,Datos!$D$17,IF(Evalucion!EF7=Datos!$C$18,Datos!$D$18,IF(Evalucion!EF7=Datos!$C$19,Datos!$D$19,"=")))))</f>
        <v>1</v>
      </c>
      <c r="EF9">
        <f>IF(Evalucion!EG7=Datos!$C$15,Datos!$D$15,IF(Evalucion!EG7=Datos!$C$16,Datos!$D$16,IF(Evalucion!EG7=Datos!$C$17,Datos!$D$17,IF(Evalucion!EG7=Datos!$C$18,Datos!$D$18,IF(Evalucion!EG7=Datos!$C$19,Datos!$D$19,"=")))))</f>
        <v>5</v>
      </c>
      <c r="EG9">
        <f>IF(Evalucion!EH7=Datos!$C$15,Datos!$D$15,IF(Evalucion!EH7=Datos!$C$16,Datos!$D$16,IF(Evalucion!EH7=Datos!$C$17,Datos!$D$17,IF(Evalucion!EH7=Datos!$C$18,Datos!$D$18,IF(Evalucion!EH7=Datos!$C$19,Datos!$D$19,"=")))))</f>
        <v>3</v>
      </c>
      <c r="EH9">
        <f>IF(Evalucion!EI7=Datos!$C$15,Datos!$D$15,IF(Evalucion!EI7=Datos!$C$16,Datos!$D$16,IF(Evalucion!EI7=Datos!$C$17,Datos!$D$17,IF(Evalucion!EI7=Datos!$C$18,Datos!$D$18,IF(Evalucion!EI7=Datos!$C$19,Datos!$D$19,"=")))))</f>
        <v>5</v>
      </c>
      <c r="EI9">
        <f>IF(Evalucion!EJ7=Datos!$C$15,Datos!$D$15,IF(Evalucion!EJ7=Datos!$C$16,Datos!$D$16,IF(Evalucion!EJ7=Datos!$C$17,Datos!$D$17,IF(Evalucion!EJ7=Datos!$C$18,Datos!$D$18,IF(Evalucion!EJ7=Datos!$C$19,Datos!$D$19,"=")))))</f>
        <v>3</v>
      </c>
      <c r="EJ9">
        <f>IF(Evalucion!EK7=Datos!$C$15,Datos!$D$15,IF(Evalucion!EK7=Datos!$C$16,Datos!$D$16,IF(Evalucion!EK7=Datos!$C$17,Datos!$D$17,IF(Evalucion!EK7=Datos!$C$18,Datos!$D$18,IF(Evalucion!EK7=Datos!$C$19,Datos!$D$19,"=")))))</f>
        <v>5</v>
      </c>
      <c r="EK9">
        <f>IF(Evalucion!EL7=Datos!$C$15,Datos!$D$15,IF(Evalucion!EL7=Datos!$C$16,Datos!$D$16,IF(Evalucion!EL7=Datos!$C$17,Datos!$D$17,IF(Evalucion!EL7=Datos!$C$18,Datos!$D$18,IF(Evalucion!EL7=Datos!$C$19,Datos!$D$19,"=")))))</f>
        <v>1</v>
      </c>
      <c r="EL9">
        <f>IF(Evalucion!EM7=Datos!$C$15,Datos!$D$15,IF(Evalucion!EM7=Datos!$C$16,Datos!$D$16,IF(Evalucion!EM7=Datos!$C$17,Datos!$D$17,IF(Evalucion!EM7=Datos!$C$18,Datos!$D$18,IF(Evalucion!EM7=Datos!$C$19,Datos!$D$19,"=")))))</f>
        <v>5</v>
      </c>
      <c r="EM9">
        <f>IF(Evalucion!EN7=Datos!$C$15,Datos!$D$15,IF(Evalucion!EN7=Datos!$C$16,Datos!$D$16,IF(Evalucion!EN7=Datos!$C$17,Datos!$D$17,IF(Evalucion!EN7=Datos!$C$18,Datos!$D$18,IF(Evalucion!EN7=Datos!$C$19,Datos!$D$19,"=")))))</f>
        <v>3</v>
      </c>
      <c r="EN9">
        <f>IF(Evalucion!EO7=Datos!$C$15,Datos!$D$15,IF(Evalucion!EO7=Datos!$C$16,Datos!$D$16,IF(Evalucion!EO7=Datos!$C$17,Datos!$D$17,IF(Evalucion!EO7=Datos!$C$18,Datos!$D$18,IF(Evalucion!EO7=Datos!$C$19,Datos!$D$19,"=")))))</f>
        <v>1</v>
      </c>
      <c r="EO9">
        <f>IF(Evalucion!EP7=Datos!$C$15,Datos!$D$15,IF(Evalucion!EP7=Datos!$C$16,Datos!$D$16,IF(Evalucion!EP7=Datos!$C$17,Datos!$D$17,IF(Evalucion!EP7=Datos!$C$18,Datos!$D$18,IF(Evalucion!EP7=Datos!$C$19,Datos!$D$19,"=")))))</f>
        <v>1</v>
      </c>
      <c r="EP9">
        <f>IF(Evalucion!EQ7=Datos!$C$15,Datos!$D$15,IF(Evalucion!EQ7=Datos!$C$16,Datos!$D$16,IF(Evalucion!EQ7=Datos!$C$17,Datos!$D$17,IF(Evalucion!EQ7=Datos!$C$18,Datos!$D$18,IF(Evalucion!EQ7=Datos!$C$19,Datos!$D$19,"=")))))</f>
        <v>1</v>
      </c>
      <c r="EQ9">
        <f>IF(Evalucion!ER7=Datos!$C$15,Datos!$D$15,IF(Evalucion!ER7=Datos!$C$16,Datos!$D$16,IF(Evalucion!ER7=Datos!$C$17,Datos!$D$17,IF(Evalucion!ER7=Datos!$C$18,Datos!$D$18,IF(Evalucion!ER7=Datos!$C$19,Datos!$D$19,"=")))))</f>
        <v>1</v>
      </c>
      <c r="ER9">
        <f>IF(Evalucion!ES7=Datos!$C$15,Datos!$D$15,IF(Evalucion!ES7=Datos!$C$16,Datos!$D$16,IF(Evalucion!ES7=Datos!$C$17,Datos!$D$17,IF(Evalucion!ES7=Datos!$C$18,Datos!$D$18,IF(Evalucion!ES7=Datos!$C$19,Datos!$D$19,"=")))))</f>
        <v>5</v>
      </c>
      <c r="ES9">
        <f>IF(Evalucion!ET7=Datos!$C$15,Datos!$D$15,IF(Evalucion!ET7=Datos!$C$16,Datos!$D$16,IF(Evalucion!ET7=Datos!$C$17,Datos!$D$17,IF(Evalucion!ET7=Datos!$C$18,Datos!$D$18,IF(Evalucion!ET7=Datos!$C$19,Datos!$D$19,"=")))))</f>
        <v>1</v>
      </c>
      <c r="ET9">
        <f>IF(Evalucion!EU7=Datos!$C$15,Datos!$D$15,IF(Evalucion!EU7=Datos!$C$16,Datos!$D$16,IF(Evalucion!EU7=Datos!$C$17,Datos!$D$17,IF(Evalucion!EU7=Datos!$C$18,Datos!$D$18,IF(Evalucion!EU7=Datos!$C$19,Datos!$D$19,"=")))))</f>
        <v>1</v>
      </c>
      <c r="EU9">
        <f>IF(Evalucion!EV7=Datos!$C$15,Datos!$D$15,IF(Evalucion!EV7=Datos!$C$16,Datos!$D$16,IF(Evalucion!EV7=Datos!$C$17,Datos!$D$17,IF(Evalucion!EV7=Datos!$C$18,Datos!$D$18,IF(Evalucion!EV7=Datos!$C$19,Datos!$D$19,"=")))))</f>
        <v>1</v>
      </c>
      <c r="EV9">
        <f>IF(Evalucion!EW7=Datos!$C$15,Datos!$D$15,IF(Evalucion!EW7=Datos!$C$16,Datos!$D$16,IF(Evalucion!EW7=Datos!$C$17,Datos!$D$17,IF(Evalucion!EW7=Datos!$C$18,Datos!$D$18,IF(Evalucion!EW7=Datos!$C$19,Datos!$D$19,"=")))))</f>
        <v>5</v>
      </c>
      <c r="EW9">
        <f>IF(Evalucion!EX7=Datos!$C$15,Datos!$D$15,IF(Evalucion!EX7=Datos!$C$16,Datos!$D$16,IF(Evalucion!EX7=Datos!$C$17,Datos!$D$17,IF(Evalucion!EX7=Datos!$C$18,Datos!$D$18,IF(Evalucion!EX7=Datos!$C$19,Datos!$D$19,"=")))))</f>
        <v>5</v>
      </c>
      <c r="EX9">
        <f>IF(Evalucion!EY7=Datos!$C$15,Datos!$D$15,IF(Evalucion!EY7=Datos!$C$16,Datos!$D$16,IF(Evalucion!EY7=Datos!$C$17,Datos!$D$17,IF(Evalucion!EY7=Datos!$C$18,Datos!$D$18,IF(Evalucion!EY7=Datos!$C$19,Datos!$D$19,"=")))))</f>
        <v>5</v>
      </c>
      <c r="EY9">
        <f>IF(Evalucion!EZ7=Datos!$C$15,Datos!$D$15,IF(Evalucion!EZ7=Datos!$C$16,Datos!$D$16,IF(Evalucion!EZ7=Datos!$C$17,Datos!$D$17,IF(Evalucion!EZ7=Datos!$C$18,Datos!$D$18,IF(Evalucion!EZ7=Datos!$C$19,Datos!$D$19,"=")))))</f>
        <v>3</v>
      </c>
      <c r="FA9">
        <f t="shared" si="3"/>
        <v>259</v>
      </c>
      <c r="FB9">
        <f t="shared" si="3"/>
        <v>207</v>
      </c>
      <c r="FC9" s="3">
        <f t="shared" si="4"/>
        <v>0.55200000000000005</v>
      </c>
      <c r="FD9" t="str">
        <f t="shared" si="0"/>
        <v>Conf_CR</v>
      </c>
      <c r="FF9">
        <f t="shared" si="5"/>
        <v>466</v>
      </c>
      <c r="FG9">
        <f t="shared" si="6"/>
        <v>0</v>
      </c>
    </row>
    <row r="10" spans="1:167" x14ac:dyDescent="0.2">
      <c r="A10">
        <f>1+A9</f>
        <v>7</v>
      </c>
      <c r="B10" t="s">
        <v>251</v>
      </c>
      <c r="C10" t="s">
        <v>193</v>
      </c>
      <c r="D10" s="1">
        <v>43950</v>
      </c>
      <c r="E10">
        <f>IF(Evalucion!F8=Datos!$C$15,Datos!$D$15,IF(Evalucion!F8=Datos!$C$16,Datos!$D$16,IF(Evalucion!F8=Datos!$C$17,Datos!$D$17,IF(Evalucion!F8=Datos!$C$18,Datos!$D$18,IF(Evalucion!F8=Datos!$C$19,Datos!$D$19,"=")))))</f>
        <v>5</v>
      </c>
      <c r="F10">
        <f>IF(Evalucion!G8=Datos!$C$15,Datos!$D$15,IF(Evalucion!G8=Datos!$C$16,Datos!$D$16,IF(Evalucion!G8=Datos!$C$17,Datos!$D$17,IF(Evalucion!G8=Datos!$C$18,Datos!$D$18,IF(Evalucion!G8=Datos!$C$19,Datos!$D$19,"=")))))</f>
        <v>5</v>
      </c>
      <c r="G10">
        <f>IF(Evalucion!H8=Datos!$C$15,Datos!$D$15,IF(Evalucion!H8=Datos!$C$16,Datos!$D$16,IF(Evalucion!H8=Datos!$C$17,Datos!$D$17,IF(Evalucion!H8=Datos!$C$18,Datos!$D$18,IF(Evalucion!H8=Datos!$C$19,Datos!$D$19,"=")))))</f>
        <v>5</v>
      </c>
      <c r="H10">
        <f>IF(Evalucion!I8=Datos!$C$15,Datos!$D$15,IF(Evalucion!I8=Datos!$C$16,Datos!$D$16,IF(Evalucion!I8=Datos!$C$17,Datos!$D$17,IF(Evalucion!I8=Datos!$C$18,Datos!$D$18,IF(Evalucion!I8=Datos!$C$19,Datos!$D$19,"=")))))</f>
        <v>5</v>
      </c>
      <c r="I10">
        <f>IF(Evalucion!J8=Datos!$C$15,Datos!$D$15,IF(Evalucion!J8=Datos!$C$16,Datos!$D$16,IF(Evalucion!J8=Datos!$C$17,Datos!$D$17,IF(Evalucion!J8=Datos!$C$18,Datos!$D$18,IF(Evalucion!J8=Datos!$C$19,Datos!$D$19,"=")))))</f>
        <v>5</v>
      </c>
      <c r="J10">
        <f>IF(Evalucion!K8=Datos!$C$15,Datos!$D$15,IF(Evalucion!K8=Datos!$C$16,Datos!$D$16,IF(Evalucion!K8=Datos!$C$17,Datos!$D$17,IF(Evalucion!K8=Datos!$C$18,Datos!$D$18,IF(Evalucion!K8=Datos!$C$19,Datos!$D$19,"=")))))</f>
        <v>5</v>
      </c>
      <c r="K10">
        <f>IF(Evalucion!L8=Datos!$C$15,Datos!$D$15,IF(Evalucion!L8=Datos!$C$16,Datos!$D$16,IF(Evalucion!L8=Datos!$C$17,Datos!$D$17,IF(Evalucion!L8=Datos!$C$18,Datos!$D$18,IF(Evalucion!L8=Datos!$C$19,Datos!$D$19,"=")))))</f>
        <v>5</v>
      </c>
      <c r="L10">
        <f>IF(Evalucion!M8=Datos!$C$15,Datos!$D$15,IF(Evalucion!M8=Datos!$C$16,Datos!$D$16,IF(Evalucion!M8=Datos!$C$17,Datos!$D$17,IF(Evalucion!M8=Datos!$C$18,Datos!$D$18,IF(Evalucion!M8=Datos!$C$19,Datos!$D$19,"=")))))</f>
        <v>5</v>
      </c>
      <c r="M10">
        <f>IF(Evalucion!N8=Datos!$C$15,Datos!$D$15,IF(Evalucion!N8=Datos!$C$16,Datos!$D$16,IF(Evalucion!N8=Datos!$C$17,Datos!$D$17,IF(Evalucion!N8=Datos!$C$18,Datos!$D$18,IF(Evalucion!N8=Datos!$C$19,Datos!$D$19,"=")))))</f>
        <v>5</v>
      </c>
      <c r="N10">
        <f>IF(Evalucion!O8=Datos!$C$15,Datos!$D$15,IF(Evalucion!O8=Datos!$C$16,Datos!$D$16,IF(Evalucion!O8=Datos!$C$17,Datos!$D$17,IF(Evalucion!O8=Datos!$C$18,Datos!$D$18,IF(Evalucion!O8=Datos!$C$19,Datos!$D$19,"=")))))</f>
        <v>5</v>
      </c>
      <c r="O10">
        <f>IF(Evalucion!P8=Datos!$C$15,Datos!$D$15,IF(Evalucion!P8=Datos!$C$16,Datos!$D$16,IF(Evalucion!P8=Datos!$C$17,Datos!$D$17,IF(Evalucion!P8=Datos!$C$18,Datos!$D$18,IF(Evalucion!P8=Datos!$C$19,Datos!$D$19,"=")))))</f>
        <v>5</v>
      </c>
      <c r="P10">
        <f>IF(Evalucion!Q8=Datos!$C$15,Datos!$D$15,IF(Evalucion!Q8=Datos!$C$16,Datos!$D$16,IF(Evalucion!Q8=Datos!$C$17,Datos!$D$17,IF(Evalucion!Q8=Datos!$C$18,Datos!$D$18,IF(Evalucion!Q8=Datos!$C$19,Datos!$D$19,"=")))))</f>
        <v>1</v>
      </c>
      <c r="Q10">
        <f>IF(Evalucion!R8=Datos!$C$15,Datos!$D$15,IF(Evalucion!R8=Datos!$C$16,Datos!$D$16,IF(Evalucion!R8=Datos!$C$17,Datos!$D$17,IF(Evalucion!R8=Datos!$C$18,Datos!$D$18,IF(Evalucion!R8=Datos!$C$19,Datos!$D$19,"=")))))</f>
        <v>5</v>
      </c>
      <c r="R10">
        <f>IF(Evalucion!S8=Datos!$C$15,Datos!$D$15,IF(Evalucion!S8=Datos!$C$16,Datos!$D$16,IF(Evalucion!S8=Datos!$C$17,Datos!$D$17,IF(Evalucion!S8=Datos!$C$18,Datos!$D$18,IF(Evalucion!S8=Datos!$C$19,Datos!$D$19,"=")))))</f>
        <v>5</v>
      </c>
      <c r="S10">
        <f>IF(Evalucion!T8=Datos!$C$15,Datos!$D$15,IF(Evalucion!T8=Datos!$C$16,Datos!$D$16,IF(Evalucion!T8=Datos!$C$17,Datos!$D$17,IF(Evalucion!T8=Datos!$C$18,Datos!$D$18,IF(Evalucion!T8=Datos!$C$19,Datos!$D$19,"=")))))</f>
        <v>1</v>
      </c>
      <c r="T10">
        <f>IF(Evalucion!U8=Datos!$C$15,Datos!$D$15,IF(Evalucion!U8=Datos!$C$16,Datos!$D$16,IF(Evalucion!U8=Datos!$C$17,Datos!$D$17,IF(Evalucion!U8=Datos!$C$18,Datos!$D$18,IF(Evalucion!U8=Datos!$C$19,Datos!$D$19,"=")))))</f>
        <v>1</v>
      </c>
      <c r="U10">
        <f>IF(Evalucion!V8=Datos!$C$15,Datos!$D$15,IF(Evalucion!V8=Datos!$C$16,Datos!$D$16,IF(Evalucion!V8=Datos!$C$17,Datos!$D$17,IF(Evalucion!V8=Datos!$C$18,Datos!$D$18,IF(Evalucion!V8=Datos!$C$19,Datos!$D$19,"=")))))</f>
        <v>5</v>
      </c>
      <c r="V10">
        <f>IF(Evalucion!W8=Datos!$C$15,Datos!$D$15,IF(Evalucion!W8=Datos!$C$16,Datos!$D$16,IF(Evalucion!W8=Datos!$C$17,Datos!$D$17,IF(Evalucion!W8=Datos!$C$18,Datos!$D$18,IF(Evalucion!W8=Datos!$C$19,Datos!$D$19,"=")))))</f>
        <v>5</v>
      </c>
      <c r="W10">
        <f>IF(Evalucion!X8=Datos!$C$15,Datos!$D$15,IF(Evalucion!X8=Datos!$C$16,Datos!$D$16,IF(Evalucion!X8=Datos!$C$17,Datos!$D$17,IF(Evalucion!X8=Datos!$C$18,Datos!$D$18,IF(Evalucion!X8=Datos!$C$19,Datos!$D$19,"=")))))</f>
        <v>5</v>
      </c>
      <c r="X10">
        <f>IF(Evalucion!Y8=Datos!$C$15,Datos!$D$15,IF(Evalucion!Y8=Datos!$C$16,Datos!$D$16,IF(Evalucion!Y8=Datos!$C$17,Datos!$D$17,IF(Evalucion!Y8=Datos!$C$18,Datos!$D$18,IF(Evalucion!Y8=Datos!$C$19,Datos!$D$19,"=")))))</f>
        <v>5</v>
      </c>
      <c r="Y10">
        <f>IF(Evalucion!Z8=Datos!$C$15,Datos!$D$15,IF(Evalucion!Z8=Datos!$C$16,Datos!$D$16,IF(Evalucion!Z8=Datos!$C$17,Datos!$D$17,IF(Evalucion!Z8=Datos!$C$18,Datos!$D$18,IF(Evalucion!Z8=Datos!$C$19,Datos!$D$19,"=")))))</f>
        <v>5</v>
      </c>
      <c r="Z10">
        <f>IF(Evalucion!AA8=Datos!$C$15,Datos!$D$15,IF(Evalucion!AA8=Datos!$C$16,Datos!$D$16,IF(Evalucion!AA8=Datos!$C$17,Datos!$D$17,IF(Evalucion!AA8=Datos!$C$18,Datos!$D$18,IF(Evalucion!AA8=Datos!$C$19,Datos!$D$19,"=")))))</f>
        <v>5</v>
      </c>
      <c r="AA10">
        <f>IF(Evalucion!AB8=Datos!$C$15,Datos!$D$15,IF(Evalucion!AB8=Datos!$C$16,Datos!$D$16,IF(Evalucion!AB8=Datos!$C$17,Datos!$D$17,IF(Evalucion!AB8=Datos!$C$18,Datos!$D$18,IF(Evalucion!AB8=Datos!$C$19,Datos!$D$19,"=")))))</f>
        <v>1</v>
      </c>
      <c r="AB10">
        <f>IF(Evalucion!AC8=Datos!$C$15,Datos!$D$15,IF(Evalucion!AC8=Datos!$C$16,Datos!$D$16,IF(Evalucion!AC8=Datos!$C$17,Datos!$D$17,IF(Evalucion!AC8=Datos!$C$18,Datos!$D$18,IF(Evalucion!AC8=Datos!$C$19,Datos!$D$19,"=")))))</f>
        <v>1</v>
      </c>
      <c r="AC10">
        <f>IF(Evalucion!AD8=Datos!$C$15,Datos!$D$15,IF(Evalucion!AD8=Datos!$C$16,Datos!$D$16,IF(Evalucion!AD8=Datos!$C$17,Datos!$D$17,IF(Evalucion!AD8=Datos!$C$18,Datos!$D$18,IF(Evalucion!AD8=Datos!$C$19,Datos!$D$19,"=")))))</f>
        <v>1</v>
      </c>
      <c r="AD10">
        <f>IF(Evalucion!AE8=Datos!$C$15,Datos!$D$15,IF(Evalucion!AE8=Datos!$C$16,Datos!$D$16,IF(Evalucion!AE8=Datos!$C$17,Datos!$D$17,IF(Evalucion!AE8=Datos!$C$18,Datos!$D$18,IF(Evalucion!AE8=Datos!$C$19,Datos!$D$19,"=")))))</f>
        <v>3</v>
      </c>
      <c r="AE10">
        <f>IF(Evalucion!AF8=Datos!$C$15,Datos!$D$15,IF(Evalucion!AF8=Datos!$C$16,Datos!$D$16,IF(Evalucion!AF8=Datos!$C$17,Datos!$D$17,IF(Evalucion!AF8=Datos!$C$18,Datos!$D$18,IF(Evalucion!AF8=Datos!$C$19,Datos!$D$19,"=")))))</f>
        <v>5</v>
      </c>
      <c r="AF10">
        <f>IF(Evalucion!AG8=Datos!$C$15,Datos!$D$15,IF(Evalucion!AG8=Datos!$C$16,Datos!$D$16,IF(Evalucion!AG8=Datos!$C$17,Datos!$D$17,IF(Evalucion!AG8=Datos!$C$18,Datos!$D$18,IF(Evalucion!AG8=Datos!$C$19,Datos!$D$19,"=")))))</f>
        <v>5</v>
      </c>
      <c r="AO10">
        <f>IF(Evalucion!AP8=Datos!$C$15,Datos!$D$15,IF(Evalucion!AP8=Datos!$C$16,Datos!$D$16,IF(Evalucion!AP8=Datos!$C$17,Datos!$D$17,IF(Evalucion!AP8=Datos!$C$18,Datos!$D$18,IF(Evalucion!AP8=Datos!$C$19,Datos!$D$19,"=")))))</f>
        <v>5</v>
      </c>
      <c r="AP10">
        <f>IF(Evalucion!AQ8=Datos!$C$15,Datos!$D$15,IF(Evalucion!AQ8=Datos!$C$16,Datos!$D$16,IF(Evalucion!AQ8=Datos!$C$17,Datos!$D$17,IF(Evalucion!AQ8=Datos!$C$18,Datos!$D$18,IF(Evalucion!AQ8=Datos!$C$19,Datos!$D$19,"=")))))</f>
        <v>3</v>
      </c>
      <c r="AQ10">
        <f>IF(Evalucion!AR8=Datos!$C$15,Datos!$D$15,IF(Evalucion!AR8=Datos!$C$16,Datos!$D$16,IF(Evalucion!AR8=Datos!$C$17,Datos!$D$17,IF(Evalucion!AR8=Datos!$C$18,Datos!$D$18,IF(Evalucion!AR8=Datos!$C$19,Datos!$D$19,"=")))))</f>
        <v>1</v>
      </c>
      <c r="AR10">
        <f>IF(Evalucion!AS8=Datos!$C$15,Datos!$D$15,IF(Evalucion!AS8=Datos!$C$16,Datos!$D$16,IF(Evalucion!AS8=Datos!$C$17,Datos!$D$17,IF(Evalucion!AS8=Datos!$C$18,Datos!$D$18,IF(Evalucion!AS8=Datos!$C$19,Datos!$D$19,"=")))))</f>
        <v>1</v>
      </c>
      <c r="AS10">
        <f>IF(Evalucion!AT8=Datos!$C$15,Datos!$D$15,IF(Evalucion!AT8=Datos!$C$16,Datos!$D$16,IF(Evalucion!AT8=Datos!$C$17,Datos!$D$17,IF(Evalucion!AT8=Datos!$C$18,Datos!$D$18,IF(Evalucion!AT8=Datos!$C$19,Datos!$D$19,"=")))))</f>
        <v>5</v>
      </c>
      <c r="AT10">
        <f>IF(Evalucion!AU8=Datos!$C$15,Datos!$D$15,IF(Evalucion!AU8=Datos!$C$16,Datos!$D$16,IF(Evalucion!AU8=Datos!$C$17,Datos!$D$17,IF(Evalucion!AU8=Datos!$C$18,Datos!$D$18,IF(Evalucion!AU8=Datos!$C$19,Datos!$D$19,"=")))))</f>
        <v>5</v>
      </c>
      <c r="AV10">
        <f>IF(Evalucion!AW8=Datos!$C$15,Datos!$D$15,IF(Evalucion!AW8=Datos!$C$16,Datos!$D$16,IF(Evalucion!AW8=Datos!$C$17,Datos!$D$17,IF(Evalucion!AW8=Datos!$C$18,Datos!$D$18,IF(Evalucion!AW8=Datos!$C$19,Datos!$D$19,"=")))))</f>
        <v>5</v>
      </c>
      <c r="AW10">
        <f>IF(Evalucion!AX8=Datos!$C$15,Datos!$D$15,IF(Evalucion!AX8=Datos!$C$16,Datos!$D$16,IF(Evalucion!AX8=Datos!$C$17,Datos!$D$17,IF(Evalucion!AX8=Datos!$C$18,Datos!$D$18,IF(Evalucion!AX8=Datos!$C$19,Datos!$D$19,"=")))))</f>
        <v>5</v>
      </c>
      <c r="AX10">
        <f>IF(Evalucion!AY8=Datos!$C$15,Datos!$D$15,IF(Evalucion!AY8=Datos!$C$16,Datos!$D$16,IF(Evalucion!AY8=Datos!$C$17,Datos!$D$17,IF(Evalucion!AY8=Datos!$C$18,Datos!$D$18,IF(Evalucion!AY8=Datos!$C$19,Datos!$D$19,"=")))))</f>
        <v>5</v>
      </c>
      <c r="AY10">
        <f>IF(Evalucion!AZ8=Datos!$C$15,Datos!$D$15,IF(Evalucion!AZ8=Datos!$C$16,Datos!$D$16,IF(Evalucion!AZ8=Datos!$C$17,Datos!$D$17,IF(Evalucion!AZ8=Datos!$C$18,Datos!$D$18,IF(Evalucion!AZ8=Datos!$C$19,Datos!$D$19,"=")))))</f>
        <v>5</v>
      </c>
      <c r="AZ10">
        <f>IF(Evalucion!BA8=Datos!$C$15,Datos!$D$15,IF(Evalucion!BA8=Datos!$C$16,Datos!$D$16,IF(Evalucion!BA8=Datos!$C$17,Datos!$D$17,IF(Evalucion!BA8=Datos!$C$18,Datos!$D$18,IF(Evalucion!BA8=Datos!$C$19,Datos!$D$19,"=")))))</f>
        <v>5</v>
      </c>
      <c r="BA10">
        <f>IF(Evalucion!BB8=Datos!$C$15,Datos!$D$15,IF(Evalucion!BB8=Datos!$C$16,Datos!$D$16,IF(Evalucion!BB8=Datos!$C$17,Datos!$D$17,IF(Evalucion!BB8=Datos!$C$18,Datos!$D$18,IF(Evalucion!BB8=Datos!$C$19,Datos!$D$19,"=")))))</f>
        <v>5</v>
      </c>
      <c r="BB10">
        <f>IF(Evalucion!BC8=Datos!$C$15,Datos!$D$15,IF(Evalucion!BC8=Datos!$C$16,Datos!$D$16,IF(Evalucion!BC8=Datos!$C$17,Datos!$D$17,IF(Evalucion!BC8=Datos!$C$18,Datos!$D$18,IF(Evalucion!BC8=Datos!$C$19,Datos!$D$19,"=")))))</f>
        <v>1</v>
      </c>
      <c r="BC10">
        <f>IF(Evalucion!BD8=Datos!$C$15,Datos!$D$15,IF(Evalucion!BD8=Datos!$C$16,Datos!$D$16,IF(Evalucion!BD8=Datos!$C$17,Datos!$D$17,IF(Evalucion!BD8=Datos!$C$18,Datos!$D$18,IF(Evalucion!BD8=Datos!$C$19,Datos!$D$19,"=")))))</f>
        <v>1</v>
      </c>
      <c r="BD10">
        <f>IF(Evalucion!BE8=Datos!$C$15,Datos!$D$15,IF(Evalucion!BE8=Datos!$C$16,Datos!$D$16,IF(Evalucion!BE8=Datos!$C$17,Datos!$D$17,IF(Evalucion!BE8=Datos!$C$18,Datos!$D$18,IF(Evalucion!BE8=Datos!$C$19,Datos!$D$19,"=")))))</f>
        <v>1</v>
      </c>
      <c r="BE10">
        <f>IF(Evalucion!BF8=Datos!$C$15,Datos!$D$15,IF(Evalucion!BF8=Datos!$C$16,Datos!$D$16,IF(Evalucion!BF8=Datos!$C$17,Datos!$D$17,IF(Evalucion!BF8=Datos!$C$18,Datos!$D$18,IF(Evalucion!BF8=Datos!$C$19,Datos!$D$19,"=")))))</f>
        <v>1</v>
      </c>
      <c r="BF10">
        <f>IF(Evalucion!BG8=Datos!$C$15,Datos!$D$15,IF(Evalucion!BG8=Datos!$C$16,Datos!$D$16,IF(Evalucion!BG8=Datos!$C$17,Datos!$D$17,IF(Evalucion!BG8=Datos!$C$18,Datos!$D$18,IF(Evalucion!BG8=Datos!$C$19,Datos!$D$19,"=")))))</f>
        <v>5</v>
      </c>
      <c r="BG10">
        <f>IF(Evalucion!BH8=Datos!$C$15,Datos!$D$15,IF(Evalucion!BH8=Datos!$C$16,Datos!$D$16,IF(Evalucion!BH8=Datos!$C$17,Datos!$D$17,IF(Evalucion!BH8=Datos!$C$18,Datos!$D$18,IF(Evalucion!BH8=Datos!$C$19,Datos!$D$19,"=")))))</f>
        <v>5</v>
      </c>
      <c r="BH10">
        <f>IF(Evalucion!BI8=Datos!$C$15,Datos!$D$15,IF(Evalucion!BI8=Datos!$C$16,Datos!$D$16,IF(Evalucion!BI8=Datos!$C$17,Datos!$D$17,IF(Evalucion!BI8=Datos!$C$18,Datos!$D$18,IF(Evalucion!BI8=Datos!$C$19,Datos!$D$19,"=")))))</f>
        <v>5</v>
      </c>
      <c r="BI10">
        <f>IF(Evalucion!BJ8=Datos!$C$15,Datos!$D$15,IF(Evalucion!BJ8=Datos!$C$16,Datos!$D$16,IF(Evalucion!BJ8=Datos!$C$17,Datos!$D$17,IF(Evalucion!BJ8=Datos!$C$18,Datos!$D$18,IF(Evalucion!BJ8=Datos!$C$19,Datos!$D$19,"=")))))</f>
        <v>1</v>
      </c>
      <c r="BJ10">
        <f>IF(Evalucion!BK8=Datos!$C$15,Datos!$D$15,IF(Evalucion!BK8=Datos!$C$16,Datos!$D$16,IF(Evalucion!BK8=Datos!$C$17,Datos!$D$17,IF(Evalucion!BK8=Datos!$C$18,Datos!$D$18,IF(Evalucion!BK8=Datos!$C$19,Datos!$D$19,"=")))))</f>
        <v>5</v>
      </c>
      <c r="BK10">
        <f>IF(Evalucion!BL8=Datos!$C$15,Datos!$D$15,IF(Evalucion!BL8=Datos!$C$16,Datos!$D$16,IF(Evalucion!BL8=Datos!$C$17,Datos!$D$17,IF(Evalucion!BL8=Datos!$C$18,Datos!$D$18,IF(Evalucion!BL8=Datos!$C$19,Datos!$D$19,"=")))))</f>
        <v>1</v>
      </c>
      <c r="BL10">
        <f>IF(Evalucion!BM8=Datos!$C$15,Datos!$D$15,IF(Evalucion!BM8=Datos!$C$16,Datos!$D$16,IF(Evalucion!BM8=Datos!$C$17,Datos!$D$17,IF(Evalucion!BM8=Datos!$C$18,Datos!$D$18,IF(Evalucion!BM8=Datos!$C$19,Datos!$D$19,"=")))))</f>
        <v>1</v>
      </c>
      <c r="BM10">
        <f>IF(Evalucion!BN8=Datos!$C$15,Datos!$D$15,IF(Evalucion!BN8=Datos!$C$16,Datos!$D$16,IF(Evalucion!BN8=Datos!$C$17,Datos!$D$17,IF(Evalucion!BN8=Datos!$C$18,Datos!$D$18,IF(Evalucion!BN8=Datos!$C$19,Datos!$D$19,"=")))))</f>
        <v>1</v>
      </c>
      <c r="BN10">
        <f>IF(Evalucion!BO8=Datos!$C$15,Datos!$D$15,IF(Evalucion!BO8=Datos!$C$16,Datos!$D$16,IF(Evalucion!BO8=Datos!$C$17,Datos!$D$17,IF(Evalucion!BO8=Datos!$C$18,Datos!$D$18,IF(Evalucion!BO8=Datos!$C$19,Datos!$D$19,"=")))))</f>
        <v>5</v>
      </c>
      <c r="BO10">
        <f>IF(Evalucion!BP8=Datos!$C$15,Datos!$D$15,IF(Evalucion!BP8=Datos!$C$16,Datos!$D$16,IF(Evalucion!BP8=Datos!$C$17,Datos!$D$17,IF(Evalucion!BP8=Datos!$C$18,Datos!$D$18,IF(Evalucion!BP8=Datos!$C$19,Datos!$D$19,"=")))))</f>
        <v>5</v>
      </c>
      <c r="BP10">
        <f>IF(Evalucion!BQ8=Datos!$C$15,Datos!$D$15,IF(Evalucion!BQ8=Datos!$C$16,Datos!$D$16,IF(Evalucion!BQ8=Datos!$C$17,Datos!$D$17,IF(Evalucion!BQ8=Datos!$C$18,Datos!$D$18,IF(Evalucion!BQ8=Datos!$C$19,Datos!$D$19,"=")))))</f>
        <v>1</v>
      </c>
      <c r="BQ10">
        <f>IF(Evalucion!BR8=Datos!$C$15,Datos!$D$15,IF(Evalucion!BR8=Datos!$C$16,Datos!$D$16,IF(Evalucion!BR8=Datos!$C$17,Datos!$D$17,IF(Evalucion!BR8=Datos!$C$18,Datos!$D$18,IF(Evalucion!BR8=Datos!$C$19,Datos!$D$19,"=")))))</f>
        <v>1</v>
      </c>
      <c r="BR10">
        <f>IF(Evalucion!BS8=Datos!$C$15,Datos!$D$15,IF(Evalucion!BS8=Datos!$C$16,Datos!$D$16,IF(Evalucion!BS8=Datos!$C$17,Datos!$D$17,IF(Evalucion!BS8=Datos!$C$18,Datos!$D$18,IF(Evalucion!BS8=Datos!$C$19,Datos!$D$19,"=")))))</f>
        <v>1</v>
      </c>
      <c r="BS10">
        <f>IF(Evalucion!BT8=Datos!$C$15,Datos!$D$15,IF(Evalucion!BT8=Datos!$C$16,Datos!$D$16,IF(Evalucion!BT8=Datos!$C$17,Datos!$D$17,IF(Evalucion!BT8=Datos!$C$18,Datos!$D$18,IF(Evalucion!BT8=Datos!$C$19,Datos!$D$19,"=")))))</f>
        <v>3</v>
      </c>
      <c r="BT10">
        <f>IF(Evalucion!BU8=Datos!$C$15,Datos!$D$15,IF(Evalucion!BU8=Datos!$C$16,Datos!$D$16,IF(Evalucion!BU8=Datos!$C$17,Datos!$D$17,IF(Evalucion!BU8=Datos!$C$18,Datos!$D$18,IF(Evalucion!BU8=Datos!$C$19,Datos!$D$19,"=")))))</f>
        <v>1</v>
      </c>
      <c r="BU10">
        <f>IF(Evalucion!BV8=Datos!$C$15,Datos!$D$15,IF(Evalucion!BV8=Datos!$C$16,Datos!$D$16,IF(Evalucion!BV8=Datos!$C$17,Datos!$D$17,IF(Evalucion!BV8=Datos!$C$18,Datos!$D$18,IF(Evalucion!BV8=Datos!$C$19,Datos!$D$19,"=")))))</f>
        <v>1</v>
      </c>
      <c r="BV10">
        <f>IF(Evalucion!BW8=Datos!$C$15,Datos!$D$15,IF(Evalucion!BW8=Datos!$C$16,Datos!$D$16,IF(Evalucion!BW8=Datos!$C$17,Datos!$D$17,IF(Evalucion!BW8=Datos!$C$18,Datos!$D$18,IF(Evalucion!BW8=Datos!$C$19,Datos!$D$19,"=")))))</f>
        <v>5</v>
      </c>
      <c r="BW10">
        <f>IF(Evalucion!BX8=Datos!$C$15,Datos!$D$15,IF(Evalucion!BX8=Datos!$C$16,Datos!$D$16,IF(Evalucion!BX8=Datos!$C$17,Datos!$D$17,IF(Evalucion!BX8=Datos!$C$18,Datos!$D$18,IF(Evalucion!BX8=Datos!$C$19,Datos!$D$19,"=")))))</f>
        <v>5</v>
      </c>
      <c r="BX10">
        <f>IF(Evalucion!BY8=Datos!$C$15,Datos!$D$15,IF(Evalucion!BY8=Datos!$C$16,Datos!$D$16,IF(Evalucion!BY8=Datos!$C$17,Datos!$D$17,IF(Evalucion!BY8=Datos!$C$18,Datos!$D$18,IF(Evalucion!BY8=Datos!$C$19,Datos!$D$19,"=")))))</f>
        <v>5</v>
      </c>
      <c r="BY10">
        <f>IF(Evalucion!BZ8=Datos!$C$15,Datos!$D$15,IF(Evalucion!BZ8=Datos!$C$16,Datos!$D$16,IF(Evalucion!BZ8=Datos!$C$17,Datos!$D$17,IF(Evalucion!BZ8=Datos!$C$18,Datos!$D$18,IF(Evalucion!BZ8=Datos!$C$19,Datos!$D$19,"=")))))</f>
        <v>5</v>
      </c>
      <c r="BZ10">
        <f>IF(Evalucion!CA8=Datos!$C$15,Datos!$D$15,IF(Evalucion!CA8=Datos!$C$16,Datos!$D$16,IF(Evalucion!CA8=Datos!$C$17,Datos!$D$17,IF(Evalucion!CA8=Datos!$C$18,Datos!$D$18,IF(Evalucion!CA8=Datos!$C$19,Datos!$D$19,"=")))))</f>
        <v>5</v>
      </c>
      <c r="CA10">
        <f>IF(Evalucion!CB8=Datos!$C$15,Datos!$D$15,IF(Evalucion!CB8=Datos!$C$16,Datos!$D$16,IF(Evalucion!CB8=Datos!$C$17,Datos!$D$17,IF(Evalucion!CB8=Datos!$C$18,Datos!$D$18,IF(Evalucion!CB8=Datos!$C$19,Datos!$D$19,"=")))))</f>
        <v>3</v>
      </c>
      <c r="CB10">
        <f>IF(Evalucion!CC8=Datos!$C$15,Datos!$D$15,IF(Evalucion!CC8=Datos!$C$16,Datos!$D$16,IF(Evalucion!CC8=Datos!$C$17,Datos!$D$17,IF(Evalucion!CC8=Datos!$C$18,Datos!$D$18,IF(Evalucion!CC8=Datos!$C$19,Datos!$D$19,"=")))))</f>
        <v>5</v>
      </c>
      <c r="CC10">
        <f>IF(Evalucion!CD8=Datos!$C$15,Datos!$D$15,IF(Evalucion!CD8=Datos!$C$16,Datos!$D$16,IF(Evalucion!CD8=Datos!$C$17,Datos!$D$17,IF(Evalucion!CD8=Datos!$C$18,Datos!$D$18,IF(Evalucion!CD8=Datos!$C$19,Datos!$D$19,"=")))))</f>
        <v>5</v>
      </c>
      <c r="CD10">
        <f>IF(Evalucion!CE8=Datos!$C$15,Datos!$D$15,IF(Evalucion!CE8=Datos!$C$16,Datos!$D$16,IF(Evalucion!CE8=Datos!$C$17,Datos!$D$17,IF(Evalucion!CE8=Datos!$C$18,Datos!$D$18,IF(Evalucion!CE8=Datos!$C$19,Datos!$D$19,"=")))))</f>
        <v>5</v>
      </c>
      <c r="CE10">
        <f>IF(Evalucion!CF8=Datos!$C$15,Datos!$D$15,IF(Evalucion!CF8=Datos!$C$16,Datos!$D$16,IF(Evalucion!CF8=Datos!$C$17,Datos!$D$17,IF(Evalucion!CF8=Datos!$C$18,Datos!$D$18,IF(Evalucion!CF8=Datos!$C$19,Datos!$D$19,"=")))))</f>
        <v>3</v>
      </c>
      <c r="CF10">
        <f>IF(Evalucion!CG8=Datos!$C$15,Datos!$D$15,IF(Evalucion!CG8=Datos!$C$16,Datos!$D$16,IF(Evalucion!CG8=Datos!$C$17,Datos!$D$17,IF(Evalucion!CG8=Datos!$C$18,Datos!$D$18,IF(Evalucion!CG8=Datos!$C$19,Datos!$D$19,"=")))))</f>
        <v>1</v>
      </c>
      <c r="CG10">
        <f>IF(Evalucion!CH8=Datos!$C$15,Datos!$D$15,IF(Evalucion!CH8=Datos!$C$16,Datos!$D$16,IF(Evalucion!CH8=Datos!$C$17,Datos!$D$17,IF(Evalucion!CH8=Datos!$C$18,Datos!$D$18,IF(Evalucion!CH8=Datos!$C$19,Datos!$D$19,"=")))))</f>
        <v>1</v>
      </c>
      <c r="CH10">
        <f>IF(Evalucion!CI8=Datos!$C$15,Datos!$D$15,IF(Evalucion!CI8=Datos!$C$16,Datos!$D$16,IF(Evalucion!CI8=Datos!$C$17,Datos!$D$17,IF(Evalucion!CI8=Datos!$C$18,Datos!$D$18,IF(Evalucion!CI8=Datos!$C$19,Datos!$D$19,"=")))))</f>
        <v>5</v>
      </c>
      <c r="CI10">
        <f>IF(Evalucion!CJ8=Datos!$C$15,Datos!$D$15,IF(Evalucion!CJ8=Datos!$C$16,Datos!$D$16,IF(Evalucion!CJ8=Datos!$C$17,Datos!$D$17,IF(Evalucion!CJ8=Datos!$C$18,Datos!$D$18,IF(Evalucion!CJ8=Datos!$C$19,Datos!$D$19,"=")))))</f>
        <v>3</v>
      </c>
      <c r="CJ10">
        <f>IF(Evalucion!CK8=Datos!$C$15,Datos!$D$15,IF(Evalucion!CK8=Datos!$C$16,Datos!$D$16,IF(Evalucion!CK8=Datos!$C$17,Datos!$D$17,IF(Evalucion!CK8=Datos!$C$18,Datos!$D$18,IF(Evalucion!CK8=Datos!$C$19,Datos!$D$19,"=")))))</f>
        <v>5</v>
      </c>
      <c r="CK10">
        <f>IF(Evalucion!CL8=Datos!$C$15,Datos!$D$15,IF(Evalucion!CL8=Datos!$C$16,Datos!$D$16,IF(Evalucion!CL8=Datos!$C$17,Datos!$D$17,IF(Evalucion!CL8=Datos!$C$18,Datos!$D$18,IF(Evalucion!CL8=Datos!$C$19,Datos!$D$19,"=")))))</f>
        <v>5</v>
      </c>
      <c r="CL10">
        <f>IF(Evalucion!CM8=Datos!$C$15,Datos!$D$15,IF(Evalucion!CM8=Datos!$C$16,Datos!$D$16,IF(Evalucion!CM8=Datos!$C$17,Datos!$D$17,IF(Evalucion!CM8=Datos!$C$18,Datos!$D$18,IF(Evalucion!CM8=Datos!$C$19,Datos!$D$19,"=")))))</f>
        <v>5</v>
      </c>
      <c r="CM10">
        <f>IF(Evalucion!CN8=Datos!$C$15,Datos!$D$15,IF(Evalucion!CN8=Datos!$C$16,Datos!$D$16,IF(Evalucion!CN8=Datos!$C$17,Datos!$D$17,IF(Evalucion!CN8=Datos!$C$18,Datos!$D$18,IF(Evalucion!CN8=Datos!$C$19,Datos!$D$19,"=")))))</f>
        <v>3</v>
      </c>
      <c r="CN10">
        <f>IF(Evalucion!CO8=Datos!$C$15,Datos!$D$15,IF(Evalucion!CO8=Datos!$C$16,Datos!$D$16,IF(Evalucion!CO8=Datos!$C$17,Datos!$D$17,IF(Evalucion!CO8=Datos!$C$18,Datos!$D$18,IF(Evalucion!CO8=Datos!$C$19,Datos!$D$19,"=")))))</f>
        <v>5</v>
      </c>
      <c r="CO10">
        <f>IF(Evalucion!CP8=Datos!$C$15,Datos!$D$15,IF(Evalucion!CP8=Datos!$C$16,Datos!$D$16,IF(Evalucion!CP8=Datos!$C$17,Datos!$D$17,IF(Evalucion!CP8=Datos!$C$18,Datos!$D$18,IF(Evalucion!CP8=Datos!$C$19,Datos!$D$19,"=")))))</f>
        <v>5</v>
      </c>
      <c r="CP10">
        <f>IF(Evalucion!CQ8=Datos!$C$15,Datos!$D$15,IF(Evalucion!CQ8=Datos!$C$16,Datos!$D$16,IF(Evalucion!CQ8=Datos!$C$17,Datos!$D$17,IF(Evalucion!CQ8=Datos!$C$18,Datos!$D$18,IF(Evalucion!CQ8=Datos!$C$19,Datos!$D$19,"=")))))</f>
        <v>1</v>
      </c>
      <c r="CQ10">
        <f>IF(Evalucion!CR8=Datos!$C$15,Datos!$D$15,IF(Evalucion!CR8=Datos!$C$16,Datos!$D$16,IF(Evalucion!CR8=Datos!$C$17,Datos!$D$17,IF(Evalucion!CR8=Datos!$C$18,Datos!$D$18,IF(Evalucion!CR8=Datos!$C$19,Datos!$D$19,"=")))))</f>
        <v>1</v>
      </c>
      <c r="CR10">
        <f>IF(Evalucion!CS8=Datos!$C$15,Datos!$D$15,IF(Evalucion!CS8=Datos!$C$16,Datos!$D$16,IF(Evalucion!CS8=Datos!$C$17,Datos!$D$17,IF(Evalucion!CS8=Datos!$C$18,Datos!$D$18,IF(Evalucion!CS8=Datos!$C$19,Datos!$D$19,"=")))))</f>
        <v>1</v>
      </c>
      <c r="CS10">
        <f>IF(Evalucion!CT8=Datos!$C$15,Datos!$D$15,IF(Evalucion!CT8=Datos!$C$16,Datos!$D$16,IF(Evalucion!CT8=Datos!$C$17,Datos!$D$17,IF(Evalucion!CT8=Datos!$C$18,Datos!$D$18,IF(Evalucion!CT8=Datos!$C$19,Datos!$D$19,"=")))))</f>
        <v>1</v>
      </c>
      <c r="CT10">
        <f>IF(Evalucion!CU8=Datos!$C$15,Datos!$D$15,IF(Evalucion!CU8=Datos!$C$16,Datos!$D$16,IF(Evalucion!CU8=Datos!$C$17,Datos!$D$17,IF(Evalucion!CU8=Datos!$C$18,Datos!$D$18,IF(Evalucion!CU8=Datos!$C$19,Datos!$D$19,"=")))))</f>
        <v>1</v>
      </c>
      <c r="CU10">
        <f>IF(Evalucion!CV8=Datos!$C$15,Datos!$D$15,IF(Evalucion!CV8=Datos!$C$16,Datos!$D$16,IF(Evalucion!CV8=Datos!$C$17,Datos!$D$17,IF(Evalucion!CV8=Datos!$C$18,Datos!$D$18,IF(Evalucion!CV8=Datos!$C$19,Datos!$D$19,"=")))))</f>
        <v>1</v>
      </c>
      <c r="CV10">
        <f>IF(Evalucion!CW8=Datos!$C$15,Datos!$D$15,IF(Evalucion!CW8=Datos!$C$16,Datos!$D$16,IF(Evalucion!CW8=Datos!$C$17,Datos!$D$17,IF(Evalucion!CW8=Datos!$C$18,Datos!$D$18,IF(Evalucion!CW8=Datos!$C$19,Datos!$D$19,"=")))))</f>
        <v>1</v>
      </c>
      <c r="CW10">
        <f>IF(Evalucion!CX8=Datos!$C$15,Datos!$D$15,IF(Evalucion!CX8=Datos!$C$16,Datos!$D$16,IF(Evalucion!CX8=Datos!$C$17,Datos!$D$17,IF(Evalucion!CX8=Datos!$C$18,Datos!$D$18,IF(Evalucion!CX8=Datos!$C$19,Datos!$D$19,"=")))))</f>
        <v>1</v>
      </c>
      <c r="CX10">
        <f>IF(Evalucion!CY8=Datos!$C$15,Datos!$D$15,IF(Evalucion!CY8=Datos!$C$16,Datos!$D$16,IF(Evalucion!CY8=Datos!$C$17,Datos!$D$17,IF(Evalucion!CY8=Datos!$C$18,Datos!$D$18,IF(Evalucion!CY8=Datos!$C$19,Datos!$D$19,"=")))))</f>
        <v>5</v>
      </c>
      <c r="CY10">
        <f>IF(Evalucion!CZ8=Datos!$C$15,Datos!$D$15,IF(Evalucion!CZ8=Datos!$C$16,Datos!$D$16,IF(Evalucion!CZ8=Datos!$C$17,Datos!$D$17,IF(Evalucion!CZ8=Datos!$C$18,Datos!$D$18,IF(Evalucion!CZ8=Datos!$C$19,Datos!$D$19,"=")))))</f>
        <v>3</v>
      </c>
      <c r="CZ10">
        <f>IF(Evalucion!DA8=Datos!$C$15,Datos!$D$15,IF(Evalucion!DA8=Datos!$C$16,Datos!$D$16,IF(Evalucion!DA8=Datos!$C$17,Datos!$D$17,IF(Evalucion!DA8=Datos!$C$18,Datos!$D$18,IF(Evalucion!DA8=Datos!$C$19,Datos!$D$19,"=")))))</f>
        <v>5</v>
      </c>
      <c r="DA10">
        <f>IF(Evalucion!DB8=Datos!$C$15,Datos!$D$15,IF(Evalucion!DB8=Datos!$C$16,Datos!$D$16,IF(Evalucion!DB8=Datos!$C$17,Datos!$D$17,IF(Evalucion!DB8=Datos!$C$18,Datos!$D$18,IF(Evalucion!DB8=Datos!$C$19,Datos!$D$19,"=")))))</f>
        <v>3</v>
      </c>
      <c r="DB10">
        <f>IF(Evalucion!DC8=Datos!$C$15,Datos!$D$15,IF(Evalucion!DC8=Datos!$C$16,Datos!$D$16,IF(Evalucion!DC8=Datos!$C$17,Datos!$D$17,IF(Evalucion!DC8=Datos!$C$18,Datos!$D$18,IF(Evalucion!DC8=Datos!$C$19,Datos!$D$19,"=")))))</f>
        <v>5</v>
      </c>
      <c r="DC10">
        <f>IF(Evalucion!DD8=Datos!$C$15,Datos!$D$15,IF(Evalucion!DD8=Datos!$C$16,Datos!$D$16,IF(Evalucion!DD8=Datos!$C$17,Datos!$D$17,IF(Evalucion!DD8=Datos!$C$18,Datos!$D$18,IF(Evalucion!DD8=Datos!$C$19,Datos!$D$19,"=")))))</f>
        <v>5</v>
      </c>
      <c r="DD10">
        <f>IF(Evalucion!DE8=Datos!$C$15,Datos!$D$15,IF(Evalucion!DE8=Datos!$C$16,Datos!$D$16,IF(Evalucion!DE8=Datos!$C$17,Datos!$D$17,IF(Evalucion!DE8=Datos!$C$18,Datos!$D$18,IF(Evalucion!DE8=Datos!$C$19,Datos!$D$19,"=")))))</f>
        <v>1</v>
      </c>
      <c r="DE10">
        <f>IF(Evalucion!DF8=Datos!$C$15,Datos!$D$15,IF(Evalucion!DF8=Datos!$C$16,Datos!$D$16,IF(Evalucion!DF8=Datos!$C$17,Datos!$D$17,IF(Evalucion!DF8=Datos!$C$18,Datos!$D$18,IF(Evalucion!DF8=Datos!$C$19,Datos!$D$19,"=")))))</f>
        <v>1</v>
      </c>
      <c r="DF10">
        <f>IF(Evalucion!DG8=Datos!$C$15,Datos!$D$15,IF(Evalucion!DG8=Datos!$C$16,Datos!$D$16,IF(Evalucion!DG8=Datos!$C$17,Datos!$D$17,IF(Evalucion!DG8=Datos!$C$18,Datos!$D$18,IF(Evalucion!DG8=Datos!$C$19,Datos!$D$19,"=")))))</f>
        <v>5</v>
      </c>
      <c r="DG10">
        <f>IF(Evalucion!DH8=Datos!$C$15,Datos!$D$15,IF(Evalucion!DH8=Datos!$C$16,Datos!$D$16,IF(Evalucion!DH8=Datos!$C$17,Datos!$D$17,IF(Evalucion!DH8=Datos!$C$18,Datos!$D$18,IF(Evalucion!DH8=Datos!$C$19,Datos!$D$19,"=")))))</f>
        <v>5</v>
      </c>
      <c r="DH10">
        <f>IF(Evalucion!DI8=Datos!$C$15,Datos!$D$15,IF(Evalucion!DI8=Datos!$C$16,Datos!$D$16,IF(Evalucion!DI8=Datos!$C$17,Datos!$D$17,IF(Evalucion!DI8=Datos!$C$18,Datos!$D$18,IF(Evalucion!DI8=Datos!$C$19,Datos!$D$19,"=")))))</f>
        <v>1</v>
      </c>
      <c r="DI10">
        <f>IF(Evalucion!DJ8=Datos!$C$15,Datos!$D$15,IF(Evalucion!DJ8=Datos!$C$16,Datos!$D$16,IF(Evalucion!DJ8=Datos!$C$17,Datos!$D$17,IF(Evalucion!DJ8=Datos!$C$18,Datos!$D$18,IF(Evalucion!DJ8=Datos!$C$19,Datos!$D$19,"=")))))</f>
        <v>1</v>
      </c>
      <c r="DJ10">
        <f>IF(Evalucion!DK8=Datos!$C$15,Datos!$D$15,IF(Evalucion!DK8=Datos!$C$16,Datos!$D$16,IF(Evalucion!DK8=Datos!$C$17,Datos!$D$17,IF(Evalucion!DK8=Datos!$C$18,Datos!$D$18,IF(Evalucion!DK8=Datos!$C$19,Datos!$D$19,"=")))))</f>
        <v>1</v>
      </c>
      <c r="DK10">
        <f>IF(Evalucion!DL8=Datos!$C$15,Datos!$D$15,IF(Evalucion!DL8=Datos!$C$16,Datos!$D$16,IF(Evalucion!DL8=Datos!$C$17,Datos!$D$17,IF(Evalucion!DL8=Datos!$C$18,Datos!$D$18,IF(Evalucion!DL8=Datos!$C$19,Datos!$D$19,"=")))))</f>
        <v>1</v>
      </c>
      <c r="DL10">
        <f>IF(Evalucion!DM8=Datos!$C$15,Datos!$D$15,IF(Evalucion!DM8=Datos!$C$16,Datos!$D$16,IF(Evalucion!DM8=Datos!$C$17,Datos!$D$17,IF(Evalucion!DM8=Datos!$C$18,Datos!$D$18,IF(Evalucion!DM8=Datos!$C$19,Datos!$D$19,"=")))))</f>
        <v>5</v>
      </c>
      <c r="DM10">
        <f>IF(Evalucion!DN8=Datos!$C$15,Datos!$D$15,IF(Evalucion!DN8=Datos!$C$16,Datos!$D$16,IF(Evalucion!DN8=Datos!$C$17,Datos!$D$17,IF(Evalucion!DN8=Datos!$C$18,Datos!$D$18,IF(Evalucion!DN8=Datos!$C$19,Datos!$D$19,"=")))))</f>
        <v>3</v>
      </c>
      <c r="DN10">
        <f>IF(Evalucion!DO8=Datos!$C$15,Datos!$D$15,IF(Evalucion!DO8=Datos!$C$16,Datos!$D$16,IF(Evalucion!DO8=Datos!$C$17,Datos!$D$17,IF(Evalucion!DO8=Datos!$C$18,Datos!$D$18,IF(Evalucion!DO8=Datos!$C$19,Datos!$D$19,"=")))))</f>
        <v>5</v>
      </c>
      <c r="DO10">
        <f>IF(Evalucion!DP8=Datos!$C$15,Datos!$D$15,IF(Evalucion!DP8=Datos!$C$16,Datos!$D$16,IF(Evalucion!DP8=Datos!$C$17,Datos!$D$17,IF(Evalucion!DP8=Datos!$C$18,Datos!$D$18,IF(Evalucion!DP8=Datos!$C$19,Datos!$D$19,"=")))))</f>
        <v>1</v>
      </c>
      <c r="DP10">
        <f>IF(Evalucion!DQ8=Datos!$C$15,Datos!$D$15,IF(Evalucion!DQ8=Datos!$C$16,Datos!$D$16,IF(Evalucion!DQ8=Datos!$C$17,Datos!$D$17,IF(Evalucion!DQ8=Datos!$C$18,Datos!$D$18,IF(Evalucion!DQ8=Datos!$C$19,Datos!$D$19,"=")))))</f>
        <v>1</v>
      </c>
      <c r="DQ10">
        <f>IF(Evalucion!DR8=Datos!$C$15,Datos!$D$15,IF(Evalucion!DR8=Datos!$C$16,Datos!$D$16,IF(Evalucion!DR8=Datos!$C$17,Datos!$D$17,IF(Evalucion!DR8=Datos!$C$18,Datos!$D$18,IF(Evalucion!DR8=Datos!$C$19,Datos!$D$19,"=")))))</f>
        <v>1</v>
      </c>
      <c r="DR10">
        <f>IF(Evalucion!DS8=Datos!$C$15,Datos!$D$15,IF(Evalucion!DS8=Datos!$C$16,Datos!$D$16,IF(Evalucion!DS8=Datos!$C$17,Datos!$D$17,IF(Evalucion!DS8=Datos!$C$18,Datos!$D$18,IF(Evalucion!DS8=Datos!$C$19,Datos!$D$19,"=")))))</f>
        <v>1</v>
      </c>
      <c r="DS10">
        <f>IF(Evalucion!DT8=Datos!$C$15,Datos!$D$15,IF(Evalucion!DT8=Datos!$C$16,Datos!$D$16,IF(Evalucion!DT8=Datos!$C$17,Datos!$D$17,IF(Evalucion!DT8=Datos!$C$18,Datos!$D$18,IF(Evalucion!DT8=Datos!$C$19,Datos!$D$19,"=")))))</f>
        <v>1</v>
      </c>
      <c r="DT10">
        <f>IF(Evalucion!DU8=Datos!$C$15,Datos!$D$15,IF(Evalucion!DU8=Datos!$C$16,Datos!$D$16,IF(Evalucion!DU8=Datos!$C$17,Datos!$D$17,IF(Evalucion!DU8=Datos!$C$18,Datos!$D$18,IF(Evalucion!DU8=Datos!$C$19,Datos!$D$19,"=")))))</f>
        <v>1</v>
      </c>
      <c r="DU10">
        <f>IF(Evalucion!DV8=Datos!$C$15,Datos!$D$15,IF(Evalucion!DV8=Datos!$C$16,Datos!$D$16,IF(Evalucion!DV8=Datos!$C$17,Datos!$D$17,IF(Evalucion!DV8=Datos!$C$18,Datos!$D$18,IF(Evalucion!DV8=Datos!$C$19,Datos!$D$19,"=")))))</f>
        <v>1</v>
      </c>
      <c r="DV10">
        <f>IF(Evalucion!DW8=Datos!$C$15,Datos!$D$15,IF(Evalucion!DW8=Datos!$C$16,Datos!$D$16,IF(Evalucion!DW8=Datos!$C$17,Datos!$D$17,IF(Evalucion!DW8=Datos!$C$18,Datos!$D$18,IF(Evalucion!DW8=Datos!$C$19,Datos!$D$19,"=")))))</f>
        <v>1</v>
      </c>
      <c r="DW10">
        <f>IF(Evalucion!DX8=Datos!$C$15,Datos!$D$15,IF(Evalucion!DX8=Datos!$C$16,Datos!$D$16,IF(Evalucion!DX8=Datos!$C$17,Datos!$D$17,IF(Evalucion!DX8=Datos!$C$18,Datos!$D$18,IF(Evalucion!DX8=Datos!$C$19,Datos!$D$19,"=")))))</f>
        <v>1</v>
      </c>
      <c r="DX10">
        <f>IF(Evalucion!DY8=Datos!$C$15,Datos!$D$15,IF(Evalucion!DY8=Datos!$C$16,Datos!$D$16,IF(Evalucion!DY8=Datos!$C$17,Datos!$D$17,IF(Evalucion!DY8=Datos!$C$18,Datos!$D$18,IF(Evalucion!DY8=Datos!$C$19,Datos!$D$19,"=")))))</f>
        <v>1</v>
      </c>
      <c r="DY10">
        <f>IF(Evalucion!DZ8=Datos!$C$15,Datos!$D$15,IF(Evalucion!DZ8=Datos!$C$16,Datos!$D$16,IF(Evalucion!DZ8=Datos!$C$17,Datos!$D$17,IF(Evalucion!DZ8=Datos!$C$18,Datos!$D$18,IF(Evalucion!DZ8=Datos!$C$19,Datos!$D$19,"=")))))</f>
        <v>1</v>
      </c>
      <c r="DZ10">
        <f>IF(Evalucion!EA8=Datos!$C$15,Datos!$D$15,IF(Evalucion!EA8=Datos!$C$16,Datos!$D$16,IF(Evalucion!EA8=Datos!$C$17,Datos!$D$17,IF(Evalucion!EA8=Datos!$C$18,Datos!$D$18,IF(Evalucion!EA8=Datos!$C$19,Datos!$D$19,"=")))))</f>
        <v>5</v>
      </c>
      <c r="EA10">
        <f>IF(Evalucion!EB8=Datos!$C$15,Datos!$D$15,IF(Evalucion!EB8=Datos!$C$16,Datos!$D$16,IF(Evalucion!EB8=Datos!$C$17,Datos!$D$17,IF(Evalucion!EB8=Datos!$C$18,Datos!$D$18,IF(Evalucion!EB8=Datos!$C$19,Datos!$D$19,"=")))))</f>
        <v>1</v>
      </c>
      <c r="EB10">
        <f>IF(Evalucion!EC8=Datos!$C$15,Datos!$D$15,IF(Evalucion!EC8=Datos!$C$16,Datos!$D$16,IF(Evalucion!EC8=Datos!$C$17,Datos!$D$17,IF(Evalucion!EC8=Datos!$C$18,Datos!$D$18,IF(Evalucion!EC8=Datos!$C$19,Datos!$D$19,"=")))))</f>
        <v>1</v>
      </c>
      <c r="EC10">
        <f>IF(Evalucion!ED8=Datos!$C$15,Datos!$D$15,IF(Evalucion!ED8=Datos!$C$16,Datos!$D$16,IF(Evalucion!ED8=Datos!$C$17,Datos!$D$17,IF(Evalucion!ED8=Datos!$C$18,Datos!$D$18,IF(Evalucion!ED8=Datos!$C$19,Datos!$D$19,"=")))))</f>
        <v>1</v>
      </c>
      <c r="ED10">
        <f>IF(Evalucion!EE8=Datos!$C$15,Datos!$D$15,IF(Evalucion!EE8=Datos!$C$16,Datos!$D$16,IF(Evalucion!EE8=Datos!$C$17,Datos!$D$17,IF(Evalucion!EE8=Datos!$C$18,Datos!$D$18,IF(Evalucion!EE8=Datos!$C$19,Datos!$D$19,"=")))))</f>
        <v>5</v>
      </c>
      <c r="EE10">
        <f>IF(Evalucion!EF8=Datos!$C$15,Datos!$D$15,IF(Evalucion!EF8=Datos!$C$16,Datos!$D$16,IF(Evalucion!EF8=Datos!$C$17,Datos!$D$17,IF(Evalucion!EF8=Datos!$C$18,Datos!$D$18,IF(Evalucion!EF8=Datos!$C$19,Datos!$D$19,"=")))))</f>
        <v>1</v>
      </c>
      <c r="EF10">
        <f>IF(Evalucion!EG8=Datos!$C$15,Datos!$D$15,IF(Evalucion!EG8=Datos!$C$16,Datos!$D$16,IF(Evalucion!EG8=Datos!$C$17,Datos!$D$17,IF(Evalucion!EG8=Datos!$C$18,Datos!$D$18,IF(Evalucion!EG8=Datos!$C$19,Datos!$D$19,"=")))))</f>
        <v>5</v>
      </c>
      <c r="EG10">
        <f>IF(Evalucion!EH8=Datos!$C$15,Datos!$D$15,IF(Evalucion!EH8=Datos!$C$16,Datos!$D$16,IF(Evalucion!EH8=Datos!$C$17,Datos!$D$17,IF(Evalucion!EH8=Datos!$C$18,Datos!$D$18,IF(Evalucion!EH8=Datos!$C$19,Datos!$D$19,"=")))))</f>
        <v>3</v>
      </c>
      <c r="EH10">
        <f>IF(Evalucion!EI8=Datos!$C$15,Datos!$D$15,IF(Evalucion!EI8=Datos!$C$16,Datos!$D$16,IF(Evalucion!EI8=Datos!$C$17,Datos!$D$17,IF(Evalucion!EI8=Datos!$C$18,Datos!$D$18,IF(Evalucion!EI8=Datos!$C$19,Datos!$D$19,"=")))))</f>
        <v>5</v>
      </c>
      <c r="EI10">
        <f>IF(Evalucion!EJ8=Datos!$C$15,Datos!$D$15,IF(Evalucion!EJ8=Datos!$C$16,Datos!$D$16,IF(Evalucion!EJ8=Datos!$C$17,Datos!$D$17,IF(Evalucion!EJ8=Datos!$C$18,Datos!$D$18,IF(Evalucion!EJ8=Datos!$C$19,Datos!$D$19,"=")))))</f>
        <v>3</v>
      </c>
      <c r="EJ10">
        <f>IF(Evalucion!EK8=Datos!$C$15,Datos!$D$15,IF(Evalucion!EK8=Datos!$C$16,Datos!$D$16,IF(Evalucion!EK8=Datos!$C$17,Datos!$D$17,IF(Evalucion!EK8=Datos!$C$18,Datos!$D$18,IF(Evalucion!EK8=Datos!$C$19,Datos!$D$19,"=")))))</f>
        <v>5</v>
      </c>
      <c r="EK10">
        <f>IF(Evalucion!EL8=Datos!$C$15,Datos!$D$15,IF(Evalucion!EL8=Datos!$C$16,Datos!$D$16,IF(Evalucion!EL8=Datos!$C$17,Datos!$D$17,IF(Evalucion!EL8=Datos!$C$18,Datos!$D$18,IF(Evalucion!EL8=Datos!$C$19,Datos!$D$19,"=")))))</f>
        <v>3</v>
      </c>
      <c r="EL10">
        <f>IF(Evalucion!EM8=Datos!$C$15,Datos!$D$15,IF(Evalucion!EM8=Datos!$C$16,Datos!$D$16,IF(Evalucion!EM8=Datos!$C$17,Datos!$D$17,IF(Evalucion!EM8=Datos!$C$18,Datos!$D$18,IF(Evalucion!EM8=Datos!$C$19,Datos!$D$19,"=")))))</f>
        <v>5</v>
      </c>
      <c r="EM10">
        <f>IF(Evalucion!EN8=Datos!$C$15,Datos!$D$15,IF(Evalucion!EN8=Datos!$C$16,Datos!$D$16,IF(Evalucion!EN8=Datos!$C$17,Datos!$D$17,IF(Evalucion!EN8=Datos!$C$18,Datos!$D$18,IF(Evalucion!EN8=Datos!$C$19,Datos!$D$19,"=")))))</f>
        <v>1</v>
      </c>
      <c r="EN10">
        <f>IF(Evalucion!EO8=Datos!$C$15,Datos!$D$15,IF(Evalucion!EO8=Datos!$C$16,Datos!$D$16,IF(Evalucion!EO8=Datos!$C$17,Datos!$D$17,IF(Evalucion!EO8=Datos!$C$18,Datos!$D$18,IF(Evalucion!EO8=Datos!$C$19,Datos!$D$19,"=")))))</f>
        <v>1</v>
      </c>
      <c r="EO10">
        <f>IF(Evalucion!EP8=Datos!$C$15,Datos!$D$15,IF(Evalucion!EP8=Datos!$C$16,Datos!$D$16,IF(Evalucion!EP8=Datos!$C$17,Datos!$D$17,IF(Evalucion!EP8=Datos!$C$18,Datos!$D$18,IF(Evalucion!EP8=Datos!$C$19,Datos!$D$19,"=")))))</f>
        <v>1</v>
      </c>
      <c r="EP10">
        <f>IF(Evalucion!EQ8=Datos!$C$15,Datos!$D$15,IF(Evalucion!EQ8=Datos!$C$16,Datos!$D$16,IF(Evalucion!EQ8=Datos!$C$17,Datos!$D$17,IF(Evalucion!EQ8=Datos!$C$18,Datos!$D$18,IF(Evalucion!EQ8=Datos!$C$19,Datos!$D$19,"=")))))</f>
        <v>1</v>
      </c>
      <c r="EQ10">
        <f>IF(Evalucion!ER8=Datos!$C$15,Datos!$D$15,IF(Evalucion!ER8=Datos!$C$16,Datos!$D$16,IF(Evalucion!ER8=Datos!$C$17,Datos!$D$17,IF(Evalucion!ER8=Datos!$C$18,Datos!$D$18,IF(Evalucion!ER8=Datos!$C$19,Datos!$D$19,"=")))))</f>
        <v>1</v>
      </c>
      <c r="ER10">
        <f>IF(Evalucion!ES8=Datos!$C$15,Datos!$D$15,IF(Evalucion!ES8=Datos!$C$16,Datos!$D$16,IF(Evalucion!ES8=Datos!$C$17,Datos!$D$17,IF(Evalucion!ES8=Datos!$C$18,Datos!$D$18,IF(Evalucion!ES8=Datos!$C$19,Datos!$D$19,"=")))))</f>
        <v>5</v>
      </c>
      <c r="ES10">
        <f>IF(Evalucion!ET8=Datos!$C$15,Datos!$D$15,IF(Evalucion!ET8=Datos!$C$16,Datos!$D$16,IF(Evalucion!ET8=Datos!$C$17,Datos!$D$17,IF(Evalucion!ET8=Datos!$C$18,Datos!$D$18,IF(Evalucion!ET8=Datos!$C$19,Datos!$D$19,"=")))))</f>
        <v>1</v>
      </c>
      <c r="ET10">
        <f>IF(Evalucion!EU8=Datos!$C$15,Datos!$D$15,IF(Evalucion!EU8=Datos!$C$16,Datos!$D$16,IF(Evalucion!EU8=Datos!$C$17,Datos!$D$17,IF(Evalucion!EU8=Datos!$C$18,Datos!$D$18,IF(Evalucion!EU8=Datos!$C$19,Datos!$D$19,"=")))))</f>
        <v>5</v>
      </c>
      <c r="EU10">
        <f>IF(Evalucion!EV8=Datos!$C$15,Datos!$D$15,IF(Evalucion!EV8=Datos!$C$16,Datos!$D$16,IF(Evalucion!EV8=Datos!$C$17,Datos!$D$17,IF(Evalucion!EV8=Datos!$C$18,Datos!$D$18,IF(Evalucion!EV8=Datos!$C$19,Datos!$D$19,"=")))))</f>
        <v>1</v>
      </c>
      <c r="EV10">
        <f>IF(Evalucion!EW8=Datos!$C$15,Datos!$D$15,IF(Evalucion!EW8=Datos!$C$16,Datos!$D$16,IF(Evalucion!EW8=Datos!$C$17,Datos!$D$17,IF(Evalucion!EW8=Datos!$C$18,Datos!$D$18,IF(Evalucion!EW8=Datos!$C$19,Datos!$D$19,"=")))))</f>
        <v>5</v>
      </c>
      <c r="EW10">
        <f>IF(Evalucion!EX8=Datos!$C$15,Datos!$D$15,IF(Evalucion!EX8=Datos!$C$16,Datos!$D$16,IF(Evalucion!EX8=Datos!$C$17,Datos!$D$17,IF(Evalucion!EX8=Datos!$C$18,Datos!$D$18,IF(Evalucion!EX8=Datos!$C$19,Datos!$D$19,"=")))))</f>
        <v>5</v>
      </c>
      <c r="EX10">
        <f>IF(Evalucion!EY8=Datos!$C$15,Datos!$D$15,IF(Evalucion!EY8=Datos!$C$16,Datos!$D$16,IF(Evalucion!EY8=Datos!$C$17,Datos!$D$17,IF(Evalucion!EY8=Datos!$C$18,Datos!$D$18,IF(Evalucion!EY8=Datos!$C$19,Datos!$D$19,"=")))))</f>
        <v>5</v>
      </c>
      <c r="EY10">
        <f>IF(Evalucion!EZ8=Datos!$C$15,Datos!$D$15,IF(Evalucion!EZ8=Datos!$C$16,Datos!$D$16,IF(Evalucion!EZ8=Datos!$C$17,Datos!$D$17,IF(Evalucion!EZ8=Datos!$C$18,Datos!$D$18,IF(Evalucion!EZ8=Datos!$C$19,Datos!$D$19,"=")))))</f>
        <v>3</v>
      </c>
      <c r="FA10">
        <f t="shared" si="3"/>
        <v>251</v>
      </c>
      <c r="FB10">
        <f t="shared" si="3"/>
        <v>195</v>
      </c>
      <c r="FC10" s="3">
        <f t="shared" si="4"/>
        <v>0.52</v>
      </c>
      <c r="FD10" t="str">
        <f t="shared" si="0"/>
        <v>Conf_CR</v>
      </c>
      <c r="FF10">
        <f t="shared" si="5"/>
        <v>446</v>
      </c>
      <c r="FG10">
        <f t="shared" si="6"/>
        <v>0</v>
      </c>
    </row>
    <row r="11" spans="1:167" x14ac:dyDescent="0.2">
      <c r="A11">
        <f t="shared" ref="A11:A53" si="7">1+A10</f>
        <v>8</v>
      </c>
      <c r="B11" t="s">
        <v>252</v>
      </c>
      <c r="C11" t="s">
        <v>193</v>
      </c>
      <c r="D11" s="1">
        <v>43950</v>
      </c>
      <c r="E11">
        <f>IF(Evalucion!F9=Datos!$C$15,Datos!$D$15,IF(Evalucion!F9=Datos!$C$16,Datos!$D$16,IF(Evalucion!F9=Datos!$C$17,Datos!$D$17,IF(Evalucion!F9=Datos!$C$18,Datos!$D$18,IF(Evalucion!F9=Datos!$C$19,Datos!$D$19,"=")))))</f>
        <v>5</v>
      </c>
      <c r="F11">
        <f>IF(Evalucion!G9=Datos!$C$15,Datos!$D$15,IF(Evalucion!G9=Datos!$C$16,Datos!$D$16,IF(Evalucion!G9=Datos!$C$17,Datos!$D$17,IF(Evalucion!G9=Datos!$C$18,Datos!$D$18,IF(Evalucion!G9=Datos!$C$19,Datos!$D$19,"=")))))</f>
        <v>5</v>
      </c>
      <c r="G11">
        <f>IF(Evalucion!H9=Datos!$C$15,Datos!$D$15,IF(Evalucion!H9=Datos!$C$16,Datos!$D$16,IF(Evalucion!H9=Datos!$C$17,Datos!$D$17,IF(Evalucion!H9=Datos!$C$18,Datos!$D$18,IF(Evalucion!H9=Datos!$C$19,Datos!$D$19,"=")))))</f>
        <v>5</v>
      </c>
      <c r="H11">
        <f>IF(Evalucion!I9=Datos!$C$15,Datos!$D$15,IF(Evalucion!I9=Datos!$C$16,Datos!$D$16,IF(Evalucion!I9=Datos!$C$17,Datos!$D$17,IF(Evalucion!I9=Datos!$C$18,Datos!$D$18,IF(Evalucion!I9=Datos!$C$19,Datos!$D$19,"=")))))</f>
        <v>5</v>
      </c>
      <c r="I11">
        <f>IF(Evalucion!J9=Datos!$C$15,Datos!$D$15,IF(Evalucion!J9=Datos!$C$16,Datos!$D$16,IF(Evalucion!J9=Datos!$C$17,Datos!$D$17,IF(Evalucion!J9=Datos!$C$18,Datos!$D$18,IF(Evalucion!J9=Datos!$C$19,Datos!$D$19,"=")))))</f>
        <v>5</v>
      </c>
      <c r="J11">
        <f>IF(Evalucion!K9=Datos!$C$15,Datos!$D$15,IF(Evalucion!K9=Datos!$C$16,Datos!$D$16,IF(Evalucion!K9=Datos!$C$17,Datos!$D$17,IF(Evalucion!K9=Datos!$C$18,Datos!$D$18,IF(Evalucion!K9=Datos!$C$19,Datos!$D$19,"=")))))</f>
        <v>5</v>
      </c>
      <c r="K11">
        <f>IF(Evalucion!L9=Datos!$C$15,Datos!$D$15,IF(Evalucion!L9=Datos!$C$16,Datos!$D$16,IF(Evalucion!L9=Datos!$C$17,Datos!$D$17,IF(Evalucion!L9=Datos!$C$18,Datos!$D$18,IF(Evalucion!L9=Datos!$C$19,Datos!$D$19,"=")))))</f>
        <v>5</v>
      </c>
      <c r="L11">
        <f>IF(Evalucion!M9=Datos!$C$15,Datos!$D$15,IF(Evalucion!M9=Datos!$C$16,Datos!$D$16,IF(Evalucion!M9=Datos!$C$17,Datos!$D$17,IF(Evalucion!M9=Datos!$C$18,Datos!$D$18,IF(Evalucion!M9=Datos!$C$19,Datos!$D$19,"=")))))</f>
        <v>5</v>
      </c>
      <c r="M11">
        <f>IF(Evalucion!N9=Datos!$C$15,Datos!$D$15,IF(Evalucion!N9=Datos!$C$16,Datos!$D$16,IF(Evalucion!N9=Datos!$C$17,Datos!$D$17,IF(Evalucion!N9=Datos!$C$18,Datos!$D$18,IF(Evalucion!N9=Datos!$C$19,Datos!$D$19,"=")))))</f>
        <v>5</v>
      </c>
      <c r="N11">
        <f>IF(Evalucion!O9=Datos!$C$15,Datos!$D$15,IF(Evalucion!O9=Datos!$C$16,Datos!$D$16,IF(Evalucion!O9=Datos!$C$17,Datos!$D$17,IF(Evalucion!O9=Datos!$C$18,Datos!$D$18,IF(Evalucion!O9=Datos!$C$19,Datos!$D$19,"=")))))</f>
        <v>5</v>
      </c>
      <c r="O11">
        <f>IF(Evalucion!P9=Datos!$C$15,Datos!$D$15,IF(Evalucion!P9=Datos!$C$16,Datos!$D$16,IF(Evalucion!P9=Datos!$C$17,Datos!$D$17,IF(Evalucion!P9=Datos!$C$18,Datos!$D$18,IF(Evalucion!P9=Datos!$C$19,Datos!$D$19,"=")))))</f>
        <v>5</v>
      </c>
      <c r="P11">
        <f>IF(Evalucion!Q9=Datos!$C$15,Datos!$D$15,IF(Evalucion!Q9=Datos!$C$16,Datos!$D$16,IF(Evalucion!Q9=Datos!$C$17,Datos!$D$17,IF(Evalucion!Q9=Datos!$C$18,Datos!$D$18,IF(Evalucion!Q9=Datos!$C$19,Datos!$D$19,"=")))))</f>
        <v>1</v>
      </c>
      <c r="Q11">
        <f>IF(Evalucion!R9=Datos!$C$15,Datos!$D$15,IF(Evalucion!R9=Datos!$C$16,Datos!$D$16,IF(Evalucion!R9=Datos!$C$17,Datos!$D$17,IF(Evalucion!R9=Datos!$C$18,Datos!$D$18,IF(Evalucion!R9=Datos!$C$19,Datos!$D$19,"=")))))</f>
        <v>5</v>
      </c>
      <c r="R11">
        <f>IF(Evalucion!S9=Datos!$C$15,Datos!$D$15,IF(Evalucion!S9=Datos!$C$16,Datos!$D$16,IF(Evalucion!S9=Datos!$C$17,Datos!$D$17,IF(Evalucion!S9=Datos!$C$18,Datos!$D$18,IF(Evalucion!S9=Datos!$C$19,Datos!$D$19,"=")))))</f>
        <v>5</v>
      </c>
      <c r="S11">
        <f>IF(Evalucion!T9=Datos!$C$15,Datos!$D$15,IF(Evalucion!T9=Datos!$C$16,Datos!$D$16,IF(Evalucion!T9=Datos!$C$17,Datos!$D$17,IF(Evalucion!T9=Datos!$C$18,Datos!$D$18,IF(Evalucion!T9=Datos!$C$19,Datos!$D$19,"=")))))</f>
        <v>1</v>
      </c>
      <c r="T11">
        <f>IF(Evalucion!U9=Datos!$C$15,Datos!$D$15,IF(Evalucion!U9=Datos!$C$16,Datos!$D$16,IF(Evalucion!U9=Datos!$C$17,Datos!$D$17,IF(Evalucion!U9=Datos!$C$18,Datos!$D$18,IF(Evalucion!U9=Datos!$C$19,Datos!$D$19,"=")))))</f>
        <v>1</v>
      </c>
      <c r="U11">
        <f>IF(Evalucion!V9=Datos!$C$15,Datos!$D$15,IF(Evalucion!V9=Datos!$C$16,Datos!$D$16,IF(Evalucion!V9=Datos!$C$17,Datos!$D$17,IF(Evalucion!V9=Datos!$C$18,Datos!$D$18,IF(Evalucion!V9=Datos!$C$19,Datos!$D$19,"=")))))</f>
        <v>1</v>
      </c>
      <c r="V11">
        <f>IF(Evalucion!W9=Datos!$C$15,Datos!$D$15,IF(Evalucion!W9=Datos!$C$16,Datos!$D$16,IF(Evalucion!W9=Datos!$C$17,Datos!$D$17,IF(Evalucion!W9=Datos!$C$18,Datos!$D$18,IF(Evalucion!W9=Datos!$C$19,Datos!$D$19,"=")))))</f>
        <v>1</v>
      </c>
      <c r="W11">
        <f>IF(Evalucion!X9=Datos!$C$15,Datos!$D$15,IF(Evalucion!X9=Datos!$C$16,Datos!$D$16,IF(Evalucion!X9=Datos!$C$17,Datos!$D$17,IF(Evalucion!X9=Datos!$C$18,Datos!$D$18,IF(Evalucion!X9=Datos!$C$19,Datos!$D$19,"=")))))</f>
        <v>1</v>
      </c>
      <c r="X11">
        <f>IF(Evalucion!Y9=Datos!$C$15,Datos!$D$15,IF(Evalucion!Y9=Datos!$C$16,Datos!$D$16,IF(Evalucion!Y9=Datos!$C$17,Datos!$D$17,IF(Evalucion!Y9=Datos!$C$18,Datos!$D$18,IF(Evalucion!Y9=Datos!$C$19,Datos!$D$19,"=")))))</f>
        <v>1</v>
      </c>
      <c r="Y11">
        <f>IF(Evalucion!Z9=Datos!$C$15,Datos!$D$15,IF(Evalucion!Z9=Datos!$C$16,Datos!$D$16,IF(Evalucion!Z9=Datos!$C$17,Datos!$D$17,IF(Evalucion!Z9=Datos!$C$18,Datos!$D$18,IF(Evalucion!Z9=Datos!$C$19,Datos!$D$19,"=")))))</f>
        <v>1</v>
      </c>
      <c r="Z11">
        <f>IF(Evalucion!AA9=Datos!$C$15,Datos!$D$15,IF(Evalucion!AA9=Datos!$C$16,Datos!$D$16,IF(Evalucion!AA9=Datos!$C$17,Datos!$D$17,IF(Evalucion!AA9=Datos!$C$18,Datos!$D$18,IF(Evalucion!AA9=Datos!$C$19,Datos!$D$19,"=")))))</f>
        <v>1</v>
      </c>
      <c r="AA11">
        <f>IF(Evalucion!AB9=Datos!$C$15,Datos!$D$15,IF(Evalucion!AB9=Datos!$C$16,Datos!$D$16,IF(Evalucion!AB9=Datos!$C$17,Datos!$D$17,IF(Evalucion!AB9=Datos!$C$18,Datos!$D$18,IF(Evalucion!AB9=Datos!$C$19,Datos!$D$19,"=")))))</f>
        <v>1</v>
      </c>
      <c r="AB11">
        <f>IF(Evalucion!AC9=Datos!$C$15,Datos!$D$15,IF(Evalucion!AC9=Datos!$C$16,Datos!$D$16,IF(Evalucion!AC9=Datos!$C$17,Datos!$D$17,IF(Evalucion!AC9=Datos!$C$18,Datos!$D$18,IF(Evalucion!AC9=Datos!$C$19,Datos!$D$19,"=")))))</f>
        <v>1</v>
      </c>
      <c r="AC11">
        <f>IF(Evalucion!AD9=Datos!$C$15,Datos!$D$15,IF(Evalucion!AD9=Datos!$C$16,Datos!$D$16,IF(Evalucion!AD9=Datos!$C$17,Datos!$D$17,IF(Evalucion!AD9=Datos!$C$18,Datos!$D$18,IF(Evalucion!AD9=Datos!$C$19,Datos!$D$19,"=")))))</f>
        <v>5</v>
      </c>
      <c r="AD11">
        <f>IF(Evalucion!AE9=Datos!$C$15,Datos!$D$15,IF(Evalucion!AE9=Datos!$C$16,Datos!$D$16,IF(Evalucion!AE9=Datos!$C$17,Datos!$D$17,IF(Evalucion!AE9=Datos!$C$18,Datos!$D$18,IF(Evalucion!AE9=Datos!$C$19,Datos!$D$19,"=")))))</f>
        <v>3</v>
      </c>
      <c r="AE11">
        <f>IF(Evalucion!AF9=Datos!$C$15,Datos!$D$15,IF(Evalucion!AF9=Datos!$C$16,Datos!$D$16,IF(Evalucion!AF9=Datos!$C$17,Datos!$D$17,IF(Evalucion!AF9=Datos!$C$18,Datos!$D$18,IF(Evalucion!AF9=Datos!$C$19,Datos!$D$19,"=")))))</f>
        <v>5</v>
      </c>
      <c r="AF11">
        <f>IF(Evalucion!AG9=Datos!$C$15,Datos!$D$15,IF(Evalucion!AG9=Datos!$C$16,Datos!$D$16,IF(Evalucion!AG9=Datos!$C$17,Datos!$D$17,IF(Evalucion!AG9=Datos!$C$18,Datos!$D$18,IF(Evalucion!AG9=Datos!$C$19,Datos!$D$19,"=")))))</f>
        <v>5</v>
      </c>
      <c r="AO11">
        <f>IF(Evalucion!AP9=Datos!$C$15,Datos!$D$15,IF(Evalucion!AP9=Datos!$C$16,Datos!$D$16,IF(Evalucion!AP9=Datos!$C$17,Datos!$D$17,IF(Evalucion!AP9=Datos!$C$18,Datos!$D$18,IF(Evalucion!AP9=Datos!$C$19,Datos!$D$19,"=")))))</f>
        <v>5</v>
      </c>
      <c r="AP11">
        <f>IF(Evalucion!AQ9=Datos!$C$15,Datos!$D$15,IF(Evalucion!AQ9=Datos!$C$16,Datos!$D$16,IF(Evalucion!AQ9=Datos!$C$17,Datos!$D$17,IF(Evalucion!AQ9=Datos!$C$18,Datos!$D$18,IF(Evalucion!AQ9=Datos!$C$19,Datos!$D$19,"=")))))</f>
        <v>3</v>
      </c>
      <c r="AQ11">
        <f>IF(Evalucion!AR9=Datos!$C$15,Datos!$D$15,IF(Evalucion!AR9=Datos!$C$16,Datos!$D$16,IF(Evalucion!AR9=Datos!$C$17,Datos!$D$17,IF(Evalucion!AR9=Datos!$C$18,Datos!$D$18,IF(Evalucion!AR9=Datos!$C$19,Datos!$D$19,"=")))))</f>
        <v>1</v>
      </c>
      <c r="AR11">
        <f>IF(Evalucion!AS9=Datos!$C$15,Datos!$D$15,IF(Evalucion!AS9=Datos!$C$16,Datos!$D$16,IF(Evalucion!AS9=Datos!$C$17,Datos!$D$17,IF(Evalucion!AS9=Datos!$C$18,Datos!$D$18,IF(Evalucion!AS9=Datos!$C$19,Datos!$D$19,"=")))))</f>
        <v>1</v>
      </c>
      <c r="AS11">
        <f>IF(Evalucion!AT9=Datos!$C$15,Datos!$D$15,IF(Evalucion!AT9=Datos!$C$16,Datos!$D$16,IF(Evalucion!AT9=Datos!$C$17,Datos!$D$17,IF(Evalucion!AT9=Datos!$C$18,Datos!$D$18,IF(Evalucion!AT9=Datos!$C$19,Datos!$D$19,"=")))))</f>
        <v>1</v>
      </c>
      <c r="AT11">
        <f>IF(Evalucion!AU9=Datos!$C$15,Datos!$D$15,IF(Evalucion!AU9=Datos!$C$16,Datos!$D$16,IF(Evalucion!AU9=Datos!$C$17,Datos!$D$17,IF(Evalucion!AU9=Datos!$C$18,Datos!$D$18,IF(Evalucion!AU9=Datos!$C$19,Datos!$D$19,"=")))))</f>
        <v>3</v>
      </c>
      <c r="AV11">
        <f>IF(Evalucion!AW9=Datos!$C$15,Datos!$D$15,IF(Evalucion!AW9=Datos!$C$16,Datos!$D$16,IF(Evalucion!AW9=Datos!$C$17,Datos!$D$17,IF(Evalucion!AW9=Datos!$C$18,Datos!$D$18,IF(Evalucion!AW9=Datos!$C$19,Datos!$D$19,"=")))))</f>
        <v>1</v>
      </c>
      <c r="AW11">
        <f>IF(Evalucion!AX9=Datos!$C$15,Datos!$D$15,IF(Evalucion!AX9=Datos!$C$16,Datos!$D$16,IF(Evalucion!AX9=Datos!$C$17,Datos!$D$17,IF(Evalucion!AX9=Datos!$C$18,Datos!$D$18,IF(Evalucion!AX9=Datos!$C$19,Datos!$D$19,"=")))))</f>
        <v>3</v>
      </c>
      <c r="AX11">
        <f>IF(Evalucion!AY9=Datos!$C$15,Datos!$D$15,IF(Evalucion!AY9=Datos!$C$16,Datos!$D$16,IF(Evalucion!AY9=Datos!$C$17,Datos!$D$17,IF(Evalucion!AY9=Datos!$C$18,Datos!$D$18,IF(Evalucion!AY9=Datos!$C$19,Datos!$D$19,"=")))))</f>
        <v>5</v>
      </c>
      <c r="AY11">
        <f>IF(Evalucion!AZ9=Datos!$C$15,Datos!$D$15,IF(Evalucion!AZ9=Datos!$C$16,Datos!$D$16,IF(Evalucion!AZ9=Datos!$C$17,Datos!$D$17,IF(Evalucion!AZ9=Datos!$C$18,Datos!$D$18,IF(Evalucion!AZ9=Datos!$C$19,Datos!$D$19,"=")))))</f>
        <v>5</v>
      </c>
      <c r="AZ11">
        <f>IF(Evalucion!BA9=Datos!$C$15,Datos!$D$15,IF(Evalucion!BA9=Datos!$C$16,Datos!$D$16,IF(Evalucion!BA9=Datos!$C$17,Datos!$D$17,IF(Evalucion!BA9=Datos!$C$18,Datos!$D$18,IF(Evalucion!BA9=Datos!$C$19,Datos!$D$19,"=")))))</f>
        <v>5</v>
      </c>
      <c r="BA11">
        <f>IF(Evalucion!BB9=Datos!$C$15,Datos!$D$15,IF(Evalucion!BB9=Datos!$C$16,Datos!$D$16,IF(Evalucion!BB9=Datos!$C$17,Datos!$D$17,IF(Evalucion!BB9=Datos!$C$18,Datos!$D$18,IF(Evalucion!BB9=Datos!$C$19,Datos!$D$19,"=")))))</f>
        <v>5</v>
      </c>
      <c r="BB11">
        <f>IF(Evalucion!BC9=Datos!$C$15,Datos!$D$15,IF(Evalucion!BC9=Datos!$C$16,Datos!$D$16,IF(Evalucion!BC9=Datos!$C$17,Datos!$D$17,IF(Evalucion!BC9=Datos!$C$18,Datos!$D$18,IF(Evalucion!BC9=Datos!$C$19,Datos!$D$19,"=")))))</f>
        <v>1</v>
      </c>
      <c r="BC11">
        <f>IF(Evalucion!BD9=Datos!$C$15,Datos!$D$15,IF(Evalucion!BD9=Datos!$C$16,Datos!$D$16,IF(Evalucion!BD9=Datos!$C$17,Datos!$D$17,IF(Evalucion!BD9=Datos!$C$18,Datos!$D$18,IF(Evalucion!BD9=Datos!$C$19,Datos!$D$19,"=")))))</f>
        <v>1</v>
      </c>
      <c r="BD11">
        <f>IF(Evalucion!BE9=Datos!$C$15,Datos!$D$15,IF(Evalucion!BE9=Datos!$C$16,Datos!$D$16,IF(Evalucion!BE9=Datos!$C$17,Datos!$D$17,IF(Evalucion!BE9=Datos!$C$18,Datos!$D$18,IF(Evalucion!BE9=Datos!$C$19,Datos!$D$19,"=")))))</f>
        <v>1</v>
      </c>
      <c r="BE11">
        <f>IF(Evalucion!BF9=Datos!$C$15,Datos!$D$15,IF(Evalucion!BF9=Datos!$C$16,Datos!$D$16,IF(Evalucion!BF9=Datos!$C$17,Datos!$D$17,IF(Evalucion!BF9=Datos!$C$18,Datos!$D$18,IF(Evalucion!BF9=Datos!$C$19,Datos!$D$19,"=")))))</f>
        <v>1</v>
      </c>
      <c r="BF11">
        <f>IF(Evalucion!BG9=Datos!$C$15,Datos!$D$15,IF(Evalucion!BG9=Datos!$C$16,Datos!$D$16,IF(Evalucion!BG9=Datos!$C$17,Datos!$D$17,IF(Evalucion!BG9=Datos!$C$18,Datos!$D$18,IF(Evalucion!BG9=Datos!$C$19,Datos!$D$19,"=")))))</f>
        <v>5</v>
      </c>
      <c r="BG11">
        <f>IF(Evalucion!BH9=Datos!$C$15,Datos!$D$15,IF(Evalucion!BH9=Datos!$C$16,Datos!$D$16,IF(Evalucion!BH9=Datos!$C$17,Datos!$D$17,IF(Evalucion!BH9=Datos!$C$18,Datos!$D$18,IF(Evalucion!BH9=Datos!$C$19,Datos!$D$19,"=")))))</f>
        <v>5</v>
      </c>
      <c r="BH11">
        <f>IF(Evalucion!BI9=Datos!$C$15,Datos!$D$15,IF(Evalucion!BI9=Datos!$C$16,Datos!$D$16,IF(Evalucion!BI9=Datos!$C$17,Datos!$D$17,IF(Evalucion!BI9=Datos!$C$18,Datos!$D$18,IF(Evalucion!BI9=Datos!$C$19,Datos!$D$19,"=")))))</f>
        <v>5</v>
      </c>
      <c r="BI11">
        <f>IF(Evalucion!BJ9=Datos!$C$15,Datos!$D$15,IF(Evalucion!BJ9=Datos!$C$16,Datos!$D$16,IF(Evalucion!BJ9=Datos!$C$17,Datos!$D$17,IF(Evalucion!BJ9=Datos!$C$18,Datos!$D$18,IF(Evalucion!BJ9=Datos!$C$19,Datos!$D$19,"=")))))</f>
        <v>1</v>
      </c>
      <c r="BJ11">
        <f>IF(Evalucion!BK9=Datos!$C$15,Datos!$D$15,IF(Evalucion!BK9=Datos!$C$16,Datos!$D$16,IF(Evalucion!BK9=Datos!$C$17,Datos!$D$17,IF(Evalucion!BK9=Datos!$C$18,Datos!$D$18,IF(Evalucion!BK9=Datos!$C$19,Datos!$D$19,"=")))))</f>
        <v>5</v>
      </c>
      <c r="BK11">
        <f>IF(Evalucion!BL9=Datos!$C$15,Datos!$D$15,IF(Evalucion!BL9=Datos!$C$16,Datos!$D$16,IF(Evalucion!BL9=Datos!$C$17,Datos!$D$17,IF(Evalucion!BL9=Datos!$C$18,Datos!$D$18,IF(Evalucion!BL9=Datos!$C$19,Datos!$D$19,"=")))))</f>
        <v>1</v>
      </c>
      <c r="BL11">
        <f>IF(Evalucion!BM9=Datos!$C$15,Datos!$D$15,IF(Evalucion!BM9=Datos!$C$16,Datos!$D$16,IF(Evalucion!BM9=Datos!$C$17,Datos!$D$17,IF(Evalucion!BM9=Datos!$C$18,Datos!$D$18,IF(Evalucion!BM9=Datos!$C$19,Datos!$D$19,"=")))))</f>
        <v>1</v>
      </c>
      <c r="BM11">
        <f>IF(Evalucion!BN9=Datos!$C$15,Datos!$D$15,IF(Evalucion!BN9=Datos!$C$16,Datos!$D$16,IF(Evalucion!BN9=Datos!$C$17,Datos!$D$17,IF(Evalucion!BN9=Datos!$C$18,Datos!$D$18,IF(Evalucion!BN9=Datos!$C$19,Datos!$D$19,"=")))))</f>
        <v>1</v>
      </c>
      <c r="BN11">
        <f>IF(Evalucion!BO9=Datos!$C$15,Datos!$D$15,IF(Evalucion!BO9=Datos!$C$16,Datos!$D$16,IF(Evalucion!BO9=Datos!$C$17,Datos!$D$17,IF(Evalucion!BO9=Datos!$C$18,Datos!$D$18,IF(Evalucion!BO9=Datos!$C$19,Datos!$D$19,"=")))))</f>
        <v>5</v>
      </c>
      <c r="BO11">
        <f>IF(Evalucion!BP9=Datos!$C$15,Datos!$D$15,IF(Evalucion!BP9=Datos!$C$16,Datos!$D$16,IF(Evalucion!BP9=Datos!$C$17,Datos!$D$17,IF(Evalucion!BP9=Datos!$C$18,Datos!$D$18,IF(Evalucion!BP9=Datos!$C$19,Datos!$D$19,"=")))))</f>
        <v>5</v>
      </c>
      <c r="BP11">
        <f>IF(Evalucion!BQ9=Datos!$C$15,Datos!$D$15,IF(Evalucion!BQ9=Datos!$C$16,Datos!$D$16,IF(Evalucion!BQ9=Datos!$C$17,Datos!$D$17,IF(Evalucion!BQ9=Datos!$C$18,Datos!$D$18,IF(Evalucion!BQ9=Datos!$C$19,Datos!$D$19,"=")))))</f>
        <v>1</v>
      </c>
      <c r="BQ11">
        <f>IF(Evalucion!BR9=Datos!$C$15,Datos!$D$15,IF(Evalucion!BR9=Datos!$C$16,Datos!$D$16,IF(Evalucion!BR9=Datos!$C$17,Datos!$D$17,IF(Evalucion!BR9=Datos!$C$18,Datos!$D$18,IF(Evalucion!BR9=Datos!$C$19,Datos!$D$19,"=")))))</f>
        <v>1</v>
      </c>
      <c r="BR11">
        <f>IF(Evalucion!BS9=Datos!$C$15,Datos!$D$15,IF(Evalucion!BS9=Datos!$C$16,Datos!$D$16,IF(Evalucion!BS9=Datos!$C$17,Datos!$D$17,IF(Evalucion!BS9=Datos!$C$18,Datos!$D$18,IF(Evalucion!BS9=Datos!$C$19,Datos!$D$19,"=")))))</f>
        <v>5</v>
      </c>
      <c r="BS11">
        <f>IF(Evalucion!BT9=Datos!$C$15,Datos!$D$15,IF(Evalucion!BT9=Datos!$C$16,Datos!$D$16,IF(Evalucion!BT9=Datos!$C$17,Datos!$D$17,IF(Evalucion!BT9=Datos!$C$18,Datos!$D$18,IF(Evalucion!BT9=Datos!$C$19,Datos!$D$19,"=")))))</f>
        <v>3</v>
      </c>
      <c r="BT11">
        <f>IF(Evalucion!BU9=Datos!$C$15,Datos!$D$15,IF(Evalucion!BU9=Datos!$C$16,Datos!$D$16,IF(Evalucion!BU9=Datos!$C$17,Datos!$D$17,IF(Evalucion!BU9=Datos!$C$18,Datos!$D$18,IF(Evalucion!BU9=Datos!$C$19,Datos!$D$19,"=")))))</f>
        <v>1</v>
      </c>
      <c r="BU11">
        <f>IF(Evalucion!BV9=Datos!$C$15,Datos!$D$15,IF(Evalucion!BV9=Datos!$C$16,Datos!$D$16,IF(Evalucion!BV9=Datos!$C$17,Datos!$D$17,IF(Evalucion!BV9=Datos!$C$18,Datos!$D$18,IF(Evalucion!BV9=Datos!$C$19,Datos!$D$19,"=")))))</f>
        <v>1</v>
      </c>
      <c r="BV11">
        <f>IF(Evalucion!BW9=Datos!$C$15,Datos!$D$15,IF(Evalucion!BW9=Datos!$C$16,Datos!$D$16,IF(Evalucion!BW9=Datos!$C$17,Datos!$D$17,IF(Evalucion!BW9=Datos!$C$18,Datos!$D$18,IF(Evalucion!BW9=Datos!$C$19,Datos!$D$19,"=")))))</f>
        <v>5</v>
      </c>
      <c r="BW11">
        <f>IF(Evalucion!BX9=Datos!$C$15,Datos!$D$15,IF(Evalucion!BX9=Datos!$C$16,Datos!$D$16,IF(Evalucion!BX9=Datos!$C$17,Datos!$D$17,IF(Evalucion!BX9=Datos!$C$18,Datos!$D$18,IF(Evalucion!BX9=Datos!$C$19,Datos!$D$19,"=")))))</f>
        <v>5</v>
      </c>
      <c r="BX11">
        <f>IF(Evalucion!BY9=Datos!$C$15,Datos!$D$15,IF(Evalucion!BY9=Datos!$C$16,Datos!$D$16,IF(Evalucion!BY9=Datos!$C$17,Datos!$D$17,IF(Evalucion!BY9=Datos!$C$18,Datos!$D$18,IF(Evalucion!BY9=Datos!$C$19,Datos!$D$19,"=")))))</f>
        <v>5</v>
      </c>
      <c r="BY11">
        <f>IF(Evalucion!BZ9=Datos!$C$15,Datos!$D$15,IF(Evalucion!BZ9=Datos!$C$16,Datos!$D$16,IF(Evalucion!BZ9=Datos!$C$17,Datos!$D$17,IF(Evalucion!BZ9=Datos!$C$18,Datos!$D$18,IF(Evalucion!BZ9=Datos!$C$19,Datos!$D$19,"=")))))</f>
        <v>5</v>
      </c>
      <c r="BZ11">
        <f>IF(Evalucion!CA9=Datos!$C$15,Datos!$D$15,IF(Evalucion!CA9=Datos!$C$16,Datos!$D$16,IF(Evalucion!CA9=Datos!$C$17,Datos!$D$17,IF(Evalucion!CA9=Datos!$C$18,Datos!$D$18,IF(Evalucion!CA9=Datos!$C$19,Datos!$D$19,"=")))))</f>
        <v>5</v>
      </c>
      <c r="CA11">
        <f>IF(Evalucion!CB9=Datos!$C$15,Datos!$D$15,IF(Evalucion!CB9=Datos!$C$16,Datos!$D$16,IF(Evalucion!CB9=Datos!$C$17,Datos!$D$17,IF(Evalucion!CB9=Datos!$C$18,Datos!$D$18,IF(Evalucion!CB9=Datos!$C$19,Datos!$D$19,"=")))))</f>
        <v>5</v>
      </c>
      <c r="CB11">
        <f>IF(Evalucion!CC9=Datos!$C$15,Datos!$D$15,IF(Evalucion!CC9=Datos!$C$16,Datos!$D$16,IF(Evalucion!CC9=Datos!$C$17,Datos!$D$17,IF(Evalucion!CC9=Datos!$C$18,Datos!$D$18,IF(Evalucion!CC9=Datos!$C$19,Datos!$D$19,"=")))))</f>
        <v>5</v>
      </c>
      <c r="CC11">
        <f>IF(Evalucion!CD9=Datos!$C$15,Datos!$D$15,IF(Evalucion!CD9=Datos!$C$16,Datos!$D$16,IF(Evalucion!CD9=Datos!$C$17,Datos!$D$17,IF(Evalucion!CD9=Datos!$C$18,Datos!$D$18,IF(Evalucion!CD9=Datos!$C$19,Datos!$D$19,"=")))))</f>
        <v>5</v>
      </c>
      <c r="CD11">
        <f>IF(Evalucion!CE9=Datos!$C$15,Datos!$D$15,IF(Evalucion!CE9=Datos!$C$16,Datos!$D$16,IF(Evalucion!CE9=Datos!$C$17,Datos!$D$17,IF(Evalucion!CE9=Datos!$C$18,Datos!$D$18,IF(Evalucion!CE9=Datos!$C$19,Datos!$D$19,"=")))))</f>
        <v>5</v>
      </c>
      <c r="CE11">
        <f>IF(Evalucion!CF9=Datos!$C$15,Datos!$D$15,IF(Evalucion!CF9=Datos!$C$16,Datos!$D$16,IF(Evalucion!CF9=Datos!$C$17,Datos!$D$17,IF(Evalucion!CF9=Datos!$C$18,Datos!$D$18,IF(Evalucion!CF9=Datos!$C$19,Datos!$D$19,"=")))))</f>
        <v>3</v>
      </c>
      <c r="CF11">
        <f>IF(Evalucion!CG9=Datos!$C$15,Datos!$D$15,IF(Evalucion!CG9=Datos!$C$16,Datos!$D$16,IF(Evalucion!CG9=Datos!$C$17,Datos!$D$17,IF(Evalucion!CG9=Datos!$C$18,Datos!$D$18,IF(Evalucion!CG9=Datos!$C$19,Datos!$D$19,"=")))))</f>
        <v>1</v>
      </c>
      <c r="CG11">
        <f>IF(Evalucion!CH9=Datos!$C$15,Datos!$D$15,IF(Evalucion!CH9=Datos!$C$16,Datos!$D$16,IF(Evalucion!CH9=Datos!$C$17,Datos!$D$17,IF(Evalucion!CH9=Datos!$C$18,Datos!$D$18,IF(Evalucion!CH9=Datos!$C$19,Datos!$D$19,"=")))))</f>
        <v>1</v>
      </c>
      <c r="CH11">
        <f>IF(Evalucion!CI9=Datos!$C$15,Datos!$D$15,IF(Evalucion!CI9=Datos!$C$16,Datos!$D$16,IF(Evalucion!CI9=Datos!$C$17,Datos!$D$17,IF(Evalucion!CI9=Datos!$C$18,Datos!$D$18,IF(Evalucion!CI9=Datos!$C$19,Datos!$D$19,"=")))))</f>
        <v>5</v>
      </c>
      <c r="CI11">
        <f>IF(Evalucion!CJ9=Datos!$C$15,Datos!$D$15,IF(Evalucion!CJ9=Datos!$C$16,Datos!$D$16,IF(Evalucion!CJ9=Datos!$C$17,Datos!$D$17,IF(Evalucion!CJ9=Datos!$C$18,Datos!$D$18,IF(Evalucion!CJ9=Datos!$C$19,Datos!$D$19,"=")))))</f>
        <v>3</v>
      </c>
      <c r="CJ11">
        <f>IF(Evalucion!CK9=Datos!$C$15,Datos!$D$15,IF(Evalucion!CK9=Datos!$C$16,Datos!$D$16,IF(Evalucion!CK9=Datos!$C$17,Datos!$D$17,IF(Evalucion!CK9=Datos!$C$18,Datos!$D$18,IF(Evalucion!CK9=Datos!$C$19,Datos!$D$19,"=")))))</f>
        <v>5</v>
      </c>
      <c r="CK11">
        <f>IF(Evalucion!CL9=Datos!$C$15,Datos!$D$15,IF(Evalucion!CL9=Datos!$C$16,Datos!$D$16,IF(Evalucion!CL9=Datos!$C$17,Datos!$D$17,IF(Evalucion!CL9=Datos!$C$18,Datos!$D$18,IF(Evalucion!CL9=Datos!$C$19,Datos!$D$19,"=")))))</f>
        <v>5</v>
      </c>
      <c r="CL11">
        <f>IF(Evalucion!CM9=Datos!$C$15,Datos!$D$15,IF(Evalucion!CM9=Datos!$C$16,Datos!$D$16,IF(Evalucion!CM9=Datos!$C$17,Datos!$D$17,IF(Evalucion!CM9=Datos!$C$18,Datos!$D$18,IF(Evalucion!CM9=Datos!$C$19,Datos!$D$19,"=")))))</f>
        <v>5</v>
      </c>
      <c r="CM11">
        <f>IF(Evalucion!CN9=Datos!$C$15,Datos!$D$15,IF(Evalucion!CN9=Datos!$C$16,Datos!$D$16,IF(Evalucion!CN9=Datos!$C$17,Datos!$D$17,IF(Evalucion!CN9=Datos!$C$18,Datos!$D$18,IF(Evalucion!CN9=Datos!$C$19,Datos!$D$19,"=")))))</f>
        <v>3</v>
      </c>
      <c r="CN11">
        <f>IF(Evalucion!CO9=Datos!$C$15,Datos!$D$15,IF(Evalucion!CO9=Datos!$C$16,Datos!$D$16,IF(Evalucion!CO9=Datos!$C$17,Datos!$D$17,IF(Evalucion!CO9=Datos!$C$18,Datos!$D$18,IF(Evalucion!CO9=Datos!$C$19,Datos!$D$19,"=")))))</f>
        <v>5</v>
      </c>
      <c r="CO11">
        <f>IF(Evalucion!CP9=Datos!$C$15,Datos!$D$15,IF(Evalucion!CP9=Datos!$C$16,Datos!$D$16,IF(Evalucion!CP9=Datos!$C$17,Datos!$D$17,IF(Evalucion!CP9=Datos!$C$18,Datos!$D$18,IF(Evalucion!CP9=Datos!$C$19,Datos!$D$19,"=")))))</f>
        <v>5</v>
      </c>
      <c r="CP11">
        <f>IF(Evalucion!CQ9=Datos!$C$15,Datos!$D$15,IF(Evalucion!CQ9=Datos!$C$16,Datos!$D$16,IF(Evalucion!CQ9=Datos!$C$17,Datos!$D$17,IF(Evalucion!CQ9=Datos!$C$18,Datos!$D$18,IF(Evalucion!CQ9=Datos!$C$19,Datos!$D$19,"=")))))</f>
        <v>5</v>
      </c>
      <c r="CQ11">
        <f>IF(Evalucion!CR9=Datos!$C$15,Datos!$D$15,IF(Evalucion!CR9=Datos!$C$16,Datos!$D$16,IF(Evalucion!CR9=Datos!$C$17,Datos!$D$17,IF(Evalucion!CR9=Datos!$C$18,Datos!$D$18,IF(Evalucion!CR9=Datos!$C$19,Datos!$D$19,"=")))))</f>
        <v>3</v>
      </c>
      <c r="CR11">
        <f>IF(Evalucion!CS9=Datos!$C$15,Datos!$D$15,IF(Evalucion!CS9=Datos!$C$16,Datos!$D$16,IF(Evalucion!CS9=Datos!$C$17,Datos!$D$17,IF(Evalucion!CS9=Datos!$C$18,Datos!$D$18,IF(Evalucion!CS9=Datos!$C$19,Datos!$D$19,"=")))))</f>
        <v>5</v>
      </c>
      <c r="CS11">
        <f>IF(Evalucion!CT9=Datos!$C$15,Datos!$D$15,IF(Evalucion!CT9=Datos!$C$16,Datos!$D$16,IF(Evalucion!CT9=Datos!$C$17,Datos!$D$17,IF(Evalucion!CT9=Datos!$C$18,Datos!$D$18,IF(Evalucion!CT9=Datos!$C$19,Datos!$D$19,"=")))))</f>
        <v>1</v>
      </c>
      <c r="CT11">
        <f>IF(Evalucion!CU9=Datos!$C$15,Datos!$D$15,IF(Evalucion!CU9=Datos!$C$16,Datos!$D$16,IF(Evalucion!CU9=Datos!$C$17,Datos!$D$17,IF(Evalucion!CU9=Datos!$C$18,Datos!$D$18,IF(Evalucion!CU9=Datos!$C$19,Datos!$D$19,"=")))))</f>
        <v>1</v>
      </c>
      <c r="CU11">
        <f>IF(Evalucion!CV9=Datos!$C$15,Datos!$D$15,IF(Evalucion!CV9=Datos!$C$16,Datos!$D$16,IF(Evalucion!CV9=Datos!$C$17,Datos!$D$17,IF(Evalucion!CV9=Datos!$C$18,Datos!$D$18,IF(Evalucion!CV9=Datos!$C$19,Datos!$D$19,"=")))))</f>
        <v>1</v>
      </c>
      <c r="CV11">
        <f>IF(Evalucion!CW9=Datos!$C$15,Datos!$D$15,IF(Evalucion!CW9=Datos!$C$16,Datos!$D$16,IF(Evalucion!CW9=Datos!$C$17,Datos!$D$17,IF(Evalucion!CW9=Datos!$C$18,Datos!$D$18,IF(Evalucion!CW9=Datos!$C$19,Datos!$D$19,"=")))))</f>
        <v>1</v>
      </c>
      <c r="CW11">
        <f>IF(Evalucion!CX9=Datos!$C$15,Datos!$D$15,IF(Evalucion!CX9=Datos!$C$16,Datos!$D$16,IF(Evalucion!CX9=Datos!$C$17,Datos!$D$17,IF(Evalucion!CX9=Datos!$C$18,Datos!$D$18,IF(Evalucion!CX9=Datos!$C$19,Datos!$D$19,"=")))))</f>
        <v>1</v>
      </c>
      <c r="CX11">
        <f>IF(Evalucion!CY9=Datos!$C$15,Datos!$D$15,IF(Evalucion!CY9=Datos!$C$16,Datos!$D$16,IF(Evalucion!CY9=Datos!$C$17,Datos!$D$17,IF(Evalucion!CY9=Datos!$C$18,Datos!$D$18,IF(Evalucion!CY9=Datos!$C$19,Datos!$D$19,"=")))))</f>
        <v>5</v>
      </c>
      <c r="CY11">
        <f>IF(Evalucion!CZ9=Datos!$C$15,Datos!$D$15,IF(Evalucion!CZ9=Datos!$C$16,Datos!$D$16,IF(Evalucion!CZ9=Datos!$C$17,Datos!$D$17,IF(Evalucion!CZ9=Datos!$C$18,Datos!$D$18,IF(Evalucion!CZ9=Datos!$C$19,Datos!$D$19,"=")))))</f>
        <v>3</v>
      </c>
      <c r="CZ11">
        <f>IF(Evalucion!DA9=Datos!$C$15,Datos!$D$15,IF(Evalucion!DA9=Datos!$C$16,Datos!$D$16,IF(Evalucion!DA9=Datos!$C$17,Datos!$D$17,IF(Evalucion!DA9=Datos!$C$18,Datos!$D$18,IF(Evalucion!DA9=Datos!$C$19,Datos!$D$19,"=")))))</f>
        <v>5</v>
      </c>
      <c r="DA11">
        <f>IF(Evalucion!DB9=Datos!$C$15,Datos!$D$15,IF(Evalucion!DB9=Datos!$C$16,Datos!$D$16,IF(Evalucion!DB9=Datos!$C$17,Datos!$D$17,IF(Evalucion!DB9=Datos!$C$18,Datos!$D$18,IF(Evalucion!DB9=Datos!$C$19,Datos!$D$19,"=")))))</f>
        <v>5</v>
      </c>
      <c r="DB11">
        <f>IF(Evalucion!DC9=Datos!$C$15,Datos!$D$15,IF(Evalucion!DC9=Datos!$C$16,Datos!$D$16,IF(Evalucion!DC9=Datos!$C$17,Datos!$D$17,IF(Evalucion!DC9=Datos!$C$18,Datos!$D$18,IF(Evalucion!DC9=Datos!$C$19,Datos!$D$19,"=")))))</f>
        <v>5</v>
      </c>
      <c r="DC11">
        <f>IF(Evalucion!DD9=Datos!$C$15,Datos!$D$15,IF(Evalucion!DD9=Datos!$C$16,Datos!$D$16,IF(Evalucion!DD9=Datos!$C$17,Datos!$D$17,IF(Evalucion!DD9=Datos!$C$18,Datos!$D$18,IF(Evalucion!DD9=Datos!$C$19,Datos!$D$19,"=")))))</f>
        <v>5</v>
      </c>
      <c r="DD11">
        <f>IF(Evalucion!DE9=Datos!$C$15,Datos!$D$15,IF(Evalucion!DE9=Datos!$C$16,Datos!$D$16,IF(Evalucion!DE9=Datos!$C$17,Datos!$D$17,IF(Evalucion!DE9=Datos!$C$18,Datos!$D$18,IF(Evalucion!DE9=Datos!$C$19,Datos!$D$19,"=")))))</f>
        <v>5</v>
      </c>
      <c r="DE11">
        <f>IF(Evalucion!DF9=Datos!$C$15,Datos!$D$15,IF(Evalucion!DF9=Datos!$C$16,Datos!$D$16,IF(Evalucion!DF9=Datos!$C$17,Datos!$D$17,IF(Evalucion!DF9=Datos!$C$18,Datos!$D$18,IF(Evalucion!DF9=Datos!$C$19,Datos!$D$19,"=")))))</f>
        <v>1</v>
      </c>
      <c r="DF11">
        <f>IF(Evalucion!DG9=Datos!$C$15,Datos!$D$15,IF(Evalucion!DG9=Datos!$C$16,Datos!$D$16,IF(Evalucion!DG9=Datos!$C$17,Datos!$D$17,IF(Evalucion!DG9=Datos!$C$18,Datos!$D$18,IF(Evalucion!DG9=Datos!$C$19,Datos!$D$19,"=")))))</f>
        <v>5</v>
      </c>
      <c r="DG11">
        <f>IF(Evalucion!DH9=Datos!$C$15,Datos!$D$15,IF(Evalucion!DH9=Datos!$C$16,Datos!$D$16,IF(Evalucion!DH9=Datos!$C$17,Datos!$D$17,IF(Evalucion!DH9=Datos!$C$18,Datos!$D$18,IF(Evalucion!DH9=Datos!$C$19,Datos!$D$19,"=")))))</f>
        <v>5</v>
      </c>
      <c r="DH11">
        <f>IF(Evalucion!DI9=Datos!$C$15,Datos!$D$15,IF(Evalucion!DI9=Datos!$C$16,Datos!$D$16,IF(Evalucion!DI9=Datos!$C$17,Datos!$D$17,IF(Evalucion!DI9=Datos!$C$18,Datos!$D$18,IF(Evalucion!DI9=Datos!$C$19,Datos!$D$19,"=")))))</f>
        <v>5</v>
      </c>
      <c r="DI11">
        <f>IF(Evalucion!DJ9=Datos!$C$15,Datos!$D$15,IF(Evalucion!DJ9=Datos!$C$16,Datos!$D$16,IF(Evalucion!DJ9=Datos!$C$17,Datos!$D$17,IF(Evalucion!DJ9=Datos!$C$18,Datos!$D$18,IF(Evalucion!DJ9=Datos!$C$19,Datos!$D$19,"=")))))</f>
        <v>5</v>
      </c>
      <c r="DJ11">
        <f>IF(Evalucion!DK9=Datos!$C$15,Datos!$D$15,IF(Evalucion!DK9=Datos!$C$16,Datos!$D$16,IF(Evalucion!DK9=Datos!$C$17,Datos!$D$17,IF(Evalucion!DK9=Datos!$C$18,Datos!$D$18,IF(Evalucion!DK9=Datos!$C$19,Datos!$D$19,"=")))))</f>
        <v>5</v>
      </c>
      <c r="DK11">
        <f>IF(Evalucion!DL9=Datos!$C$15,Datos!$D$15,IF(Evalucion!DL9=Datos!$C$16,Datos!$D$16,IF(Evalucion!DL9=Datos!$C$17,Datos!$D$17,IF(Evalucion!DL9=Datos!$C$18,Datos!$D$18,IF(Evalucion!DL9=Datos!$C$19,Datos!$D$19,"=")))))</f>
        <v>3</v>
      </c>
      <c r="DL11">
        <f>IF(Evalucion!DM9=Datos!$C$15,Datos!$D$15,IF(Evalucion!DM9=Datos!$C$16,Datos!$D$16,IF(Evalucion!DM9=Datos!$C$17,Datos!$D$17,IF(Evalucion!DM9=Datos!$C$18,Datos!$D$18,IF(Evalucion!DM9=Datos!$C$19,Datos!$D$19,"=")))))</f>
        <v>5</v>
      </c>
      <c r="DM11">
        <f>IF(Evalucion!DN9=Datos!$C$15,Datos!$D$15,IF(Evalucion!DN9=Datos!$C$16,Datos!$D$16,IF(Evalucion!DN9=Datos!$C$17,Datos!$D$17,IF(Evalucion!DN9=Datos!$C$18,Datos!$D$18,IF(Evalucion!DN9=Datos!$C$19,Datos!$D$19,"=")))))</f>
        <v>1</v>
      </c>
      <c r="DN11">
        <f>IF(Evalucion!DO9=Datos!$C$15,Datos!$D$15,IF(Evalucion!DO9=Datos!$C$16,Datos!$D$16,IF(Evalucion!DO9=Datos!$C$17,Datos!$D$17,IF(Evalucion!DO9=Datos!$C$18,Datos!$D$18,IF(Evalucion!DO9=Datos!$C$19,Datos!$D$19,"=")))))</f>
        <v>5</v>
      </c>
      <c r="DO11">
        <f>IF(Evalucion!DP9=Datos!$C$15,Datos!$D$15,IF(Evalucion!DP9=Datos!$C$16,Datos!$D$16,IF(Evalucion!DP9=Datos!$C$17,Datos!$D$17,IF(Evalucion!DP9=Datos!$C$18,Datos!$D$18,IF(Evalucion!DP9=Datos!$C$19,Datos!$D$19,"=")))))</f>
        <v>1</v>
      </c>
      <c r="DP11">
        <f>IF(Evalucion!DQ9=Datos!$C$15,Datos!$D$15,IF(Evalucion!DQ9=Datos!$C$16,Datos!$D$16,IF(Evalucion!DQ9=Datos!$C$17,Datos!$D$17,IF(Evalucion!DQ9=Datos!$C$18,Datos!$D$18,IF(Evalucion!DQ9=Datos!$C$19,Datos!$D$19,"=")))))</f>
        <v>1</v>
      </c>
      <c r="DQ11">
        <f>IF(Evalucion!DR9=Datos!$C$15,Datos!$D$15,IF(Evalucion!DR9=Datos!$C$16,Datos!$D$16,IF(Evalucion!DR9=Datos!$C$17,Datos!$D$17,IF(Evalucion!DR9=Datos!$C$18,Datos!$D$18,IF(Evalucion!DR9=Datos!$C$19,Datos!$D$19,"=")))))</f>
        <v>1</v>
      </c>
      <c r="DR11">
        <f>IF(Evalucion!DS9=Datos!$C$15,Datos!$D$15,IF(Evalucion!DS9=Datos!$C$16,Datos!$D$16,IF(Evalucion!DS9=Datos!$C$17,Datos!$D$17,IF(Evalucion!DS9=Datos!$C$18,Datos!$D$18,IF(Evalucion!DS9=Datos!$C$19,Datos!$D$19,"=")))))</f>
        <v>1</v>
      </c>
      <c r="DS11">
        <f>IF(Evalucion!DT9=Datos!$C$15,Datos!$D$15,IF(Evalucion!DT9=Datos!$C$16,Datos!$D$16,IF(Evalucion!DT9=Datos!$C$17,Datos!$D$17,IF(Evalucion!DT9=Datos!$C$18,Datos!$D$18,IF(Evalucion!DT9=Datos!$C$19,Datos!$D$19,"=")))))</f>
        <v>1</v>
      </c>
      <c r="DT11">
        <f>IF(Evalucion!DU9=Datos!$C$15,Datos!$D$15,IF(Evalucion!DU9=Datos!$C$16,Datos!$D$16,IF(Evalucion!DU9=Datos!$C$17,Datos!$D$17,IF(Evalucion!DU9=Datos!$C$18,Datos!$D$18,IF(Evalucion!DU9=Datos!$C$19,Datos!$D$19,"=")))))</f>
        <v>1</v>
      </c>
      <c r="DU11">
        <f>IF(Evalucion!DV9=Datos!$C$15,Datos!$D$15,IF(Evalucion!DV9=Datos!$C$16,Datos!$D$16,IF(Evalucion!DV9=Datos!$C$17,Datos!$D$17,IF(Evalucion!DV9=Datos!$C$18,Datos!$D$18,IF(Evalucion!DV9=Datos!$C$19,Datos!$D$19,"=")))))</f>
        <v>1</v>
      </c>
      <c r="DV11">
        <f>IF(Evalucion!DW9=Datos!$C$15,Datos!$D$15,IF(Evalucion!DW9=Datos!$C$16,Datos!$D$16,IF(Evalucion!DW9=Datos!$C$17,Datos!$D$17,IF(Evalucion!DW9=Datos!$C$18,Datos!$D$18,IF(Evalucion!DW9=Datos!$C$19,Datos!$D$19,"=")))))</f>
        <v>1</v>
      </c>
      <c r="DW11">
        <f>IF(Evalucion!DX9=Datos!$C$15,Datos!$D$15,IF(Evalucion!DX9=Datos!$C$16,Datos!$D$16,IF(Evalucion!DX9=Datos!$C$17,Datos!$D$17,IF(Evalucion!DX9=Datos!$C$18,Datos!$D$18,IF(Evalucion!DX9=Datos!$C$19,Datos!$D$19,"=")))))</f>
        <v>1</v>
      </c>
      <c r="DX11">
        <f>IF(Evalucion!DY9=Datos!$C$15,Datos!$D$15,IF(Evalucion!DY9=Datos!$C$16,Datos!$D$16,IF(Evalucion!DY9=Datos!$C$17,Datos!$D$17,IF(Evalucion!DY9=Datos!$C$18,Datos!$D$18,IF(Evalucion!DY9=Datos!$C$19,Datos!$D$19,"=")))))</f>
        <v>1</v>
      </c>
      <c r="DY11">
        <f>IF(Evalucion!DZ9=Datos!$C$15,Datos!$D$15,IF(Evalucion!DZ9=Datos!$C$16,Datos!$D$16,IF(Evalucion!DZ9=Datos!$C$17,Datos!$D$17,IF(Evalucion!DZ9=Datos!$C$18,Datos!$D$18,IF(Evalucion!DZ9=Datos!$C$19,Datos!$D$19,"=")))))</f>
        <v>1</v>
      </c>
      <c r="DZ11">
        <f>IF(Evalucion!EA9=Datos!$C$15,Datos!$D$15,IF(Evalucion!EA9=Datos!$C$16,Datos!$D$16,IF(Evalucion!EA9=Datos!$C$17,Datos!$D$17,IF(Evalucion!EA9=Datos!$C$18,Datos!$D$18,IF(Evalucion!EA9=Datos!$C$19,Datos!$D$19,"=")))))</f>
        <v>5</v>
      </c>
      <c r="EA11">
        <f>IF(Evalucion!EB9=Datos!$C$15,Datos!$D$15,IF(Evalucion!EB9=Datos!$C$16,Datos!$D$16,IF(Evalucion!EB9=Datos!$C$17,Datos!$D$17,IF(Evalucion!EB9=Datos!$C$18,Datos!$D$18,IF(Evalucion!EB9=Datos!$C$19,Datos!$D$19,"=")))))</f>
        <v>1</v>
      </c>
      <c r="EB11">
        <f>IF(Evalucion!EC9=Datos!$C$15,Datos!$D$15,IF(Evalucion!EC9=Datos!$C$16,Datos!$D$16,IF(Evalucion!EC9=Datos!$C$17,Datos!$D$17,IF(Evalucion!EC9=Datos!$C$18,Datos!$D$18,IF(Evalucion!EC9=Datos!$C$19,Datos!$D$19,"=")))))</f>
        <v>1</v>
      </c>
      <c r="EC11">
        <f>IF(Evalucion!ED9=Datos!$C$15,Datos!$D$15,IF(Evalucion!ED9=Datos!$C$16,Datos!$D$16,IF(Evalucion!ED9=Datos!$C$17,Datos!$D$17,IF(Evalucion!ED9=Datos!$C$18,Datos!$D$18,IF(Evalucion!ED9=Datos!$C$19,Datos!$D$19,"=")))))</f>
        <v>1</v>
      </c>
      <c r="ED11">
        <f>IF(Evalucion!EE9=Datos!$C$15,Datos!$D$15,IF(Evalucion!EE9=Datos!$C$16,Datos!$D$16,IF(Evalucion!EE9=Datos!$C$17,Datos!$D$17,IF(Evalucion!EE9=Datos!$C$18,Datos!$D$18,IF(Evalucion!EE9=Datos!$C$19,Datos!$D$19,"=")))))</f>
        <v>5</v>
      </c>
      <c r="EE11">
        <f>IF(Evalucion!EF9=Datos!$C$15,Datos!$D$15,IF(Evalucion!EF9=Datos!$C$16,Datos!$D$16,IF(Evalucion!EF9=Datos!$C$17,Datos!$D$17,IF(Evalucion!EF9=Datos!$C$18,Datos!$D$18,IF(Evalucion!EF9=Datos!$C$19,Datos!$D$19,"=")))))</f>
        <v>1</v>
      </c>
      <c r="EF11">
        <f>IF(Evalucion!EG9=Datos!$C$15,Datos!$D$15,IF(Evalucion!EG9=Datos!$C$16,Datos!$D$16,IF(Evalucion!EG9=Datos!$C$17,Datos!$D$17,IF(Evalucion!EG9=Datos!$C$18,Datos!$D$18,IF(Evalucion!EG9=Datos!$C$19,Datos!$D$19,"=")))))</f>
        <v>5</v>
      </c>
      <c r="EG11">
        <f>IF(Evalucion!EH9=Datos!$C$15,Datos!$D$15,IF(Evalucion!EH9=Datos!$C$16,Datos!$D$16,IF(Evalucion!EH9=Datos!$C$17,Datos!$D$17,IF(Evalucion!EH9=Datos!$C$18,Datos!$D$18,IF(Evalucion!EH9=Datos!$C$19,Datos!$D$19,"=")))))</f>
        <v>1</v>
      </c>
      <c r="EH11">
        <f>IF(Evalucion!EI9=Datos!$C$15,Datos!$D$15,IF(Evalucion!EI9=Datos!$C$16,Datos!$D$16,IF(Evalucion!EI9=Datos!$C$17,Datos!$D$17,IF(Evalucion!EI9=Datos!$C$18,Datos!$D$18,IF(Evalucion!EI9=Datos!$C$19,Datos!$D$19,"=")))))</f>
        <v>5</v>
      </c>
      <c r="EI11">
        <f>IF(Evalucion!EJ9=Datos!$C$15,Datos!$D$15,IF(Evalucion!EJ9=Datos!$C$16,Datos!$D$16,IF(Evalucion!EJ9=Datos!$C$17,Datos!$D$17,IF(Evalucion!EJ9=Datos!$C$18,Datos!$D$18,IF(Evalucion!EJ9=Datos!$C$19,Datos!$D$19,"=")))))</f>
        <v>1</v>
      </c>
      <c r="EJ11">
        <f>IF(Evalucion!EK9=Datos!$C$15,Datos!$D$15,IF(Evalucion!EK9=Datos!$C$16,Datos!$D$16,IF(Evalucion!EK9=Datos!$C$17,Datos!$D$17,IF(Evalucion!EK9=Datos!$C$18,Datos!$D$18,IF(Evalucion!EK9=Datos!$C$19,Datos!$D$19,"=")))))</f>
        <v>5</v>
      </c>
      <c r="EK11">
        <f>IF(Evalucion!EL9=Datos!$C$15,Datos!$D$15,IF(Evalucion!EL9=Datos!$C$16,Datos!$D$16,IF(Evalucion!EL9=Datos!$C$17,Datos!$D$17,IF(Evalucion!EL9=Datos!$C$18,Datos!$D$18,IF(Evalucion!EL9=Datos!$C$19,Datos!$D$19,"=")))))</f>
        <v>1</v>
      </c>
      <c r="EL11">
        <f>IF(Evalucion!EM9=Datos!$C$15,Datos!$D$15,IF(Evalucion!EM9=Datos!$C$16,Datos!$D$16,IF(Evalucion!EM9=Datos!$C$17,Datos!$D$17,IF(Evalucion!EM9=Datos!$C$18,Datos!$D$18,IF(Evalucion!EM9=Datos!$C$19,Datos!$D$19,"=")))))</f>
        <v>5</v>
      </c>
      <c r="EM11">
        <f>IF(Evalucion!EN9=Datos!$C$15,Datos!$D$15,IF(Evalucion!EN9=Datos!$C$16,Datos!$D$16,IF(Evalucion!EN9=Datos!$C$17,Datos!$D$17,IF(Evalucion!EN9=Datos!$C$18,Datos!$D$18,IF(Evalucion!EN9=Datos!$C$19,Datos!$D$19,"=")))))</f>
        <v>1</v>
      </c>
      <c r="EN11">
        <f>IF(Evalucion!EO9=Datos!$C$15,Datos!$D$15,IF(Evalucion!EO9=Datos!$C$16,Datos!$D$16,IF(Evalucion!EO9=Datos!$C$17,Datos!$D$17,IF(Evalucion!EO9=Datos!$C$18,Datos!$D$18,IF(Evalucion!EO9=Datos!$C$19,Datos!$D$19,"=")))))</f>
        <v>1</v>
      </c>
      <c r="EO11">
        <f>IF(Evalucion!EP9=Datos!$C$15,Datos!$D$15,IF(Evalucion!EP9=Datos!$C$16,Datos!$D$16,IF(Evalucion!EP9=Datos!$C$17,Datos!$D$17,IF(Evalucion!EP9=Datos!$C$18,Datos!$D$18,IF(Evalucion!EP9=Datos!$C$19,Datos!$D$19,"=")))))</f>
        <v>3</v>
      </c>
      <c r="EP11">
        <f>IF(Evalucion!EQ9=Datos!$C$15,Datos!$D$15,IF(Evalucion!EQ9=Datos!$C$16,Datos!$D$16,IF(Evalucion!EQ9=Datos!$C$17,Datos!$D$17,IF(Evalucion!EQ9=Datos!$C$18,Datos!$D$18,IF(Evalucion!EQ9=Datos!$C$19,Datos!$D$19,"=")))))</f>
        <v>1</v>
      </c>
      <c r="EQ11">
        <f>IF(Evalucion!ER9=Datos!$C$15,Datos!$D$15,IF(Evalucion!ER9=Datos!$C$16,Datos!$D$16,IF(Evalucion!ER9=Datos!$C$17,Datos!$D$17,IF(Evalucion!ER9=Datos!$C$18,Datos!$D$18,IF(Evalucion!ER9=Datos!$C$19,Datos!$D$19,"=")))))</f>
        <v>1</v>
      </c>
      <c r="ER11">
        <f>IF(Evalucion!ES9=Datos!$C$15,Datos!$D$15,IF(Evalucion!ES9=Datos!$C$16,Datos!$D$16,IF(Evalucion!ES9=Datos!$C$17,Datos!$D$17,IF(Evalucion!ES9=Datos!$C$18,Datos!$D$18,IF(Evalucion!ES9=Datos!$C$19,Datos!$D$19,"=")))))</f>
        <v>5</v>
      </c>
      <c r="ES11">
        <f>IF(Evalucion!ET9=Datos!$C$15,Datos!$D$15,IF(Evalucion!ET9=Datos!$C$16,Datos!$D$16,IF(Evalucion!ET9=Datos!$C$17,Datos!$D$17,IF(Evalucion!ET9=Datos!$C$18,Datos!$D$18,IF(Evalucion!ET9=Datos!$C$19,Datos!$D$19,"=")))))</f>
        <v>1</v>
      </c>
      <c r="ET11">
        <f>IF(Evalucion!EU9=Datos!$C$15,Datos!$D$15,IF(Evalucion!EU9=Datos!$C$16,Datos!$D$16,IF(Evalucion!EU9=Datos!$C$17,Datos!$D$17,IF(Evalucion!EU9=Datos!$C$18,Datos!$D$18,IF(Evalucion!EU9=Datos!$C$19,Datos!$D$19,"=")))))</f>
        <v>5</v>
      </c>
      <c r="EU11">
        <f>IF(Evalucion!EV9=Datos!$C$15,Datos!$D$15,IF(Evalucion!EV9=Datos!$C$16,Datos!$D$16,IF(Evalucion!EV9=Datos!$C$17,Datos!$D$17,IF(Evalucion!EV9=Datos!$C$18,Datos!$D$18,IF(Evalucion!EV9=Datos!$C$19,Datos!$D$19,"=")))))</f>
        <v>1</v>
      </c>
      <c r="EV11">
        <f>IF(Evalucion!EW9=Datos!$C$15,Datos!$D$15,IF(Evalucion!EW9=Datos!$C$16,Datos!$D$16,IF(Evalucion!EW9=Datos!$C$17,Datos!$D$17,IF(Evalucion!EW9=Datos!$C$18,Datos!$D$18,IF(Evalucion!EW9=Datos!$C$19,Datos!$D$19,"=")))))</f>
        <v>5</v>
      </c>
      <c r="EW11">
        <f>IF(Evalucion!EX9=Datos!$C$15,Datos!$D$15,IF(Evalucion!EX9=Datos!$C$16,Datos!$D$16,IF(Evalucion!EX9=Datos!$C$17,Datos!$D$17,IF(Evalucion!EX9=Datos!$C$18,Datos!$D$18,IF(Evalucion!EX9=Datos!$C$19,Datos!$D$19,"=")))))</f>
        <v>5</v>
      </c>
      <c r="EX11">
        <f>IF(Evalucion!EY9=Datos!$C$15,Datos!$D$15,IF(Evalucion!EY9=Datos!$C$16,Datos!$D$16,IF(Evalucion!EY9=Datos!$C$17,Datos!$D$17,IF(Evalucion!EY9=Datos!$C$18,Datos!$D$18,IF(Evalucion!EY9=Datos!$C$19,Datos!$D$19,"=")))))</f>
        <v>5</v>
      </c>
      <c r="EY11">
        <f>IF(Evalucion!EZ9=Datos!$C$15,Datos!$D$15,IF(Evalucion!EZ9=Datos!$C$16,Datos!$D$16,IF(Evalucion!EZ9=Datos!$C$17,Datos!$D$17,IF(Evalucion!EZ9=Datos!$C$18,Datos!$D$18,IF(Evalucion!EZ9=Datos!$C$19,Datos!$D$19,"=")))))</f>
        <v>3</v>
      </c>
      <c r="FA11">
        <f t="shared" si="3"/>
        <v>259</v>
      </c>
      <c r="FB11">
        <f t="shared" si="3"/>
        <v>185</v>
      </c>
      <c r="FC11" s="3">
        <f t="shared" si="4"/>
        <v>0.49333333333333335</v>
      </c>
      <c r="FD11" t="str">
        <f t="shared" si="0"/>
        <v>NO_Conf</v>
      </c>
      <c r="FF11">
        <f t="shared" si="5"/>
        <v>444</v>
      </c>
      <c r="FG11">
        <f t="shared" si="6"/>
        <v>0</v>
      </c>
    </row>
    <row r="12" spans="1:167" x14ac:dyDescent="0.2">
      <c r="A12">
        <f t="shared" si="7"/>
        <v>9</v>
      </c>
      <c r="B12" t="s">
        <v>253</v>
      </c>
      <c r="C12" t="s">
        <v>193</v>
      </c>
      <c r="D12" s="1">
        <v>43950</v>
      </c>
      <c r="E12">
        <f>IF(Evalucion!F10=Datos!$C$15,Datos!$D$15,IF(Evalucion!F10=Datos!$C$16,Datos!$D$16,IF(Evalucion!F10=Datos!$C$17,Datos!$D$17,IF(Evalucion!F10=Datos!$C$18,Datos!$D$18,IF(Evalucion!F10=Datos!$C$19,Datos!$D$19,"=")))))</f>
        <v>5</v>
      </c>
      <c r="F12">
        <f>IF(Evalucion!G10=Datos!$C$15,Datos!$D$15,IF(Evalucion!G10=Datos!$C$16,Datos!$D$16,IF(Evalucion!G10=Datos!$C$17,Datos!$D$17,IF(Evalucion!G10=Datos!$C$18,Datos!$D$18,IF(Evalucion!G10=Datos!$C$19,Datos!$D$19,"=")))))</f>
        <v>5</v>
      </c>
      <c r="G12">
        <f>IF(Evalucion!H10=Datos!$C$15,Datos!$D$15,IF(Evalucion!H10=Datos!$C$16,Datos!$D$16,IF(Evalucion!H10=Datos!$C$17,Datos!$D$17,IF(Evalucion!H10=Datos!$C$18,Datos!$D$18,IF(Evalucion!H10=Datos!$C$19,Datos!$D$19,"=")))))</f>
        <v>5</v>
      </c>
      <c r="H12">
        <f>IF(Evalucion!I10=Datos!$C$15,Datos!$D$15,IF(Evalucion!I10=Datos!$C$16,Datos!$D$16,IF(Evalucion!I10=Datos!$C$17,Datos!$D$17,IF(Evalucion!I10=Datos!$C$18,Datos!$D$18,IF(Evalucion!I10=Datos!$C$19,Datos!$D$19,"=")))))</f>
        <v>5</v>
      </c>
      <c r="I12">
        <f>IF(Evalucion!J10=Datos!$C$15,Datos!$D$15,IF(Evalucion!J10=Datos!$C$16,Datos!$D$16,IF(Evalucion!J10=Datos!$C$17,Datos!$D$17,IF(Evalucion!J10=Datos!$C$18,Datos!$D$18,IF(Evalucion!J10=Datos!$C$19,Datos!$D$19,"=")))))</f>
        <v>5</v>
      </c>
      <c r="J12">
        <f>IF(Evalucion!K10=Datos!$C$15,Datos!$D$15,IF(Evalucion!K10=Datos!$C$16,Datos!$D$16,IF(Evalucion!K10=Datos!$C$17,Datos!$D$17,IF(Evalucion!K10=Datos!$C$18,Datos!$D$18,IF(Evalucion!K10=Datos!$C$19,Datos!$D$19,"=")))))</f>
        <v>5</v>
      </c>
      <c r="K12">
        <f>IF(Evalucion!L10=Datos!$C$15,Datos!$D$15,IF(Evalucion!L10=Datos!$C$16,Datos!$D$16,IF(Evalucion!L10=Datos!$C$17,Datos!$D$17,IF(Evalucion!L10=Datos!$C$18,Datos!$D$18,IF(Evalucion!L10=Datos!$C$19,Datos!$D$19,"=")))))</f>
        <v>5</v>
      </c>
      <c r="L12">
        <f>IF(Evalucion!M10=Datos!$C$15,Datos!$D$15,IF(Evalucion!M10=Datos!$C$16,Datos!$D$16,IF(Evalucion!M10=Datos!$C$17,Datos!$D$17,IF(Evalucion!M10=Datos!$C$18,Datos!$D$18,IF(Evalucion!M10=Datos!$C$19,Datos!$D$19,"=")))))</f>
        <v>5</v>
      </c>
      <c r="M12">
        <f>IF(Evalucion!N10=Datos!$C$15,Datos!$D$15,IF(Evalucion!N10=Datos!$C$16,Datos!$D$16,IF(Evalucion!N10=Datos!$C$17,Datos!$D$17,IF(Evalucion!N10=Datos!$C$18,Datos!$D$18,IF(Evalucion!N10=Datos!$C$19,Datos!$D$19,"=")))))</f>
        <v>5</v>
      </c>
      <c r="N12">
        <f>IF(Evalucion!O10=Datos!$C$15,Datos!$D$15,IF(Evalucion!O10=Datos!$C$16,Datos!$D$16,IF(Evalucion!O10=Datos!$C$17,Datos!$D$17,IF(Evalucion!O10=Datos!$C$18,Datos!$D$18,IF(Evalucion!O10=Datos!$C$19,Datos!$D$19,"=")))))</f>
        <v>5</v>
      </c>
      <c r="O12">
        <f>IF(Evalucion!P10=Datos!$C$15,Datos!$D$15,IF(Evalucion!P10=Datos!$C$16,Datos!$D$16,IF(Evalucion!P10=Datos!$C$17,Datos!$D$17,IF(Evalucion!P10=Datos!$C$18,Datos!$D$18,IF(Evalucion!P10=Datos!$C$19,Datos!$D$19,"=")))))</f>
        <v>5</v>
      </c>
      <c r="P12">
        <f>IF(Evalucion!Q10=Datos!$C$15,Datos!$D$15,IF(Evalucion!Q10=Datos!$C$16,Datos!$D$16,IF(Evalucion!Q10=Datos!$C$17,Datos!$D$17,IF(Evalucion!Q10=Datos!$C$18,Datos!$D$18,IF(Evalucion!Q10=Datos!$C$19,Datos!$D$19,"=")))))</f>
        <v>1</v>
      </c>
      <c r="Q12">
        <f>IF(Evalucion!R10=Datos!$C$15,Datos!$D$15,IF(Evalucion!R10=Datos!$C$16,Datos!$D$16,IF(Evalucion!R10=Datos!$C$17,Datos!$D$17,IF(Evalucion!R10=Datos!$C$18,Datos!$D$18,IF(Evalucion!R10=Datos!$C$19,Datos!$D$19,"=")))))</f>
        <v>5</v>
      </c>
      <c r="R12">
        <f>IF(Evalucion!S10=Datos!$C$15,Datos!$D$15,IF(Evalucion!S10=Datos!$C$16,Datos!$D$16,IF(Evalucion!S10=Datos!$C$17,Datos!$D$17,IF(Evalucion!S10=Datos!$C$18,Datos!$D$18,IF(Evalucion!S10=Datos!$C$19,Datos!$D$19,"=")))))</f>
        <v>5</v>
      </c>
      <c r="S12">
        <f>IF(Evalucion!T10=Datos!$C$15,Datos!$D$15,IF(Evalucion!T10=Datos!$C$16,Datos!$D$16,IF(Evalucion!T10=Datos!$C$17,Datos!$D$17,IF(Evalucion!T10=Datos!$C$18,Datos!$D$18,IF(Evalucion!T10=Datos!$C$19,Datos!$D$19,"=")))))</f>
        <v>5</v>
      </c>
      <c r="T12">
        <f>IF(Evalucion!U10=Datos!$C$15,Datos!$D$15,IF(Evalucion!U10=Datos!$C$16,Datos!$D$16,IF(Evalucion!U10=Datos!$C$17,Datos!$D$17,IF(Evalucion!U10=Datos!$C$18,Datos!$D$18,IF(Evalucion!U10=Datos!$C$19,Datos!$D$19,"=")))))</f>
        <v>5</v>
      </c>
      <c r="U12">
        <f>IF(Evalucion!V10=Datos!$C$15,Datos!$D$15,IF(Evalucion!V10=Datos!$C$16,Datos!$D$16,IF(Evalucion!V10=Datos!$C$17,Datos!$D$17,IF(Evalucion!V10=Datos!$C$18,Datos!$D$18,IF(Evalucion!V10=Datos!$C$19,Datos!$D$19,"=")))))</f>
        <v>5</v>
      </c>
      <c r="V12">
        <f>IF(Evalucion!W10=Datos!$C$15,Datos!$D$15,IF(Evalucion!W10=Datos!$C$16,Datos!$D$16,IF(Evalucion!W10=Datos!$C$17,Datos!$D$17,IF(Evalucion!W10=Datos!$C$18,Datos!$D$18,IF(Evalucion!W10=Datos!$C$19,Datos!$D$19,"=")))))</f>
        <v>5</v>
      </c>
      <c r="W12">
        <f>IF(Evalucion!X10=Datos!$C$15,Datos!$D$15,IF(Evalucion!X10=Datos!$C$16,Datos!$D$16,IF(Evalucion!X10=Datos!$C$17,Datos!$D$17,IF(Evalucion!X10=Datos!$C$18,Datos!$D$18,IF(Evalucion!X10=Datos!$C$19,Datos!$D$19,"=")))))</f>
        <v>5</v>
      </c>
      <c r="X12">
        <f>IF(Evalucion!Y10=Datos!$C$15,Datos!$D$15,IF(Evalucion!Y10=Datos!$C$16,Datos!$D$16,IF(Evalucion!Y10=Datos!$C$17,Datos!$D$17,IF(Evalucion!Y10=Datos!$C$18,Datos!$D$18,IF(Evalucion!Y10=Datos!$C$19,Datos!$D$19,"=")))))</f>
        <v>5</v>
      </c>
      <c r="Y12">
        <f>IF(Evalucion!Z10=Datos!$C$15,Datos!$D$15,IF(Evalucion!Z10=Datos!$C$16,Datos!$D$16,IF(Evalucion!Z10=Datos!$C$17,Datos!$D$17,IF(Evalucion!Z10=Datos!$C$18,Datos!$D$18,IF(Evalucion!Z10=Datos!$C$19,Datos!$D$19,"=")))))</f>
        <v>5</v>
      </c>
      <c r="Z12">
        <f>IF(Evalucion!AA10=Datos!$C$15,Datos!$D$15,IF(Evalucion!AA10=Datos!$C$16,Datos!$D$16,IF(Evalucion!AA10=Datos!$C$17,Datos!$D$17,IF(Evalucion!AA10=Datos!$C$18,Datos!$D$18,IF(Evalucion!AA10=Datos!$C$19,Datos!$D$19,"=")))))</f>
        <v>5</v>
      </c>
      <c r="AA12">
        <f>IF(Evalucion!AB10=Datos!$C$15,Datos!$D$15,IF(Evalucion!AB10=Datos!$C$16,Datos!$D$16,IF(Evalucion!AB10=Datos!$C$17,Datos!$D$17,IF(Evalucion!AB10=Datos!$C$18,Datos!$D$18,IF(Evalucion!AB10=Datos!$C$19,Datos!$D$19,"=")))))</f>
        <v>5</v>
      </c>
      <c r="AB12">
        <f>IF(Evalucion!AC10=Datos!$C$15,Datos!$D$15,IF(Evalucion!AC10=Datos!$C$16,Datos!$D$16,IF(Evalucion!AC10=Datos!$C$17,Datos!$D$17,IF(Evalucion!AC10=Datos!$C$18,Datos!$D$18,IF(Evalucion!AC10=Datos!$C$19,Datos!$D$19,"=")))))</f>
        <v>5</v>
      </c>
      <c r="AC12">
        <f>IF(Evalucion!AD10=Datos!$C$15,Datos!$D$15,IF(Evalucion!AD10=Datos!$C$16,Datos!$D$16,IF(Evalucion!AD10=Datos!$C$17,Datos!$D$17,IF(Evalucion!AD10=Datos!$C$18,Datos!$D$18,IF(Evalucion!AD10=Datos!$C$19,Datos!$D$19,"=")))))</f>
        <v>1</v>
      </c>
      <c r="AD12">
        <f>IF(Evalucion!AE10=Datos!$C$15,Datos!$D$15,IF(Evalucion!AE10=Datos!$C$16,Datos!$D$16,IF(Evalucion!AE10=Datos!$C$17,Datos!$D$17,IF(Evalucion!AE10=Datos!$C$18,Datos!$D$18,IF(Evalucion!AE10=Datos!$C$19,Datos!$D$19,"=")))))</f>
        <v>1</v>
      </c>
      <c r="AE12">
        <f>IF(Evalucion!AF10=Datos!$C$15,Datos!$D$15,IF(Evalucion!AF10=Datos!$C$16,Datos!$D$16,IF(Evalucion!AF10=Datos!$C$17,Datos!$D$17,IF(Evalucion!AF10=Datos!$C$18,Datos!$D$18,IF(Evalucion!AF10=Datos!$C$19,Datos!$D$19,"=")))))</f>
        <v>5</v>
      </c>
      <c r="AF12">
        <f>IF(Evalucion!AG10=Datos!$C$15,Datos!$D$15,IF(Evalucion!AG10=Datos!$C$16,Datos!$D$16,IF(Evalucion!AG10=Datos!$C$17,Datos!$D$17,IF(Evalucion!AG10=Datos!$C$18,Datos!$D$18,IF(Evalucion!AG10=Datos!$C$19,Datos!$D$19,"=")))))</f>
        <v>5</v>
      </c>
      <c r="AO12">
        <f>IF(Evalucion!AP10=Datos!$C$15,Datos!$D$15,IF(Evalucion!AP10=Datos!$C$16,Datos!$D$16,IF(Evalucion!AP10=Datos!$C$17,Datos!$D$17,IF(Evalucion!AP10=Datos!$C$18,Datos!$D$18,IF(Evalucion!AP10=Datos!$C$19,Datos!$D$19,"=")))))</f>
        <v>5</v>
      </c>
      <c r="AP12">
        <f>IF(Evalucion!AQ10=Datos!$C$15,Datos!$D$15,IF(Evalucion!AQ10=Datos!$C$16,Datos!$D$16,IF(Evalucion!AQ10=Datos!$C$17,Datos!$D$17,IF(Evalucion!AQ10=Datos!$C$18,Datos!$D$18,IF(Evalucion!AQ10=Datos!$C$19,Datos!$D$19,"=")))))</f>
        <v>5</v>
      </c>
      <c r="AQ12">
        <f>IF(Evalucion!AR10=Datos!$C$15,Datos!$D$15,IF(Evalucion!AR10=Datos!$C$16,Datos!$D$16,IF(Evalucion!AR10=Datos!$C$17,Datos!$D$17,IF(Evalucion!AR10=Datos!$C$18,Datos!$D$18,IF(Evalucion!AR10=Datos!$C$19,Datos!$D$19,"=")))))</f>
        <v>5</v>
      </c>
      <c r="AR12">
        <f>IF(Evalucion!AS10=Datos!$C$15,Datos!$D$15,IF(Evalucion!AS10=Datos!$C$16,Datos!$D$16,IF(Evalucion!AS10=Datos!$C$17,Datos!$D$17,IF(Evalucion!AS10=Datos!$C$18,Datos!$D$18,IF(Evalucion!AS10=Datos!$C$19,Datos!$D$19,"=")))))</f>
        <v>3</v>
      </c>
      <c r="AS12">
        <f>IF(Evalucion!AT10=Datos!$C$15,Datos!$D$15,IF(Evalucion!AT10=Datos!$C$16,Datos!$D$16,IF(Evalucion!AT10=Datos!$C$17,Datos!$D$17,IF(Evalucion!AT10=Datos!$C$18,Datos!$D$18,IF(Evalucion!AT10=Datos!$C$19,Datos!$D$19,"=")))))</f>
        <v>5</v>
      </c>
      <c r="AT12">
        <f>IF(Evalucion!AU10=Datos!$C$15,Datos!$D$15,IF(Evalucion!AU10=Datos!$C$16,Datos!$D$16,IF(Evalucion!AU10=Datos!$C$17,Datos!$D$17,IF(Evalucion!AU10=Datos!$C$18,Datos!$D$18,IF(Evalucion!AU10=Datos!$C$19,Datos!$D$19,"=")))))</f>
        <v>3</v>
      </c>
      <c r="AV12">
        <f>IF(Evalucion!AW10=Datos!$C$15,Datos!$D$15,IF(Evalucion!AW10=Datos!$C$16,Datos!$D$16,IF(Evalucion!AW10=Datos!$C$17,Datos!$D$17,IF(Evalucion!AW10=Datos!$C$18,Datos!$D$18,IF(Evalucion!AW10=Datos!$C$19,Datos!$D$19,"=")))))</f>
        <v>5</v>
      </c>
      <c r="AW12">
        <f>IF(Evalucion!AX10=Datos!$C$15,Datos!$D$15,IF(Evalucion!AX10=Datos!$C$16,Datos!$D$16,IF(Evalucion!AX10=Datos!$C$17,Datos!$D$17,IF(Evalucion!AX10=Datos!$C$18,Datos!$D$18,IF(Evalucion!AX10=Datos!$C$19,Datos!$D$19,"=")))))</f>
        <v>3</v>
      </c>
      <c r="AX12">
        <f>IF(Evalucion!AY10=Datos!$C$15,Datos!$D$15,IF(Evalucion!AY10=Datos!$C$16,Datos!$D$16,IF(Evalucion!AY10=Datos!$C$17,Datos!$D$17,IF(Evalucion!AY10=Datos!$C$18,Datos!$D$18,IF(Evalucion!AY10=Datos!$C$19,Datos!$D$19,"=")))))</f>
        <v>5</v>
      </c>
      <c r="AY12">
        <f>IF(Evalucion!AZ10=Datos!$C$15,Datos!$D$15,IF(Evalucion!AZ10=Datos!$C$16,Datos!$D$16,IF(Evalucion!AZ10=Datos!$C$17,Datos!$D$17,IF(Evalucion!AZ10=Datos!$C$18,Datos!$D$18,IF(Evalucion!AZ10=Datos!$C$19,Datos!$D$19,"=")))))</f>
        <v>5</v>
      </c>
      <c r="AZ12">
        <f>IF(Evalucion!BA10=Datos!$C$15,Datos!$D$15,IF(Evalucion!BA10=Datos!$C$16,Datos!$D$16,IF(Evalucion!BA10=Datos!$C$17,Datos!$D$17,IF(Evalucion!BA10=Datos!$C$18,Datos!$D$18,IF(Evalucion!BA10=Datos!$C$19,Datos!$D$19,"=")))))</f>
        <v>5</v>
      </c>
      <c r="BA12">
        <f>IF(Evalucion!BB10=Datos!$C$15,Datos!$D$15,IF(Evalucion!BB10=Datos!$C$16,Datos!$D$16,IF(Evalucion!BB10=Datos!$C$17,Datos!$D$17,IF(Evalucion!BB10=Datos!$C$18,Datos!$D$18,IF(Evalucion!BB10=Datos!$C$19,Datos!$D$19,"=")))))</f>
        <v>5</v>
      </c>
      <c r="BB12">
        <f>IF(Evalucion!BC10=Datos!$C$15,Datos!$D$15,IF(Evalucion!BC10=Datos!$C$16,Datos!$D$16,IF(Evalucion!BC10=Datos!$C$17,Datos!$D$17,IF(Evalucion!BC10=Datos!$C$18,Datos!$D$18,IF(Evalucion!BC10=Datos!$C$19,Datos!$D$19,"=")))))</f>
        <v>1</v>
      </c>
      <c r="BC12">
        <f>IF(Evalucion!BD10=Datos!$C$15,Datos!$D$15,IF(Evalucion!BD10=Datos!$C$16,Datos!$D$16,IF(Evalucion!BD10=Datos!$C$17,Datos!$D$17,IF(Evalucion!BD10=Datos!$C$18,Datos!$D$18,IF(Evalucion!BD10=Datos!$C$19,Datos!$D$19,"=")))))</f>
        <v>1</v>
      </c>
      <c r="BD12">
        <f>IF(Evalucion!BE10=Datos!$C$15,Datos!$D$15,IF(Evalucion!BE10=Datos!$C$16,Datos!$D$16,IF(Evalucion!BE10=Datos!$C$17,Datos!$D$17,IF(Evalucion!BE10=Datos!$C$18,Datos!$D$18,IF(Evalucion!BE10=Datos!$C$19,Datos!$D$19,"=")))))</f>
        <v>1</v>
      </c>
      <c r="BE12">
        <f>IF(Evalucion!BF10=Datos!$C$15,Datos!$D$15,IF(Evalucion!BF10=Datos!$C$16,Datos!$D$16,IF(Evalucion!BF10=Datos!$C$17,Datos!$D$17,IF(Evalucion!BF10=Datos!$C$18,Datos!$D$18,IF(Evalucion!BF10=Datos!$C$19,Datos!$D$19,"=")))))</f>
        <v>1</v>
      </c>
      <c r="BF12">
        <f>IF(Evalucion!BG10=Datos!$C$15,Datos!$D$15,IF(Evalucion!BG10=Datos!$C$16,Datos!$D$16,IF(Evalucion!BG10=Datos!$C$17,Datos!$D$17,IF(Evalucion!BG10=Datos!$C$18,Datos!$D$18,IF(Evalucion!BG10=Datos!$C$19,Datos!$D$19,"=")))))</f>
        <v>5</v>
      </c>
      <c r="BG12">
        <f>IF(Evalucion!BH10=Datos!$C$15,Datos!$D$15,IF(Evalucion!BH10=Datos!$C$16,Datos!$D$16,IF(Evalucion!BH10=Datos!$C$17,Datos!$D$17,IF(Evalucion!BH10=Datos!$C$18,Datos!$D$18,IF(Evalucion!BH10=Datos!$C$19,Datos!$D$19,"=")))))</f>
        <v>5</v>
      </c>
      <c r="BH12">
        <f>IF(Evalucion!BI10=Datos!$C$15,Datos!$D$15,IF(Evalucion!BI10=Datos!$C$16,Datos!$D$16,IF(Evalucion!BI10=Datos!$C$17,Datos!$D$17,IF(Evalucion!BI10=Datos!$C$18,Datos!$D$18,IF(Evalucion!BI10=Datos!$C$19,Datos!$D$19,"=")))))</f>
        <v>5</v>
      </c>
      <c r="BI12">
        <f>IF(Evalucion!BJ10=Datos!$C$15,Datos!$D$15,IF(Evalucion!BJ10=Datos!$C$16,Datos!$D$16,IF(Evalucion!BJ10=Datos!$C$17,Datos!$D$17,IF(Evalucion!BJ10=Datos!$C$18,Datos!$D$18,IF(Evalucion!BJ10=Datos!$C$19,Datos!$D$19,"=")))))</f>
        <v>1</v>
      </c>
      <c r="BJ12">
        <f>IF(Evalucion!BK10=Datos!$C$15,Datos!$D$15,IF(Evalucion!BK10=Datos!$C$16,Datos!$D$16,IF(Evalucion!BK10=Datos!$C$17,Datos!$D$17,IF(Evalucion!BK10=Datos!$C$18,Datos!$D$18,IF(Evalucion!BK10=Datos!$C$19,Datos!$D$19,"=")))))</f>
        <v>5</v>
      </c>
      <c r="BK12">
        <f>IF(Evalucion!BL10=Datos!$C$15,Datos!$D$15,IF(Evalucion!BL10=Datos!$C$16,Datos!$D$16,IF(Evalucion!BL10=Datos!$C$17,Datos!$D$17,IF(Evalucion!BL10=Datos!$C$18,Datos!$D$18,IF(Evalucion!BL10=Datos!$C$19,Datos!$D$19,"=")))))</f>
        <v>1</v>
      </c>
      <c r="BL12">
        <f>IF(Evalucion!BM10=Datos!$C$15,Datos!$D$15,IF(Evalucion!BM10=Datos!$C$16,Datos!$D$16,IF(Evalucion!BM10=Datos!$C$17,Datos!$D$17,IF(Evalucion!BM10=Datos!$C$18,Datos!$D$18,IF(Evalucion!BM10=Datos!$C$19,Datos!$D$19,"=")))))</f>
        <v>1</v>
      </c>
      <c r="BM12">
        <f>IF(Evalucion!BN10=Datos!$C$15,Datos!$D$15,IF(Evalucion!BN10=Datos!$C$16,Datos!$D$16,IF(Evalucion!BN10=Datos!$C$17,Datos!$D$17,IF(Evalucion!BN10=Datos!$C$18,Datos!$D$18,IF(Evalucion!BN10=Datos!$C$19,Datos!$D$19,"=")))))</f>
        <v>1</v>
      </c>
      <c r="BN12">
        <f>IF(Evalucion!BO10=Datos!$C$15,Datos!$D$15,IF(Evalucion!BO10=Datos!$C$16,Datos!$D$16,IF(Evalucion!BO10=Datos!$C$17,Datos!$D$17,IF(Evalucion!BO10=Datos!$C$18,Datos!$D$18,IF(Evalucion!BO10=Datos!$C$19,Datos!$D$19,"=")))))</f>
        <v>5</v>
      </c>
      <c r="BO12">
        <f>IF(Evalucion!BP10=Datos!$C$15,Datos!$D$15,IF(Evalucion!BP10=Datos!$C$16,Datos!$D$16,IF(Evalucion!BP10=Datos!$C$17,Datos!$D$17,IF(Evalucion!BP10=Datos!$C$18,Datos!$D$18,IF(Evalucion!BP10=Datos!$C$19,Datos!$D$19,"=")))))</f>
        <v>5</v>
      </c>
      <c r="BP12">
        <f>IF(Evalucion!BQ10=Datos!$C$15,Datos!$D$15,IF(Evalucion!BQ10=Datos!$C$16,Datos!$D$16,IF(Evalucion!BQ10=Datos!$C$17,Datos!$D$17,IF(Evalucion!BQ10=Datos!$C$18,Datos!$D$18,IF(Evalucion!BQ10=Datos!$C$19,Datos!$D$19,"=")))))</f>
        <v>1</v>
      </c>
      <c r="BQ12">
        <f>IF(Evalucion!BR10=Datos!$C$15,Datos!$D$15,IF(Evalucion!BR10=Datos!$C$16,Datos!$D$16,IF(Evalucion!BR10=Datos!$C$17,Datos!$D$17,IF(Evalucion!BR10=Datos!$C$18,Datos!$D$18,IF(Evalucion!BR10=Datos!$C$19,Datos!$D$19,"=")))))</f>
        <v>1</v>
      </c>
      <c r="BR12">
        <f>IF(Evalucion!BS10=Datos!$C$15,Datos!$D$15,IF(Evalucion!BS10=Datos!$C$16,Datos!$D$16,IF(Evalucion!BS10=Datos!$C$17,Datos!$D$17,IF(Evalucion!BS10=Datos!$C$18,Datos!$D$18,IF(Evalucion!BS10=Datos!$C$19,Datos!$D$19,"=")))))</f>
        <v>5</v>
      </c>
      <c r="BS12">
        <f>IF(Evalucion!BT10=Datos!$C$15,Datos!$D$15,IF(Evalucion!BT10=Datos!$C$16,Datos!$D$16,IF(Evalucion!BT10=Datos!$C$17,Datos!$D$17,IF(Evalucion!BT10=Datos!$C$18,Datos!$D$18,IF(Evalucion!BT10=Datos!$C$19,Datos!$D$19,"=")))))</f>
        <v>3</v>
      </c>
      <c r="BT12">
        <f>IF(Evalucion!BU10=Datos!$C$15,Datos!$D$15,IF(Evalucion!BU10=Datos!$C$16,Datos!$D$16,IF(Evalucion!BU10=Datos!$C$17,Datos!$D$17,IF(Evalucion!BU10=Datos!$C$18,Datos!$D$18,IF(Evalucion!BU10=Datos!$C$19,Datos!$D$19,"=")))))</f>
        <v>1</v>
      </c>
      <c r="BU12">
        <f>IF(Evalucion!BV10=Datos!$C$15,Datos!$D$15,IF(Evalucion!BV10=Datos!$C$16,Datos!$D$16,IF(Evalucion!BV10=Datos!$C$17,Datos!$D$17,IF(Evalucion!BV10=Datos!$C$18,Datos!$D$18,IF(Evalucion!BV10=Datos!$C$19,Datos!$D$19,"=")))))</f>
        <v>1</v>
      </c>
      <c r="BV12">
        <f>IF(Evalucion!BW10=Datos!$C$15,Datos!$D$15,IF(Evalucion!BW10=Datos!$C$16,Datos!$D$16,IF(Evalucion!BW10=Datos!$C$17,Datos!$D$17,IF(Evalucion!BW10=Datos!$C$18,Datos!$D$18,IF(Evalucion!BW10=Datos!$C$19,Datos!$D$19,"=")))))</f>
        <v>5</v>
      </c>
      <c r="BW12">
        <f>IF(Evalucion!BX10=Datos!$C$15,Datos!$D$15,IF(Evalucion!BX10=Datos!$C$16,Datos!$D$16,IF(Evalucion!BX10=Datos!$C$17,Datos!$D$17,IF(Evalucion!BX10=Datos!$C$18,Datos!$D$18,IF(Evalucion!BX10=Datos!$C$19,Datos!$D$19,"=")))))</f>
        <v>5</v>
      </c>
      <c r="BX12">
        <f>IF(Evalucion!BY10=Datos!$C$15,Datos!$D$15,IF(Evalucion!BY10=Datos!$C$16,Datos!$D$16,IF(Evalucion!BY10=Datos!$C$17,Datos!$D$17,IF(Evalucion!BY10=Datos!$C$18,Datos!$D$18,IF(Evalucion!BY10=Datos!$C$19,Datos!$D$19,"=")))))</f>
        <v>5</v>
      </c>
      <c r="BY12">
        <f>IF(Evalucion!BZ10=Datos!$C$15,Datos!$D$15,IF(Evalucion!BZ10=Datos!$C$16,Datos!$D$16,IF(Evalucion!BZ10=Datos!$C$17,Datos!$D$17,IF(Evalucion!BZ10=Datos!$C$18,Datos!$D$18,IF(Evalucion!BZ10=Datos!$C$19,Datos!$D$19,"=")))))</f>
        <v>5</v>
      </c>
      <c r="BZ12">
        <f>IF(Evalucion!CA10=Datos!$C$15,Datos!$D$15,IF(Evalucion!CA10=Datos!$C$16,Datos!$D$16,IF(Evalucion!CA10=Datos!$C$17,Datos!$D$17,IF(Evalucion!CA10=Datos!$C$18,Datos!$D$18,IF(Evalucion!CA10=Datos!$C$19,Datos!$D$19,"=")))))</f>
        <v>5</v>
      </c>
      <c r="CA12">
        <f>IF(Evalucion!CB10=Datos!$C$15,Datos!$D$15,IF(Evalucion!CB10=Datos!$C$16,Datos!$D$16,IF(Evalucion!CB10=Datos!$C$17,Datos!$D$17,IF(Evalucion!CB10=Datos!$C$18,Datos!$D$18,IF(Evalucion!CB10=Datos!$C$19,Datos!$D$19,"=")))))</f>
        <v>5</v>
      </c>
      <c r="CB12">
        <f>IF(Evalucion!CC10=Datos!$C$15,Datos!$D$15,IF(Evalucion!CC10=Datos!$C$16,Datos!$D$16,IF(Evalucion!CC10=Datos!$C$17,Datos!$D$17,IF(Evalucion!CC10=Datos!$C$18,Datos!$D$18,IF(Evalucion!CC10=Datos!$C$19,Datos!$D$19,"=")))))</f>
        <v>5</v>
      </c>
      <c r="CC12">
        <f>IF(Evalucion!CD10=Datos!$C$15,Datos!$D$15,IF(Evalucion!CD10=Datos!$C$16,Datos!$D$16,IF(Evalucion!CD10=Datos!$C$17,Datos!$D$17,IF(Evalucion!CD10=Datos!$C$18,Datos!$D$18,IF(Evalucion!CD10=Datos!$C$19,Datos!$D$19,"=")))))</f>
        <v>5</v>
      </c>
      <c r="CD12">
        <f>IF(Evalucion!CE10=Datos!$C$15,Datos!$D$15,IF(Evalucion!CE10=Datos!$C$16,Datos!$D$16,IF(Evalucion!CE10=Datos!$C$17,Datos!$D$17,IF(Evalucion!CE10=Datos!$C$18,Datos!$D$18,IF(Evalucion!CE10=Datos!$C$19,Datos!$D$19,"=")))))</f>
        <v>5</v>
      </c>
      <c r="CE12">
        <f>IF(Evalucion!CF10=Datos!$C$15,Datos!$D$15,IF(Evalucion!CF10=Datos!$C$16,Datos!$D$16,IF(Evalucion!CF10=Datos!$C$17,Datos!$D$17,IF(Evalucion!CF10=Datos!$C$18,Datos!$D$18,IF(Evalucion!CF10=Datos!$C$19,Datos!$D$19,"=")))))</f>
        <v>5</v>
      </c>
      <c r="CF12">
        <f>IF(Evalucion!CG10=Datos!$C$15,Datos!$D$15,IF(Evalucion!CG10=Datos!$C$16,Datos!$D$16,IF(Evalucion!CG10=Datos!$C$17,Datos!$D$17,IF(Evalucion!CG10=Datos!$C$18,Datos!$D$18,IF(Evalucion!CG10=Datos!$C$19,Datos!$D$19,"=")))))</f>
        <v>1</v>
      </c>
      <c r="CG12">
        <f>IF(Evalucion!CH10=Datos!$C$15,Datos!$D$15,IF(Evalucion!CH10=Datos!$C$16,Datos!$D$16,IF(Evalucion!CH10=Datos!$C$17,Datos!$D$17,IF(Evalucion!CH10=Datos!$C$18,Datos!$D$18,IF(Evalucion!CH10=Datos!$C$19,Datos!$D$19,"=")))))</f>
        <v>3</v>
      </c>
      <c r="CH12">
        <f>IF(Evalucion!CI10=Datos!$C$15,Datos!$D$15,IF(Evalucion!CI10=Datos!$C$16,Datos!$D$16,IF(Evalucion!CI10=Datos!$C$17,Datos!$D$17,IF(Evalucion!CI10=Datos!$C$18,Datos!$D$18,IF(Evalucion!CI10=Datos!$C$19,Datos!$D$19,"=")))))</f>
        <v>5</v>
      </c>
      <c r="CI12">
        <f>IF(Evalucion!CJ10=Datos!$C$15,Datos!$D$15,IF(Evalucion!CJ10=Datos!$C$16,Datos!$D$16,IF(Evalucion!CJ10=Datos!$C$17,Datos!$D$17,IF(Evalucion!CJ10=Datos!$C$18,Datos!$D$18,IF(Evalucion!CJ10=Datos!$C$19,Datos!$D$19,"=")))))</f>
        <v>3</v>
      </c>
      <c r="CJ12">
        <f>IF(Evalucion!CK10=Datos!$C$15,Datos!$D$15,IF(Evalucion!CK10=Datos!$C$16,Datos!$D$16,IF(Evalucion!CK10=Datos!$C$17,Datos!$D$17,IF(Evalucion!CK10=Datos!$C$18,Datos!$D$18,IF(Evalucion!CK10=Datos!$C$19,Datos!$D$19,"=")))))</f>
        <v>5</v>
      </c>
      <c r="CK12">
        <f>IF(Evalucion!CL10=Datos!$C$15,Datos!$D$15,IF(Evalucion!CL10=Datos!$C$16,Datos!$D$16,IF(Evalucion!CL10=Datos!$C$17,Datos!$D$17,IF(Evalucion!CL10=Datos!$C$18,Datos!$D$18,IF(Evalucion!CL10=Datos!$C$19,Datos!$D$19,"=")))))</f>
        <v>5</v>
      </c>
      <c r="CL12">
        <f>IF(Evalucion!CM10=Datos!$C$15,Datos!$D$15,IF(Evalucion!CM10=Datos!$C$16,Datos!$D$16,IF(Evalucion!CM10=Datos!$C$17,Datos!$D$17,IF(Evalucion!CM10=Datos!$C$18,Datos!$D$18,IF(Evalucion!CM10=Datos!$C$19,Datos!$D$19,"=")))))</f>
        <v>5</v>
      </c>
      <c r="CM12">
        <f>IF(Evalucion!CN10=Datos!$C$15,Datos!$D$15,IF(Evalucion!CN10=Datos!$C$16,Datos!$D$16,IF(Evalucion!CN10=Datos!$C$17,Datos!$D$17,IF(Evalucion!CN10=Datos!$C$18,Datos!$D$18,IF(Evalucion!CN10=Datos!$C$19,Datos!$D$19,"=")))))</f>
        <v>3</v>
      </c>
      <c r="CN12">
        <f>IF(Evalucion!CO10=Datos!$C$15,Datos!$D$15,IF(Evalucion!CO10=Datos!$C$16,Datos!$D$16,IF(Evalucion!CO10=Datos!$C$17,Datos!$D$17,IF(Evalucion!CO10=Datos!$C$18,Datos!$D$18,IF(Evalucion!CO10=Datos!$C$19,Datos!$D$19,"=")))))</f>
        <v>5</v>
      </c>
      <c r="CO12">
        <f>IF(Evalucion!CP10=Datos!$C$15,Datos!$D$15,IF(Evalucion!CP10=Datos!$C$16,Datos!$D$16,IF(Evalucion!CP10=Datos!$C$17,Datos!$D$17,IF(Evalucion!CP10=Datos!$C$18,Datos!$D$18,IF(Evalucion!CP10=Datos!$C$19,Datos!$D$19,"=")))))</f>
        <v>5</v>
      </c>
      <c r="CP12">
        <f>IF(Evalucion!CQ10=Datos!$C$15,Datos!$D$15,IF(Evalucion!CQ10=Datos!$C$16,Datos!$D$16,IF(Evalucion!CQ10=Datos!$C$17,Datos!$D$17,IF(Evalucion!CQ10=Datos!$C$18,Datos!$D$18,IF(Evalucion!CQ10=Datos!$C$19,Datos!$D$19,"=")))))</f>
        <v>1</v>
      </c>
      <c r="CQ12">
        <f>IF(Evalucion!CR10=Datos!$C$15,Datos!$D$15,IF(Evalucion!CR10=Datos!$C$16,Datos!$D$16,IF(Evalucion!CR10=Datos!$C$17,Datos!$D$17,IF(Evalucion!CR10=Datos!$C$18,Datos!$D$18,IF(Evalucion!CR10=Datos!$C$19,Datos!$D$19,"=")))))</f>
        <v>1</v>
      </c>
      <c r="CR12">
        <f>IF(Evalucion!CS10=Datos!$C$15,Datos!$D$15,IF(Evalucion!CS10=Datos!$C$16,Datos!$D$16,IF(Evalucion!CS10=Datos!$C$17,Datos!$D$17,IF(Evalucion!CS10=Datos!$C$18,Datos!$D$18,IF(Evalucion!CS10=Datos!$C$19,Datos!$D$19,"=")))))</f>
        <v>5</v>
      </c>
      <c r="CS12">
        <f>IF(Evalucion!CT10=Datos!$C$15,Datos!$D$15,IF(Evalucion!CT10=Datos!$C$16,Datos!$D$16,IF(Evalucion!CT10=Datos!$C$17,Datos!$D$17,IF(Evalucion!CT10=Datos!$C$18,Datos!$D$18,IF(Evalucion!CT10=Datos!$C$19,Datos!$D$19,"=")))))</f>
        <v>3</v>
      </c>
      <c r="CT12">
        <f>IF(Evalucion!CU10=Datos!$C$15,Datos!$D$15,IF(Evalucion!CU10=Datos!$C$16,Datos!$D$16,IF(Evalucion!CU10=Datos!$C$17,Datos!$D$17,IF(Evalucion!CU10=Datos!$C$18,Datos!$D$18,IF(Evalucion!CU10=Datos!$C$19,Datos!$D$19,"=")))))</f>
        <v>1</v>
      </c>
      <c r="CU12">
        <f>IF(Evalucion!CV10=Datos!$C$15,Datos!$D$15,IF(Evalucion!CV10=Datos!$C$16,Datos!$D$16,IF(Evalucion!CV10=Datos!$C$17,Datos!$D$17,IF(Evalucion!CV10=Datos!$C$18,Datos!$D$18,IF(Evalucion!CV10=Datos!$C$19,Datos!$D$19,"=")))))</f>
        <v>1</v>
      </c>
      <c r="CV12">
        <f>IF(Evalucion!CW10=Datos!$C$15,Datos!$D$15,IF(Evalucion!CW10=Datos!$C$16,Datos!$D$16,IF(Evalucion!CW10=Datos!$C$17,Datos!$D$17,IF(Evalucion!CW10=Datos!$C$18,Datos!$D$18,IF(Evalucion!CW10=Datos!$C$19,Datos!$D$19,"=")))))</f>
        <v>5</v>
      </c>
      <c r="CW12">
        <f>IF(Evalucion!CX10=Datos!$C$15,Datos!$D$15,IF(Evalucion!CX10=Datos!$C$16,Datos!$D$16,IF(Evalucion!CX10=Datos!$C$17,Datos!$D$17,IF(Evalucion!CX10=Datos!$C$18,Datos!$D$18,IF(Evalucion!CX10=Datos!$C$19,Datos!$D$19,"=")))))</f>
        <v>1</v>
      </c>
      <c r="CX12">
        <f>IF(Evalucion!CY10=Datos!$C$15,Datos!$D$15,IF(Evalucion!CY10=Datos!$C$16,Datos!$D$16,IF(Evalucion!CY10=Datos!$C$17,Datos!$D$17,IF(Evalucion!CY10=Datos!$C$18,Datos!$D$18,IF(Evalucion!CY10=Datos!$C$19,Datos!$D$19,"=")))))</f>
        <v>5</v>
      </c>
      <c r="CY12">
        <f>IF(Evalucion!CZ10=Datos!$C$15,Datos!$D$15,IF(Evalucion!CZ10=Datos!$C$16,Datos!$D$16,IF(Evalucion!CZ10=Datos!$C$17,Datos!$D$17,IF(Evalucion!CZ10=Datos!$C$18,Datos!$D$18,IF(Evalucion!CZ10=Datos!$C$19,Datos!$D$19,"=")))))</f>
        <v>3</v>
      </c>
      <c r="CZ12">
        <f>IF(Evalucion!DA10=Datos!$C$15,Datos!$D$15,IF(Evalucion!DA10=Datos!$C$16,Datos!$D$16,IF(Evalucion!DA10=Datos!$C$17,Datos!$D$17,IF(Evalucion!DA10=Datos!$C$18,Datos!$D$18,IF(Evalucion!DA10=Datos!$C$19,Datos!$D$19,"=")))))</f>
        <v>1</v>
      </c>
      <c r="DA12">
        <f>IF(Evalucion!DB10=Datos!$C$15,Datos!$D$15,IF(Evalucion!DB10=Datos!$C$16,Datos!$D$16,IF(Evalucion!DB10=Datos!$C$17,Datos!$D$17,IF(Evalucion!DB10=Datos!$C$18,Datos!$D$18,IF(Evalucion!DB10=Datos!$C$19,Datos!$D$19,"=")))))</f>
        <v>1</v>
      </c>
      <c r="DB12">
        <f>IF(Evalucion!DC10=Datos!$C$15,Datos!$D$15,IF(Evalucion!DC10=Datos!$C$16,Datos!$D$16,IF(Evalucion!DC10=Datos!$C$17,Datos!$D$17,IF(Evalucion!DC10=Datos!$C$18,Datos!$D$18,IF(Evalucion!DC10=Datos!$C$19,Datos!$D$19,"=")))))</f>
        <v>5</v>
      </c>
      <c r="DC12">
        <f>IF(Evalucion!DD10=Datos!$C$15,Datos!$D$15,IF(Evalucion!DD10=Datos!$C$16,Datos!$D$16,IF(Evalucion!DD10=Datos!$C$17,Datos!$D$17,IF(Evalucion!DD10=Datos!$C$18,Datos!$D$18,IF(Evalucion!DD10=Datos!$C$19,Datos!$D$19,"=")))))</f>
        <v>5</v>
      </c>
      <c r="DD12">
        <f>IF(Evalucion!DE10=Datos!$C$15,Datos!$D$15,IF(Evalucion!DE10=Datos!$C$16,Datos!$D$16,IF(Evalucion!DE10=Datos!$C$17,Datos!$D$17,IF(Evalucion!DE10=Datos!$C$18,Datos!$D$18,IF(Evalucion!DE10=Datos!$C$19,Datos!$D$19,"=")))))</f>
        <v>1</v>
      </c>
      <c r="DE12">
        <f>IF(Evalucion!DF10=Datos!$C$15,Datos!$D$15,IF(Evalucion!DF10=Datos!$C$16,Datos!$D$16,IF(Evalucion!DF10=Datos!$C$17,Datos!$D$17,IF(Evalucion!DF10=Datos!$C$18,Datos!$D$18,IF(Evalucion!DF10=Datos!$C$19,Datos!$D$19,"=")))))</f>
        <v>1</v>
      </c>
      <c r="DF12">
        <f>IF(Evalucion!DG10=Datos!$C$15,Datos!$D$15,IF(Evalucion!DG10=Datos!$C$16,Datos!$D$16,IF(Evalucion!DG10=Datos!$C$17,Datos!$D$17,IF(Evalucion!DG10=Datos!$C$18,Datos!$D$18,IF(Evalucion!DG10=Datos!$C$19,Datos!$D$19,"=")))))</f>
        <v>5</v>
      </c>
      <c r="DG12">
        <f>IF(Evalucion!DH10=Datos!$C$15,Datos!$D$15,IF(Evalucion!DH10=Datos!$C$16,Datos!$D$16,IF(Evalucion!DH10=Datos!$C$17,Datos!$D$17,IF(Evalucion!DH10=Datos!$C$18,Datos!$D$18,IF(Evalucion!DH10=Datos!$C$19,Datos!$D$19,"=")))))</f>
        <v>5</v>
      </c>
      <c r="DH12">
        <f>IF(Evalucion!DI10=Datos!$C$15,Datos!$D$15,IF(Evalucion!DI10=Datos!$C$16,Datos!$D$16,IF(Evalucion!DI10=Datos!$C$17,Datos!$D$17,IF(Evalucion!DI10=Datos!$C$18,Datos!$D$18,IF(Evalucion!DI10=Datos!$C$19,Datos!$D$19,"=")))))</f>
        <v>5</v>
      </c>
      <c r="DI12">
        <f>IF(Evalucion!DJ10=Datos!$C$15,Datos!$D$15,IF(Evalucion!DJ10=Datos!$C$16,Datos!$D$16,IF(Evalucion!DJ10=Datos!$C$17,Datos!$D$17,IF(Evalucion!DJ10=Datos!$C$18,Datos!$D$18,IF(Evalucion!DJ10=Datos!$C$19,Datos!$D$19,"=")))))</f>
        <v>5</v>
      </c>
      <c r="DJ12">
        <f>IF(Evalucion!DK10=Datos!$C$15,Datos!$D$15,IF(Evalucion!DK10=Datos!$C$16,Datos!$D$16,IF(Evalucion!DK10=Datos!$C$17,Datos!$D$17,IF(Evalucion!DK10=Datos!$C$18,Datos!$D$18,IF(Evalucion!DK10=Datos!$C$19,Datos!$D$19,"=")))))</f>
        <v>1</v>
      </c>
      <c r="DK12">
        <f>IF(Evalucion!DL10=Datos!$C$15,Datos!$D$15,IF(Evalucion!DL10=Datos!$C$16,Datos!$D$16,IF(Evalucion!DL10=Datos!$C$17,Datos!$D$17,IF(Evalucion!DL10=Datos!$C$18,Datos!$D$18,IF(Evalucion!DL10=Datos!$C$19,Datos!$D$19,"=")))))</f>
        <v>3</v>
      </c>
      <c r="DL12">
        <f>IF(Evalucion!DM10=Datos!$C$15,Datos!$D$15,IF(Evalucion!DM10=Datos!$C$16,Datos!$D$16,IF(Evalucion!DM10=Datos!$C$17,Datos!$D$17,IF(Evalucion!DM10=Datos!$C$18,Datos!$D$18,IF(Evalucion!DM10=Datos!$C$19,Datos!$D$19,"=")))))</f>
        <v>5</v>
      </c>
      <c r="DM12">
        <f>IF(Evalucion!DN10=Datos!$C$15,Datos!$D$15,IF(Evalucion!DN10=Datos!$C$16,Datos!$D$16,IF(Evalucion!DN10=Datos!$C$17,Datos!$D$17,IF(Evalucion!DN10=Datos!$C$18,Datos!$D$18,IF(Evalucion!DN10=Datos!$C$19,Datos!$D$19,"=")))))</f>
        <v>3</v>
      </c>
      <c r="DN12">
        <f>IF(Evalucion!DO10=Datos!$C$15,Datos!$D$15,IF(Evalucion!DO10=Datos!$C$16,Datos!$D$16,IF(Evalucion!DO10=Datos!$C$17,Datos!$D$17,IF(Evalucion!DO10=Datos!$C$18,Datos!$D$18,IF(Evalucion!DO10=Datos!$C$19,Datos!$D$19,"=")))))</f>
        <v>5</v>
      </c>
      <c r="DO12">
        <f>IF(Evalucion!DP10=Datos!$C$15,Datos!$D$15,IF(Evalucion!DP10=Datos!$C$16,Datos!$D$16,IF(Evalucion!DP10=Datos!$C$17,Datos!$D$17,IF(Evalucion!DP10=Datos!$C$18,Datos!$D$18,IF(Evalucion!DP10=Datos!$C$19,Datos!$D$19,"=")))))</f>
        <v>1</v>
      </c>
      <c r="DP12">
        <f>IF(Evalucion!DQ10=Datos!$C$15,Datos!$D$15,IF(Evalucion!DQ10=Datos!$C$16,Datos!$D$16,IF(Evalucion!DQ10=Datos!$C$17,Datos!$D$17,IF(Evalucion!DQ10=Datos!$C$18,Datos!$D$18,IF(Evalucion!DQ10=Datos!$C$19,Datos!$D$19,"=")))))</f>
        <v>1</v>
      </c>
      <c r="DQ12">
        <f>IF(Evalucion!DR10=Datos!$C$15,Datos!$D$15,IF(Evalucion!DR10=Datos!$C$16,Datos!$D$16,IF(Evalucion!DR10=Datos!$C$17,Datos!$D$17,IF(Evalucion!DR10=Datos!$C$18,Datos!$D$18,IF(Evalucion!DR10=Datos!$C$19,Datos!$D$19,"=")))))</f>
        <v>1</v>
      </c>
      <c r="DR12">
        <f>IF(Evalucion!DS10=Datos!$C$15,Datos!$D$15,IF(Evalucion!DS10=Datos!$C$16,Datos!$D$16,IF(Evalucion!DS10=Datos!$C$17,Datos!$D$17,IF(Evalucion!DS10=Datos!$C$18,Datos!$D$18,IF(Evalucion!DS10=Datos!$C$19,Datos!$D$19,"=")))))</f>
        <v>1</v>
      </c>
      <c r="DS12">
        <f>IF(Evalucion!DT10=Datos!$C$15,Datos!$D$15,IF(Evalucion!DT10=Datos!$C$16,Datos!$D$16,IF(Evalucion!DT10=Datos!$C$17,Datos!$D$17,IF(Evalucion!DT10=Datos!$C$18,Datos!$D$18,IF(Evalucion!DT10=Datos!$C$19,Datos!$D$19,"=")))))</f>
        <v>1</v>
      </c>
      <c r="DT12">
        <f>IF(Evalucion!DU10=Datos!$C$15,Datos!$D$15,IF(Evalucion!DU10=Datos!$C$16,Datos!$D$16,IF(Evalucion!DU10=Datos!$C$17,Datos!$D$17,IF(Evalucion!DU10=Datos!$C$18,Datos!$D$18,IF(Evalucion!DU10=Datos!$C$19,Datos!$D$19,"=")))))</f>
        <v>1</v>
      </c>
      <c r="DU12">
        <f>IF(Evalucion!DV10=Datos!$C$15,Datos!$D$15,IF(Evalucion!DV10=Datos!$C$16,Datos!$D$16,IF(Evalucion!DV10=Datos!$C$17,Datos!$D$17,IF(Evalucion!DV10=Datos!$C$18,Datos!$D$18,IF(Evalucion!DV10=Datos!$C$19,Datos!$D$19,"=")))))</f>
        <v>1</v>
      </c>
      <c r="DV12">
        <f>IF(Evalucion!DW10=Datos!$C$15,Datos!$D$15,IF(Evalucion!DW10=Datos!$C$16,Datos!$D$16,IF(Evalucion!DW10=Datos!$C$17,Datos!$D$17,IF(Evalucion!DW10=Datos!$C$18,Datos!$D$18,IF(Evalucion!DW10=Datos!$C$19,Datos!$D$19,"=")))))</f>
        <v>1</v>
      </c>
      <c r="DW12">
        <f>IF(Evalucion!DX10=Datos!$C$15,Datos!$D$15,IF(Evalucion!DX10=Datos!$C$16,Datos!$D$16,IF(Evalucion!DX10=Datos!$C$17,Datos!$D$17,IF(Evalucion!DX10=Datos!$C$18,Datos!$D$18,IF(Evalucion!DX10=Datos!$C$19,Datos!$D$19,"=")))))</f>
        <v>1</v>
      </c>
      <c r="DX12">
        <f>IF(Evalucion!DY10=Datos!$C$15,Datos!$D$15,IF(Evalucion!DY10=Datos!$C$16,Datos!$D$16,IF(Evalucion!DY10=Datos!$C$17,Datos!$D$17,IF(Evalucion!DY10=Datos!$C$18,Datos!$D$18,IF(Evalucion!DY10=Datos!$C$19,Datos!$D$19,"=")))))</f>
        <v>1</v>
      </c>
      <c r="DY12">
        <f>IF(Evalucion!DZ10=Datos!$C$15,Datos!$D$15,IF(Evalucion!DZ10=Datos!$C$16,Datos!$D$16,IF(Evalucion!DZ10=Datos!$C$17,Datos!$D$17,IF(Evalucion!DZ10=Datos!$C$18,Datos!$D$18,IF(Evalucion!DZ10=Datos!$C$19,Datos!$D$19,"=")))))</f>
        <v>1</v>
      </c>
      <c r="DZ12">
        <f>IF(Evalucion!EA10=Datos!$C$15,Datos!$D$15,IF(Evalucion!EA10=Datos!$C$16,Datos!$D$16,IF(Evalucion!EA10=Datos!$C$17,Datos!$D$17,IF(Evalucion!EA10=Datos!$C$18,Datos!$D$18,IF(Evalucion!EA10=Datos!$C$19,Datos!$D$19,"=")))))</f>
        <v>5</v>
      </c>
      <c r="EA12">
        <f>IF(Evalucion!EB10=Datos!$C$15,Datos!$D$15,IF(Evalucion!EB10=Datos!$C$16,Datos!$D$16,IF(Evalucion!EB10=Datos!$C$17,Datos!$D$17,IF(Evalucion!EB10=Datos!$C$18,Datos!$D$18,IF(Evalucion!EB10=Datos!$C$19,Datos!$D$19,"=")))))</f>
        <v>1</v>
      </c>
      <c r="EB12">
        <f>IF(Evalucion!EC10=Datos!$C$15,Datos!$D$15,IF(Evalucion!EC10=Datos!$C$16,Datos!$D$16,IF(Evalucion!EC10=Datos!$C$17,Datos!$D$17,IF(Evalucion!EC10=Datos!$C$18,Datos!$D$18,IF(Evalucion!EC10=Datos!$C$19,Datos!$D$19,"=")))))</f>
        <v>1</v>
      </c>
      <c r="EC12">
        <f>IF(Evalucion!ED10=Datos!$C$15,Datos!$D$15,IF(Evalucion!ED10=Datos!$C$16,Datos!$D$16,IF(Evalucion!ED10=Datos!$C$17,Datos!$D$17,IF(Evalucion!ED10=Datos!$C$18,Datos!$D$18,IF(Evalucion!ED10=Datos!$C$19,Datos!$D$19,"=")))))</f>
        <v>1</v>
      </c>
      <c r="ED12">
        <f>IF(Evalucion!EE10=Datos!$C$15,Datos!$D$15,IF(Evalucion!EE10=Datos!$C$16,Datos!$D$16,IF(Evalucion!EE10=Datos!$C$17,Datos!$D$17,IF(Evalucion!EE10=Datos!$C$18,Datos!$D$18,IF(Evalucion!EE10=Datos!$C$19,Datos!$D$19,"=")))))</f>
        <v>5</v>
      </c>
      <c r="EE12">
        <f>IF(Evalucion!EF10=Datos!$C$15,Datos!$D$15,IF(Evalucion!EF10=Datos!$C$16,Datos!$D$16,IF(Evalucion!EF10=Datos!$C$17,Datos!$D$17,IF(Evalucion!EF10=Datos!$C$18,Datos!$D$18,IF(Evalucion!EF10=Datos!$C$19,Datos!$D$19,"=")))))</f>
        <v>1</v>
      </c>
      <c r="EF12">
        <f>IF(Evalucion!EG10=Datos!$C$15,Datos!$D$15,IF(Evalucion!EG10=Datos!$C$16,Datos!$D$16,IF(Evalucion!EG10=Datos!$C$17,Datos!$D$17,IF(Evalucion!EG10=Datos!$C$18,Datos!$D$18,IF(Evalucion!EG10=Datos!$C$19,Datos!$D$19,"=")))))</f>
        <v>5</v>
      </c>
      <c r="EG12">
        <f>IF(Evalucion!EH10=Datos!$C$15,Datos!$D$15,IF(Evalucion!EH10=Datos!$C$16,Datos!$D$16,IF(Evalucion!EH10=Datos!$C$17,Datos!$D$17,IF(Evalucion!EH10=Datos!$C$18,Datos!$D$18,IF(Evalucion!EH10=Datos!$C$19,Datos!$D$19,"=")))))</f>
        <v>1</v>
      </c>
      <c r="EH12">
        <f>IF(Evalucion!EI10=Datos!$C$15,Datos!$D$15,IF(Evalucion!EI10=Datos!$C$16,Datos!$D$16,IF(Evalucion!EI10=Datos!$C$17,Datos!$D$17,IF(Evalucion!EI10=Datos!$C$18,Datos!$D$18,IF(Evalucion!EI10=Datos!$C$19,Datos!$D$19,"=")))))</f>
        <v>5</v>
      </c>
      <c r="EI12">
        <f>IF(Evalucion!EJ10=Datos!$C$15,Datos!$D$15,IF(Evalucion!EJ10=Datos!$C$16,Datos!$D$16,IF(Evalucion!EJ10=Datos!$C$17,Datos!$D$17,IF(Evalucion!EJ10=Datos!$C$18,Datos!$D$18,IF(Evalucion!EJ10=Datos!$C$19,Datos!$D$19,"=")))))</f>
        <v>1</v>
      </c>
      <c r="EJ12">
        <f>IF(Evalucion!EK10=Datos!$C$15,Datos!$D$15,IF(Evalucion!EK10=Datos!$C$16,Datos!$D$16,IF(Evalucion!EK10=Datos!$C$17,Datos!$D$17,IF(Evalucion!EK10=Datos!$C$18,Datos!$D$18,IF(Evalucion!EK10=Datos!$C$19,Datos!$D$19,"=")))))</f>
        <v>5</v>
      </c>
      <c r="EK12">
        <f>IF(Evalucion!EL10=Datos!$C$15,Datos!$D$15,IF(Evalucion!EL10=Datos!$C$16,Datos!$D$16,IF(Evalucion!EL10=Datos!$C$17,Datos!$D$17,IF(Evalucion!EL10=Datos!$C$18,Datos!$D$18,IF(Evalucion!EL10=Datos!$C$19,Datos!$D$19,"=")))))</f>
        <v>1</v>
      </c>
      <c r="EL12">
        <f>IF(Evalucion!EM10=Datos!$C$15,Datos!$D$15,IF(Evalucion!EM10=Datos!$C$16,Datos!$D$16,IF(Evalucion!EM10=Datos!$C$17,Datos!$D$17,IF(Evalucion!EM10=Datos!$C$18,Datos!$D$18,IF(Evalucion!EM10=Datos!$C$19,Datos!$D$19,"=")))))</f>
        <v>5</v>
      </c>
      <c r="EM12">
        <f>IF(Evalucion!EN10=Datos!$C$15,Datos!$D$15,IF(Evalucion!EN10=Datos!$C$16,Datos!$D$16,IF(Evalucion!EN10=Datos!$C$17,Datos!$D$17,IF(Evalucion!EN10=Datos!$C$18,Datos!$D$18,IF(Evalucion!EN10=Datos!$C$19,Datos!$D$19,"=")))))</f>
        <v>1</v>
      </c>
      <c r="EN12">
        <f>IF(Evalucion!EO10=Datos!$C$15,Datos!$D$15,IF(Evalucion!EO10=Datos!$C$16,Datos!$D$16,IF(Evalucion!EO10=Datos!$C$17,Datos!$D$17,IF(Evalucion!EO10=Datos!$C$18,Datos!$D$18,IF(Evalucion!EO10=Datos!$C$19,Datos!$D$19,"=")))))</f>
        <v>1</v>
      </c>
      <c r="EO12">
        <f>IF(Evalucion!EP10=Datos!$C$15,Datos!$D$15,IF(Evalucion!EP10=Datos!$C$16,Datos!$D$16,IF(Evalucion!EP10=Datos!$C$17,Datos!$D$17,IF(Evalucion!EP10=Datos!$C$18,Datos!$D$18,IF(Evalucion!EP10=Datos!$C$19,Datos!$D$19,"=")))))</f>
        <v>3</v>
      </c>
      <c r="EP12">
        <f>IF(Evalucion!EQ10=Datos!$C$15,Datos!$D$15,IF(Evalucion!EQ10=Datos!$C$16,Datos!$D$16,IF(Evalucion!EQ10=Datos!$C$17,Datos!$D$17,IF(Evalucion!EQ10=Datos!$C$18,Datos!$D$18,IF(Evalucion!EQ10=Datos!$C$19,Datos!$D$19,"=")))))</f>
        <v>1</v>
      </c>
      <c r="EQ12">
        <f>IF(Evalucion!ER10=Datos!$C$15,Datos!$D$15,IF(Evalucion!ER10=Datos!$C$16,Datos!$D$16,IF(Evalucion!ER10=Datos!$C$17,Datos!$D$17,IF(Evalucion!ER10=Datos!$C$18,Datos!$D$18,IF(Evalucion!ER10=Datos!$C$19,Datos!$D$19,"=")))))</f>
        <v>1</v>
      </c>
      <c r="ER12">
        <f>IF(Evalucion!ES10=Datos!$C$15,Datos!$D$15,IF(Evalucion!ES10=Datos!$C$16,Datos!$D$16,IF(Evalucion!ES10=Datos!$C$17,Datos!$D$17,IF(Evalucion!ES10=Datos!$C$18,Datos!$D$18,IF(Evalucion!ES10=Datos!$C$19,Datos!$D$19,"=")))))</f>
        <v>5</v>
      </c>
      <c r="ES12">
        <f>IF(Evalucion!ET10=Datos!$C$15,Datos!$D$15,IF(Evalucion!ET10=Datos!$C$16,Datos!$D$16,IF(Evalucion!ET10=Datos!$C$17,Datos!$D$17,IF(Evalucion!ET10=Datos!$C$18,Datos!$D$18,IF(Evalucion!ET10=Datos!$C$19,Datos!$D$19,"=")))))</f>
        <v>1</v>
      </c>
      <c r="ET12">
        <f>IF(Evalucion!EU10=Datos!$C$15,Datos!$D$15,IF(Evalucion!EU10=Datos!$C$16,Datos!$D$16,IF(Evalucion!EU10=Datos!$C$17,Datos!$D$17,IF(Evalucion!EU10=Datos!$C$18,Datos!$D$18,IF(Evalucion!EU10=Datos!$C$19,Datos!$D$19,"=")))))</f>
        <v>5</v>
      </c>
      <c r="EU12">
        <f>IF(Evalucion!EV10=Datos!$C$15,Datos!$D$15,IF(Evalucion!EV10=Datos!$C$16,Datos!$D$16,IF(Evalucion!EV10=Datos!$C$17,Datos!$D$17,IF(Evalucion!EV10=Datos!$C$18,Datos!$D$18,IF(Evalucion!EV10=Datos!$C$19,Datos!$D$19,"=")))))</f>
        <v>1</v>
      </c>
      <c r="EV12">
        <f>IF(Evalucion!EW10=Datos!$C$15,Datos!$D$15,IF(Evalucion!EW10=Datos!$C$16,Datos!$D$16,IF(Evalucion!EW10=Datos!$C$17,Datos!$D$17,IF(Evalucion!EW10=Datos!$C$18,Datos!$D$18,IF(Evalucion!EW10=Datos!$C$19,Datos!$D$19,"=")))))</f>
        <v>5</v>
      </c>
      <c r="EW12">
        <f>IF(Evalucion!EX10=Datos!$C$15,Datos!$D$15,IF(Evalucion!EX10=Datos!$C$16,Datos!$D$16,IF(Evalucion!EX10=Datos!$C$17,Datos!$D$17,IF(Evalucion!EX10=Datos!$C$18,Datos!$D$18,IF(Evalucion!EX10=Datos!$C$19,Datos!$D$19,"=")))))</f>
        <v>5</v>
      </c>
      <c r="EX12">
        <f>IF(Evalucion!EY10=Datos!$C$15,Datos!$D$15,IF(Evalucion!EY10=Datos!$C$16,Datos!$D$16,IF(Evalucion!EY10=Datos!$C$17,Datos!$D$17,IF(Evalucion!EY10=Datos!$C$18,Datos!$D$18,IF(Evalucion!EY10=Datos!$C$19,Datos!$D$19,"=")))))</f>
        <v>5</v>
      </c>
      <c r="EY12">
        <f>IF(Evalucion!EZ10=Datos!$C$15,Datos!$D$15,IF(Evalucion!EZ10=Datos!$C$16,Datos!$D$16,IF(Evalucion!EZ10=Datos!$C$17,Datos!$D$17,IF(Evalucion!EZ10=Datos!$C$18,Datos!$D$18,IF(Evalucion!EZ10=Datos!$C$19,Datos!$D$19,"=")))))</f>
        <v>3</v>
      </c>
      <c r="FA12">
        <f t="shared" si="3"/>
        <v>275</v>
      </c>
      <c r="FB12">
        <f t="shared" si="3"/>
        <v>209</v>
      </c>
      <c r="FC12" s="3">
        <f t="shared" si="4"/>
        <v>0.55733333333333335</v>
      </c>
      <c r="FD12" t="str">
        <f t="shared" si="0"/>
        <v>Conf_CR</v>
      </c>
      <c r="FF12">
        <f t="shared" si="5"/>
        <v>484</v>
      </c>
      <c r="FG12">
        <f t="shared" si="6"/>
        <v>0</v>
      </c>
    </row>
    <row r="13" spans="1:167" x14ac:dyDescent="0.2">
      <c r="A13">
        <f t="shared" si="7"/>
        <v>10</v>
      </c>
      <c r="B13" t="s">
        <v>254</v>
      </c>
      <c r="C13" t="s">
        <v>193</v>
      </c>
      <c r="D13" s="1">
        <v>43843</v>
      </c>
      <c r="E13">
        <f>IF(Evalucion!F11=Datos!$C$15,Datos!$D$15,IF(Evalucion!F11=Datos!$C$16,Datos!$D$16,IF(Evalucion!F11=Datos!$C$17,Datos!$D$17,IF(Evalucion!F11=Datos!$C$18,Datos!$D$18,IF(Evalucion!F11=Datos!$C$19,Datos!$D$19,"=")))))</f>
        <v>5</v>
      </c>
      <c r="F13">
        <f>IF(Evalucion!G11=Datos!$C$15,Datos!$D$15,IF(Evalucion!G11=Datos!$C$16,Datos!$D$16,IF(Evalucion!G11=Datos!$C$17,Datos!$D$17,IF(Evalucion!G11=Datos!$C$18,Datos!$D$18,IF(Evalucion!G11=Datos!$C$19,Datos!$D$19,"=")))))</f>
        <v>5</v>
      </c>
      <c r="G13">
        <f>IF(Evalucion!H11=Datos!$C$15,Datos!$D$15,IF(Evalucion!H11=Datos!$C$16,Datos!$D$16,IF(Evalucion!H11=Datos!$C$17,Datos!$D$17,IF(Evalucion!H11=Datos!$C$18,Datos!$D$18,IF(Evalucion!H11=Datos!$C$19,Datos!$D$19,"=")))))</f>
        <v>5</v>
      </c>
      <c r="H13">
        <f>IF(Evalucion!I11=Datos!$C$15,Datos!$D$15,IF(Evalucion!I11=Datos!$C$16,Datos!$D$16,IF(Evalucion!I11=Datos!$C$17,Datos!$D$17,IF(Evalucion!I11=Datos!$C$18,Datos!$D$18,IF(Evalucion!I11=Datos!$C$19,Datos!$D$19,"=")))))</f>
        <v>5</v>
      </c>
      <c r="I13">
        <f>IF(Evalucion!J11=Datos!$C$15,Datos!$D$15,IF(Evalucion!J11=Datos!$C$16,Datos!$D$16,IF(Evalucion!J11=Datos!$C$17,Datos!$D$17,IF(Evalucion!J11=Datos!$C$18,Datos!$D$18,IF(Evalucion!J11=Datos!$C$19,Datos!$D$19,"=")))))</f>
        <v>5</v>
      </c>
      <c r="J13">
        <f>IF(Evalucion!K11=Datos!$C$15,Datos!$D$15,IF(Evalucion!K11=Datos!$C$16,Datos!$D$16,IF(Evalucion!K11=Datos!$C$17,Datos!$D$17,IF(Evalucion!K11=Datos!$C$18,Datos!$D$18,IF(Evalucion!K11=Datos!$C$19,Datos!$D$19,"=")))))</f>
        <v>5</v>
      </c>
      <c r="K13">
        <f>IF(Evalucion!L11=Datos!$C$15,Datos!$D$15,IF(Evalucion!L11=Datos!$C$16,Datos!$D$16,IF(Evalucion!L11=Datos!$C$17,Datos!$D$17,IF(Evalucion!L11=Datos!$C$18,Datos!$D$18,IF(Evalucion!L11=Datos!$C$19,Datos!$D$19,"=")))))</f>
        <v>5</v>
      </c>
      <c r="L13">
        <f>IF(Evalucion!M11=Datos!$C$15,Datos!$D$15,IF(Evalucion!M11=Datos!$C$16,Datos!$D$16,IF(Evalucion!M11=Datos!$C$17,Datos!$D$17,IF(Evalucion!M11=Datos!$C$18,Datos!$D$18,IF(Evalucion!M11=Datos!$C$19,Datos!$D$19,"=")))))</f>
        <v>5</v>
      </c>
      <c r="M13">
        <f>IF(Evalucion!N11=Datos!$C$15,Datos!$D$15,IF(Evalucion!N11=Datos!$C$16,Datos!$D$16,IF(Evalucion!N11=Datos!$C$17,Datos!$D$17,IF(Evalucion!N11=Datos!$C$18,Datos!$D$18,IF(Evalucion!N11=Datos!$C$19,Datos!$D$19,"=")))))</f>
        <v>5</v>
      </c>
      <c r="N13">
        <f>IF(Evalucion!O11=Datos!$C$15,Datos!$D$15,IF(Evalucion!O11=Datos!$C$16,Datos!$D$16,IF(Evalucion!O11=Datos!$C$17,Datos!$D$17,IF(Evalucion!O11=Datos!$C$18,Datos!$D$18,IF(Evalucion!O11=Datos!$C$19,Datos!$D$19,"=")))))</f>
        <v>5</v>
      </c>
      <c r="O13">
        <f>IF(Evalucion!P11=Datos!$C$15,Datos!$D$15,IF(Evalucion!P11=Datos!$C$16,Datos!$D$16,IF(Evalucion!P11=Datos!$C$17,Datos!$D$17,IF(Evalucion!P11=Datos!$C$18,Datos!$D$18,IF(Evalucion!P11=Datos!$C$19,Datos!$D$19,"=")))))</f>
        <v>5</v>
      </c>
      <c r="P13">
        <f>IF(Evalucion!Q11=Datos!$C$15,Datos!$D$15,IF(Evalucion!Q11=Datos!$C$16,Datos!$D$16,IF(Evalucion!Q11=Datos!$C$17,Datos!$D$17,IF(Evalucion!Q11=Datos!$C$18,Datos!$D$18,IF(Evalucion!Q11=Datos!$C$19,Datos!$D$19,"=")))))</f>
        <v>1</v>
      </c>
      <c r="Q13">
        <f>IF(Evalucion!R11=Datos!$C$15,Datos!$D$15,IF(Evalucion!R11=Datos!$C$16,Datos!$D$16,IF(Evalucion!R11=Datos!$C$17,Datos!$D$17,IF(Evalucion!R11=Datos!$C$18,Datos!$D$18,IF(Evalucion!R11=Datos!$C$19,Datos!$D$19,"=")))))</f>
        <v>5</v>
      </c>
      <c r="R13">
        <f>IF(Evalucion!S11=Datos!$C$15,Datos!$D$15,IF(Evalucion!S11=Datos!$C$16,Datos!$D$16,IF(Evalucion!S11=Datos!$C$17,Datos!$D$17,IF(Evalucion!S11=Datos!$C$18,Datos!$D$18,IF(Evalucion!S11=Datos!$C$19,Datos!$D$19,"=")))))</f>
        <v>5</v>
      </c>
      <c r="S13">
        <f>IF(Evalucion!T11=Datos!$C$15,Datos!$D$15,IF(Evalucion!T11=Datos!$C$16,Datos!$D$16,IF(Evalucion!T11=Datos!$C$17,Datos!$D$17,IF(Evalucion!T11=Datos!$C$18,Datos!$D$18,IF(Evalucion!T11=Datos!$C$19,Datos!$D$19,"=")))))</f>
        <v>5</v>
      </c>
      <c r="T13">
        <f>IF(Evalucion!U11=Datos!$C$15,Datos!$D$15,IF(Evalucion!U11=Datos!$C$16,Datos!$D$16,IF(Evalucion!U11=Datos!$C$17,Datos!$D$17,IF(Evalucion!U11=Datos!$C$18,Datos!$D$18,IF(Evalucion!U11=Datos!$C$19,Datos!$D$19,"=")))))</f>
        <v>5</v>
      </c>
      <c r="U13">
        <f>IF(Evalucion!V11=Datos!$C$15,Datos!$D$15,IF(Evalucion!V11=Datos!$C$16,Datos!$D$16,IF(Evalucion!V11=Datos!$C$17,Datos!$D$17,IF(Evalucion!V11=Datos!$C$18,Datos!$D$18,IF(Evalucion!V11=Datos!$C$19,Datos!$D$19,"=")))))</f>
        <v>5</v>
      </c>
      <c r="V13">
        <f>IF(Evalucion!W11=Datos!$C$15,Datos!$D$15,IF(Evalucion!W11=Datos!$C$16,Datos!$D$16,IF(Evalucion!W11=Datos!$C$17,Datos!$D$17,IF(Evalucion!W11=Datos!$C$18,Datos!$D$18,IF(Evalucion!W11=Datos!$C$19,Datos!$D$19,"=")))))</f>
        <v>5</v>
      </c>
      <c r="W13">
        <f>IF(Evalucion!X11=Datos!$C$15,Datos!$D$15,IF(Evalucion!X11=Datos!$C$16,Datos!$D$16,IF(Evalucion!X11=Datos!$C$17,Datos!$D$17,IF(Evalucion!X11=Datos!$C$18,Datos!$D$18,IF(Evalucion!X11=Datos!$C$19,Datos!$D$19,"=")))))</f>
        <v>5</v>
      </c>
      <c r="X13">
        <f>IF(Evalucion!Y11=Datos!$C$15,Datos!$D$15,IF(Evalucion!Y11=Datos!$C$16,Datos!$D$16,IF(Evalucion!Y11=Datos!$C$17,Datos!$D$17,IF(Evalucion!Y11=Datos!$C$18,Datos!$D$18,IF(Evalucion!Y11=Datos!$C$19,Datos!$D$19,"=")))))</f>
        <v>5</v>
      </c>
      <c r="Y13">
        <f>IF(Evalucion!Z11=Datos!$C$15,Datos!$D$15,IF(Evalucion!Z11=Datos!$C$16,Datos!$D$16,IF(Evalucion!Z11=Datos!$C$17,Datos!$D$17,IF(Evalucion!Z11=Datos!$C$18,Datos!$D$18,IF(Evalucion!Z11=Datos!$C$19,Datos!$D$19,"=")))))</f>
        <v>5</v>
      </c>
      <c r="Z13">
        <f>IF(Evalucion!AA11=Datos!$C$15,Datos!$D$15,IF(Evalucion!AA11=Datos!$C$16,Datos!$D$16,IF(Evalucion!AA11=Datos!$C$17,Datos!$D$17,IF(Evalucion!AA11=Datos!$C$18,Datos!$D$18,IF(Evalucion!AA11=Datos!$C$19,Datos!$D$19,"=")))))</f>
        <v>5</v>
      </c>
      <c r="AA13">
        <f>IF(Evalucion!AB11=Datos!$C$15,Datos!$D$15,IF(Evalucion!AB11=Datos!$C$16,Datos!$D$16,IF(Evalucion!AB11=Datos!$C$17,Datos!$D$17,IF(Evalucion!AB11=Datos!$C$18,Datos!$D$18,IF(Evalucion!AB11=Datos!$C$19,Datos!$D$19,"=")))))</f>
        <v>5</v>
      </c>
      <c r="AB13">
        <f>IF(Evalucion!AC11=Datos!$C$15,Datos!$D$15,IF(Evalucion!AC11=Datos!$C$16,Datos!$D$16,IF(Evalucion!AC11=Datos!$C$17,Datos!$D$17,IF(Evalucion!AC11=Datos!$C$18,Datos!$D$18,IF(Evalucion!AC11=Datos!$C$19,Datos!$D$19,"=")))))</f>
        <v>5</v>
      </c>
      <c r="AC13">
        <f>IF(Evalucion!AD11=Datos!$C$15,Datos!$D$15,IF(Evalucion!AD11=Datos!$C$16,Datos!$D$16,IF(Evalucion!AD11=Datos!$C$17,Datos!$D$17,IF(Evalucion!AD11=Datos!$C$18,Datos!$D$18,IF(Evalucion!AD11=Datos!$C$19,Datos!$D$19,"=")))))</f>
        <v>1</v>
      </c>
      <c r="AD13">
        <f>IF(Evalucion!AE11=Datos!$C$15,Datos!$D$15,IF(Evalucion!AE11=Datos!$C$16,Datos!$D$16,IF(Evalucion!AE11=Datos!$C$17,Datos!$D$17,IF(Evalucion!AE11=Datos!$C$18,Datos!$D$18,IF(Evalucion!AE11=Datos!$C$19,Datos!$D$19,"=")))))</f>
        <v>1</v>
      </c>
      <c r="AE13">
        <f>IF(Evalucion!AF11=Datos!$C$15,Datos!$D$15,IF(Evalucion!AF11=Datos!$C$16,Datos!$D$16,IF(Evalucion!AF11=Datos!$C$17,Datos!$D$17,IF(Evalucion!AF11=Datos!$C$18,Datos!$D$18,IF(Evalucion!AF11=Datos!$C$19,Datos!$D$19,"=")))))</f>
        <v>5</v>
      </c>
      <c r="AF13">
        <f>IF(Evalucion!AG11=Datos!$C$15,Datos!$D$15,IF(Evalucion!AG11=Datos!$C$16,Datos!$D$16,IF(Evalucion!AG11=Datos!$C$17,Datos!$D$17,IF(Evalucion!AG11=Datos!$C$18,Datos!$D$18,IF(Evalucion!AG11=Datos!$C$19,Datos!$D$19,"=")))))</f>
        <v>5</v>
      </c>
      <c r="AO13">
        <f>IF(Evalucion!AP11=Datos!$C$15,Datos!$D$15,IF(Evalucion!AP11=Datos!$C$16,Datos!$D$16,IF(Evalucion!AP11=Datos!$C$17,Datos!$D$17,IF(Evalucion!AP11=Datos!$C$18,Datos!$D$18,IF(Evalucion!AP11=Datos!$C$19,Datos!$D$19,"=")))))</f>
        <v>5</v>
      </c>
      <c r="AP13">
        <f>IF(Evalucion!AQ11=Datos!$C$15,Datos!$D$15,IF(Evalucion!AQ11=Datos!$C$16,Datos!$D$16,IF(Evalucion!AQ11=Datos!$C$17,Datos!$D$17,IF(Evalucion!AQ11=Datos!$C$18,Datos!$D$18,IF(Evalucion!AQ11=Datos!$C$19,Datos!$D$19,"=")))))</f>
        <v>5</v>
      </c>
      <c r="AQ13">
        <f>IF(Evalucion!AR11=Datos!$C$15,Datos!$D$15,IF(Evalucion!AR11=Datos!$C$16,Datos!$D$16,IF(Evalucion!AR11=Datos!$C$17,Datos!$D$17,IF(Evalucion!AR11=Datos!$C$18,Datos!$D$18,IF(Evalucion!AR11=Datos!$C$19,Datos!$D$19,"=")))))</f>
        <v>5</v>
      </c>
      <c r="AR13">
        <f>IF(Evalucion!AS11=Datos!$C$15,Datos!$D$15,IF(Evalucion!AS11=Datos!$C$16,Datos!$D$16,IF(Evalucion!AS11=Datos!$C$17,Datos!$D$17,IF(Evalucion!AS11=Datos!$C$18,Datos!$D$18,IF(Evalucion!AS11=Datos!$C$19,Datos!$D$19,"=")))))</f>
        <v>3</v>
      </c>
      <c r="AS13">
        <f>IF(Evalucion!AT11=Datos!$C$15,Datos!$D$15,IF(Evalucion!AT11=Datos!$C$16,Datos!$D$16,IF(Evalucion!AT11=Datos!$C$17,Datos!$D$17,IF(Evalucion!AT11=Datos!$C$18,Datos!$D$18,IF(Evalucion!AT11=Datos!$C$19,Datos!$D$19,"=")))))</f>
        <v>5</v>
      </c>
      <c r="AT13">
        <f>IF(Evalucion!AU11=Datos!$C$15,Datos!$D$15,IF(Evalucion!AU11=Datos!$C$16,Datos!$D$16,IF(Evalucion!AU11=Datos!$C$17,Datos!$D$17,IF(Evalucion!AU11=Datos!$C$18,Datos!$D$18,IF(Evalucion!AU11=Datos!$C$19,Datos!$D$19,"=")))))</f>
        <v>3</v>
      </c>
      <c r="AV13">
        <f>IF(Evalucion!AW11=Datos!$C$15,Datos!$D$15,IF(Evalucion!AW11=Datos!$C$16,Datos!$D$16,IF(Evalucion!AW11=Datos!$C$17,Datos!$D$17,IF(Evalucion!AW11=Datos!$C$18,Datos!$D$18,IF(Evalucion!AW11=Datos!$C$19,Datos!$D$19,"=")))))</f>
        <v>5</v>
      </c>
      <c r="AW13">
        <f>IF(Evalucion!AX11=Datos!$C$15,Datos!$D$15,IF(Evalucion!AX11=Datos!$C$16,Datos!$D$16,IF(Evalucion!AX11=Datos!$C$17,Datos!$D$17,IF(Evalucion!AX11=Datos!$C$18,Datos!$D$18,IF(Evalucion!AX11=Datos!$C$19,Datos!$D$19,"=")))))</f>
        <v>3</v>
      </c>
      <c r="AX13">
        <f>IF(Evalucion!AY11=Datos!$C$15,Datos!$D$15,IF(Evalucion!AY11=Datos!$C$16,Datos!$D$16,IF(Evalucion!AY11=Datos!$C$17,Datos!$D$17,IF(Evalucion!AY11=Datos!$C$18,Datos!$D$18,IF(Evalucion!AY11=Datos!$C$19,Datos!$D$19,"=")))))</f>
        <v>5</v>
      </c>
      <c r="AY13">
        <f>IF(Evalucion!AZ11=Datos!$C$15,Datos!$D$15,IF(Evalucion!AZ11=Datos!$C$16,Datos!$D$16,IF(Evalucion!AZ11=Datos!$C$17,Datos!$D$17,IF(Evalucion!AZ11=Datos!$C$18,Datos!$D$18,IF(Evalucion!AZ11=Datos!$C$19,Datos!$D$19,"=")))))</f>
        <v>5</v>
      </c>
      <c r="AZ13">
        <f>IF(Evalucion!BA11=Datos!$C$15,Datos!$D$15,IF(Evalucion!BA11=Datos!$C$16,Datos!$D$16,IF(Evalucion!BA11=Datos!$C$17,Datos!$D$17,IF(Evalucion!BA11=Datos!$C$18,Datos!$D$18,IF(Evalucion!BA11=Datos!$C$19,Datos!$D$19,"=")))))</f>
        <v>5</v>
      </c>
      <c r="BA13">
        <f>IF(Evalucion!BB11=Datos!$C$15,Datos!$D$15,IF(Evalucion!BB11=Datos!$C$16,Datos!$D$16,IF(Evalucion!BB11=Datos!$C$17,Datos!$D$17,IF(Evalucion!BB11=Datos!$C$18,Datos!$D$18,IF(Evalucion!BB11=Datos!$C$19,Datos!$D$19,"=")))))</f>
        <v>5</v>
      </c>
      <c r="BB13">
        <f>IF(Evalucion!BC11=Datos!$C$15,Datos!$D$15,IF(Evalucion!BC11=Datos!$C$16,Datos!$D$16,IF(Evalucion!BC11=Datos!$C$17,Datos!$D$17,IF(Evalucion!BC11=Datos!$C$18,Datos!$D$18,IF(Evalucion!BC11=Datos!$C$19,Datos!$D$19,"=")))))</f>
        <v>1</v>
      </c>
      <c r="BC13">
        <f>IF(Evalucion!BD11=Datos!$C$15,Datos!$D$15,IF(Evalucion!BD11=Datos!$C$16,Datos!$D$16,IF(Evalucion!BD11=Datos!$C$17,Datos!$D$17,IF(Evalucion!BD11=Datos!$C$18,Datos!$D$18,IF(Evalucion!BD11=Datos!$C$19,Datos!$D$19,"=")))))</f>
        <v>1</v>
      </c>
      <c r="BD13">
        <f>IF(Evalucion!BE11=Datos!$C$15,Datos!$D$15,IF(Evalucion!BE11=Datos!$C$16,Datos!$D$16,IF(Evalucion!BE11=Datos!$C$17,Datos!$D$17,IF(Evalucion!BE11=Datos!$C$18,Datos!$D$18,IF(Evalucion!BE11=Datos!$C$19,Datos!$D$19,"=")))))</f>
        <v>1</v>
      </c>
      <c r="BE13">
        <f>IF(Evalucion!BF11=Datos!$C$15,Datos!$D$15,IF(Evalucion!BF11=Datos!$C$16,Datos!$D$16,IF(Evalucion!BF11=Datos!$C$17,Datos!$D$17,IF(Evalucion!BF11=Datos!$C$18,Datos!$D$18,IF(Evalucion!BF11=Datos!$C$19,Datos!$D$19,"=")))))</f>
        <v>1</v>
      </c>
      <c r="BF13">
        <f>IF(Evalucion!BG11=Datos!$C$15,Datos!$D$15,IF(Evalucion!BG11=Datos!$C$16,Datos!$D$16,IF(Evalucion!BG11=Datos!$C$17,Datos!$D$17,IF(Evalucion!BG11=Datos!$C$18,Datos!$D$18,IF(Evalucion!BG11=Datos!$C$19,Datos!$D$19,"=")))))</f>
        <v>5</v>
      </c>
      <c r="BG13">
        <f>IF(Evalucion!BH11=Datos!$C$15,Datos!$D$15,IF(Evalucion!BH11=Datos!$C$16,Datos!$D$16,IF(Evalucion!BH11=Datos!$C$17,Datos!$D$17,IF(Evalucion!BH11=Datos!$C$18,Datos!$D$18,IF(Evalucion!BH11=Datos!$C$19,Datos!$D$19,"=")))))</f>
        <v>5</v>
      </c>
      <c r="BH13">
        <f>IF(Evalucion!BI11=Datos!$C$15,Datos!$D$15,IF(Evalucion!BI11=Datos!$C$16,Datos!$D$16,IF(Evalucion!BI11=Datos!$C$17,Datos!$D$17,IF(Evalucion!BI11=Datos!$C$18,Datos!$D$18,IF(Evalucion!BI11=Datos!$C$19,Datos!$D$19,"=")))))</f>
        <v>5</v>
      </c>
      <c r="BI13">
        <f>IF(Evalucion!BJ11=Datos!$C$15,Datos!$D$15,IF(Evalucion!BJ11=Datos!$C$16,Datos!$D$16,IF(Evalucion!BJ11=Datos!$C$17,Datos!$D$17,IF(Evalucion!BJ11=Datos!$C$18,Datos!$D$18,IF(Evalucion!BJ11=Datos!$C$19,Datos!$D$19,"=")))))</f>
        <v>1</v>
      </c>
      <c r="BJ13">
        <f>IF(Evalucion!BK11=Datos!$C$15,Datos!$D$15,IF(Evalucion!BK11=Datos!$C$16,Datos!$D$16,IF(Evalucion!BK11=Datos!$C$17,Datos!$D$17,IF(Evalucion!BK11=Datos!$C$18,Datos!$D$18,IF(Evalucion!BK11=Datos!$C$19,Datos!$D$19,"=")))))</f>
        <v>5</v>
      </c>
      <c r="BK13">
        <f>IF(Evalucion!BL11=Datos!$C$15,Datos!$D$15,IF(Evalucion!BL11=Datos!$C$16,Datos!$D$16,IF(Evalucion!BL11=Datos!$C$17,Datos!$D$17,IF(Evalucion!BL11=Datos!$C$18,Datos!$D$18,IF(Evalucion!BL11=Datos!$C$19,Datos!$D$19,"=")))))</f>
        <v>1</v>
      </c>
      <c r="BL13">
        <f>IF(Evalucion!BM11=Datos!$C$15,Datos!$D$15,IF(Evalucion!BM11=Datos!$C$16,Datos!$D$16,IF(Evalucion!BM11=Datos!$C$17,Datos!$D$17,IF(Evalucion!BM11=Datos!$C$18,Datos!$D$18,IF(Evalucion!BM11=Datos!$C$19,Datos!$D$19,"=")))))</f>
        <v>1</v>
      </c>
      <c r="BM13">
        <f>IF(Evalucion!BN11=Datos!$C$15,Datos!$D$15,IF(Evalucion!BN11=Datos!$C$16,Datos!$D$16,IF(Evalucion!BN11=Datos!$C$17,Datos!$D$17,IF(Evalucion!BN11=Datos!$C$18,Datos!$D$18,IF(Evalucion!BN11=Datos!$C$19,Datos!$D$19,"=")))))</f>
        <v>1</v>
      </c>
      <c r="BN13">
        <f>IF(Evalucion!BO11=Datos!$C$15,Datos!$D$15,IF(Evalucion!BO11=Datos!$C$16,Datos!$D$16,IF(Evalucion!BO11=Datos!$C$17,Datos!$D$17,IF(Evalucion!BO11=Datos!$C$18,Datos!$D$18,IF(Evalucion!BO11=Datos!$C$19,Datos!$D$19,"=")))))</f>
        <v>5</v>
      </c>
      <c r="BO13">
        <f>IF(Evalucion!BP11=Datos!$C$15,Datos!$D$15,IF(Evalucion!BP11=Datos!$C$16,Datos!$D$16,IF(Evalucion!BP11=Datos!$C$17,Datos!$D$17,IF(Evalucion!BP11=Datos!$C$18,Datos!$D$18,IF(Evalucion!BP11=Datos!$C$19,Datos!$D$19,"=")))))</f>
        <v>5</v>
      </c>
      <c r="BP13">
        <f>IF(Evalucion!BQ11=Datos!$C$15,Datos!$D$15,IF(Evalucion!BQ11=Datos!$C$16,Datos!$D$16,IF(Evalucion!BQ11=Datos!$C$17,Datos!$D$17,IF(Evalucion!BQ11=Datos!$C$18,Datos!$D$18,IF(Evalucion!BQ11=Datos!$C$19,Datos!$D$19,"=")))))</f>
        <v>1</v>
      </c>
      <c r="BQ13">
        <f>IF(Evalucion!BR11=Datos!$C$15,Datos!$D$15,IF(Evalucion!BR11=Datos!$C$16,Datos!$D$16,IF(Evalucion!BR11=Datos!$C$17,Datos!$D$17,IF(Evalucion!BR11=Datos!$C$18,Datos!$D$18,IF(Evalucion!BR11=Datos!$C$19,Datos!$D$19,"=")))))</f>
        <v>1</v>
      </c>
      <c r="BR13">
        <f>IF(Evalucion!BS11=Datos!$C$15,Datos!$D$15,IF(Evalucion!BS11=Datos!$C$16,Datos!$D$16,IF(Evalucion!BS11=Datos!$C$17,Datos!$D$17,IF(Evalucion!BS11=Datos!$C$18,Datos!$D$18,IF(Evalucion!BS11=Datos!$C$19,Datos!$D$19,"=")))))</f>
        <v>5</v>
      </c>
      <c r="BS13">
        <f>IF(Evalucion!BT11=Datos!$C$15,Datos!$D$15,IF(Evalucion!BT11=Datos!$C$16,Datos!$D$16,IF(Evalucion!BT11=Datos!$C$17,Datos!$D$17,IF(Evalucion!BT11=Datos!$C$18,Datos!$D$18,IF(Evalucion!BT11=Datos!$C$19,Datos!$D$19,"=")))))</f>
        <v>3</v>
      </c>
      <c r="BT13">
        <f>IF(Evalucion!BU11=Datos!$C$15,Datos!$D$15,IF(Evalucion!BU11=Datos!$C$16,Datos!$D$16,IF(Evalucion!BU11=Datos!$C$17,Datos!$D$17,IF(Evalucion!BU11=Datos!$C$18,Datos!$D$18,IF(Evalucion!BU11=Datos!$C$19,Datos!$D$19,"=")))))</f>
        <v>1</v>
      </c>
      <c r="BU13">
        <f>IF(Evalucion!BV11=Datos!$C$15,Datos!$D$15,IF(Evalucion!BV11=Datos!$C$16,Datos!$D$16,IF(Evalucion!BV11=Datos!$C$17,Datos!$D$17,IF(Evalucion!BV11=Datos!$C$18,Datos!$D$18,IF(Evalucion!BV11=Datos!$C$19,Datos!$D$19,"=")))))</f>
        <v>1</v>
      </c>
      <c r="BV13">
        <f>IF(Evalucion!BW11=Datos!$C$15,Datos!$D$15,IF(Evalucion!BW11=Datos!$C$16,Datos!$D$16,IF(Evalucion!BW11=Datos!$C$17,Datos!$D$17,IF(Evalucion!BW11=Datos!$C$18,Datos!$D$18,IF(Evalucion!BW11=Datos!$C$19,Datos!$D$19,"=")))))</f>
        <v>5</v>
      </c>
      <c r="BW13">
        <f>IF(Evalucion!BX11=Datos!$C$15,Datos!$D$15,IF(Evalucion!BX11=Datos!$C$16,Datos!$D$16,IF(Evalucion!BX11=Datos!$C$17,Datos!$D$17,IF(Evalucion!BX11=Datos!$C$18,Datos!$D$18,IF(Evalucion!BX11=Datos!$C$19,Datos!$D$19,"=")))))</f>
        <v>5</v>
      </c>
      <c r="BX13">
        <f>IF(Evalucion!BY11=Datos!$C$15,Datos!$D$15,IF(Evalucion!BY11=Datos!$C$16,Datos!$D$16,IF(Evalucion!BY11=Datos!$C$17,Datos!$D$17,IF(Evalucion!BY11=Datos!$C$18,Datos!$D$18,IF(Evalucion!BY11=Datos!$C$19,Datos!$D$19,"=")))))</f>
        <v>5</v>
      </c>
      <c r="BY13">
        <f>IF(Evalucion!BZ11=Datos!$C$15,Datos!$D$15,IF(Evalucion!BZ11=Datos!$C$16,Datos!$D$16,IF(Evalucion!BZ11=Datos!$C$17,Datos!$D$17,IF(Evalucion!BZ11=Datos!$C$18,Datos!$D$18,IF(Evalucion!BZ11=Datos!$C$19,Datos!$D$19,"=")))))</f>
        <v>5</v>
      </c>
      <c r="BZ13">
        <f>IF(Evalucion!CA11=Datos!$C$15,Datos!$D$15,IF(Evalucion!CA11=Datos!$C$16,Datos!$D$16,IF(Evalucion!CA11=Datos!$C$17,Datos!$D$17,IF(Evalucion!CA11=Datos!$C$18,Datos!$D$18,IF(Evalucion!CA11=Datos!$C$19,Datos!$D$19,"=")))))</f>
        <v>5</v>
      </c>
      <c r="CA13">
        <f>IF(Evalucion!CB11=Datos!$C$15,Datos!$D$15,IF(Evalucion!CB11=Datos!$C$16,Datos!$D$16,IF(Evalucion!CB11=Datos!$C$17,Datos!$D$17,IF(Evalucion!CB11=Datos!$C$18,Datos!$D$18,IF(Evalucion!CB11=Datos!$C$19,Datos!$D$19,"=")))))</f>
        <v>5</v>
      </c>
      <c r="CB13">
        <f>IF(Evalucion!CC11=Datos!$C$15,Datos!$D$15,IF(Evalucion!CC11=Datos!$C$16,Datos!$D$16,IF(Evalucion!CC11=Datos!$C$17,Datos!$D$17,IF(Evalucion!CC11=Datos!$C$18,Datos!$D$18,IF(Evalucion!CC11=Datos!$C$19,Datos!$D$19,"=")))))</f>
        <v>5</v>
      </c>
      <c r="CC13">
        <f>IF(Evalucion!CD11=Datos!$C$15,Datos!$D$15,IF(Evalucion!CD11=Datos!$C$16,Datos!$D$16,IF(Evalucion!CD11=Datos!$C$17,Datos!$D$17,IF(Evalucion!CD11=Datos!$C$18,Datos!$D$18,IF(Evalucion!CD11=Datos!$C$19,Datos!$D$19,"=")))))</f>
        <v>5</v>
      </c>
      <c r="CD13">
        <f>IF(Evalucion!CE11=Datos!$C$15,Datos!$D$15,IF(Evalucion!CE11=Datos!$C$16,Datos!$D$16,IF(Evalucion!CE11=Datos!$C$17,Datos!$D$17,IF(Evalucion!CE11=Datos!$C$18,Datos!$D$18,IF(Evalucion!CE11=Datos!$C$19,Datos!$D$19,"=")))))</f>
        <v>5</v>
      </c>
      <c r="CE13">
        <f>IF(Evalucion!CF11=Datos!$C$15,Datos!$D$15,IF(Evalucion!CF11=Datos!$C$16,Datos!$D$16,IF(Evalucion!CF11=Datos!$C$17,Datos!$D$17,IF(Evalucion!CF11=Datos!$C$18,Datos!$D$18,IF(Evalucion!CF11=Datos!$C$19,Datos!$D$19,"=")))))</f>
        <v>5</v>
      </c>
      <c r="CF13">
        <f>IF(Evalucion!CG11=Datos!$C$15,Datos!$D$15,IF(Evalucion!CG11=Datos!$C$16,Datos!$D$16,IF(Evalucion!CG11=Datos!$C$17,Datos!$D$17,IF(Evalucion!CG11=Datos!$C$18,Datos!$D$18,IF(Evalucion!CG11=Datos!$C$19,Datos!$D$19,"=")))))</f>
        <v>1</v>
      </c>
      <c r="CG13">
        <f>IF(Evalucion!CH11=Datos!$C$15,Datos!$D$15,IF(Evalucion!CH11=Datos!$C$16,Datos!$D$16,IF(Evalucion!CH11=Datos!$C$17,Datos!$D$17,IF(Evalucion!CH11=Datos!$C$18,Datos!$D$18,IF(Evalucion!CH11=Datos!$C$19,Datos!$D$19,"=")))))</f>
        <v>3</v>
      </c>
      <c r="CH13">
        <f>IF(Evalucion!CI11=Datos!$C$15,Datos!$D$15,IF(Evalucion!CI11=Datos!$C$16,Datos!$D$16,IF(Evalucion!CI11=Datos!$C$17,Datos!$D$17,IF(Evalucion!CI11=Datos!$C$18,Datos!$D$18,IF(Evalucion!CI11=Datos!$C$19,Datos!$D$19,"=")))))</f>
        <v>5</v>
      </c>
      <c r="CI13">
        <f>IF(Evalucion!CJ11=Datos!$C$15,Datos!$D$15,IF(Evalucion!CJ11=Datos!$C$16,Datos!$D$16,IF(Evalucion!CJ11=Datos!$C$17,Datos!$D$17,IF(Evalucion!CJ11=Datos!$C$18,Datos!$D$18,IF(Evalucion!CJ11=Datos!$C$19,Datos!$D$19,"=")))))</f>
        <v>3</v>
      </c>
      <c r="CJ13">
        <f>IF(Evalucion!CK11=Datos!$C$15,Datos!$D$15,IF(Evalucion!CK11=Datos!$C$16,Datos!$D$16,IF(Evalucion!CK11=Datos!$C$17,Datos!$D$17,IF(Evalucion!CK11=Datos!$C$18,Datos!$D$18,IF(Evalucion!CK11=Datos!$C$19,Datos!$D$19,"=")))))</f>
        <v>5</v>
      </c>
      <c r="CK13">
        <f>IF(Evalucion!CL11=Datos!$C$15,Datos!$D$15,IF(Evalucion!CL11=Datos!$C$16,Datos!$D$16,IF(Evalucion!CL11=Datos!$C$17,Datos!$D$17,IF(Evalucion!CL11=Datos!$C$18,Datos!$D$18,IF(Evalucion!CL11=Datos!$C$19,Datos!$D$19,"=")))))</f>
        <v>5</v>
      </c>
      <c r="CL13">
        <f>IF(Evalucion!CM11=Datos!$C$15,Datos!$D$15,IF(Evalucion!CM11=Datos!$C$16,Datos!$D$16,IF(Evalucion!CM11=Datos!$C$17,Datos!$D$17,IF(Evalucion!CM11=Datos!$C$18,Datos!$D$18,IF(Evalucion!CM11=Datos!$C$19,Datos!$D$19,"=")))))</f>
        <v>5</v>
      </c>
      <c r="CM13">
        <f>IF(Evalucion!CN11=Datos!$C$15,Datos!$D$15,IF(Evalucion!CN11=Datos!$C$16,Datos!$D$16,IF(Evalucion!CN11=Datos!$C$17,Datos!$D$17,IF(Evalucion!CN11=Datos!$C$18,Datos!$D$18,IF(Evalucion!CN11=Datos!$C$19,Datos!$D$19,"=")))))</f>
        <v>3</v>
      </c>
      <c r="CN13">
        <f>IF(Evalucion!CO11=Datos!$C$15,Datos!$D$15,IF(Evalucion!CO11=Datos!$C$16,Datos!$D$16,IF(Evalucion!CO11=Datos!$C$17,Datos!$D$17,IF(Evalucion!CO11=Datos!$C$18,Datos!$D$18,IF(Evalucion!CO11=Datos!$C$19,Datos!$D$19,"=")))))</f>
        <v>5</v>
      </c>
      <c r="CO13">
        <f>IF(Evalucion!CP11=Datos!$C$15,Datos!$D$15,IF(Evalucion!CP11=Datos!$C$16,Datos!$D$16,IF(Evalucion!CP11=Datos!$C$17,Datos!$D$17,IF(Evalucion!CP11=Datos!$C$18,Datos!$D$18,IF(Evalucion!CP11=Datos!$C$19,Datos!$D$19,"=")))))</f>
        <v>5</v>
      </c>
      <c r="CP13">
        <f>IF(Evalucion!CQ11=Datos!$C$15,Datos!$D$15,IF(Evalucion!CQ11=Datos!$C$16,Datos!$D$16,IF(Evalucion!CQ11=Datos!$C$17,Datos!$D$17,IF(Evalucion!CQ11=Datos!$C$18,Datos!$D$18,IF(Evalucion!CQ11=Datos!$C$19,Datos!$D$19,"=")))))</f>
        <v>1</v>
      </c>
      <c r="CQ13">
        <f>IF(Evalucion!CR11=Datos!$C$15,Datos!$D$15,IF(Evalucion!CR11=Datos!$C$16,Datos!$D$16,IF(Evalucion!CR11=Datos!$C$17,Datos!$D$17,IF(Evalucion!CR11=Datos!$C$18,Datos!$D$18,IF(Evalucion!CR11=Datos!$C$19,Datos!$D$19,"=")))))</f>
        <v>1</v>
      </c>
      <c r="CR13">
        <f>IF(Evalucion!CS11=Datos!$C$15,Datos!$D$15,IF(Evalucion!CS11=Datos!$C$16,Datos!$D$16,IF(Evalucion!CS11=Datos!$C$17,Datos!$D$17,IF(Evalucion!CS11=Datos!$C$18,Datos!$D$18,IF(Evalucion!CS11=Datos!$C$19,Datos!$D$19,"=")))))</f>
        <v>5</v>
      </c>
      <c r="CS13">
        <f>IF(Evalucion!CT11=Datos!$C$15,Datos!$D$15,IF(Evalucion!CT11=Datos!$C$16,Datos!$D$16,IF(Evalucion!CT11=Datos!$C$17,Datos!$D$17,IF(Evalucion!CT11=Datos!$C$18,Datos!$D$18,IF(Evalucion!CT11=Datos!$C$19,Datos!$D$19,"=")))))</f>
        <v>3</v>
      </c>
      <c r="CT13">
        <f>IF(Evalucion!CU11=Datos!$C$15,Datos!$D$15,IF(Evalucion!CU11=Datos!$C$16,Datos!$D$16,IF(Evalucion!CU11=Datos!$C$17,Datos!$D$17,IF(Evalucion!CU11=Datos!$C$18,Datos!$D$18,IF(Evalucion!CU11=Datos!$C$19,Datos!$D$19,"=")))))</f>
        <v>1</v>
      </c>
      <c r="CU13">
        <f>IF(Evalucion!CV11=Datos!$C$15,Datos!$D$15,IF(Evalucion!CV11=Datos!$C$16,Datos!$D$16,IF(Evalucion!CV11=Datos!$C$17,Datos!$D$17,IF(Evalucion!CV11=Datos!$C$18,Datos!$D$18,IF(Evalucion!CV11=Datos!$C$19,Datos!$D$19,"=")))))</f>
        <v>1</v>
      </c>
      <c r="CV13">
        <f>IF(Evalucion!CW11=Datos!$C$15,Datos!$D$15,IF(Evalucion!CW11=Datos!$C$16,Datos!$D$16,IF(Evalucion!CW11=Datos!$C$17,Datos!$D$17,IF(Evalucion!CW11=Datos!$C$18,Datos!$D$18,IF(Evalucion!CW11=Datos!$C$19,Datos!$D$19,"=")))))</f>
        <v>5</v>
      </c>
      <c r="CW13">
        <f>IF(Evalucion!CX11=Datos!$C$15,Datos!$D$15,IF(Evalucion!CX11=Datos!$C$16,Datos!$D$16,IF(Evalucion!CX11=Datos!$C$17,Datos!$D$17,IF(Evalucion!CX11=Datos!$C$18,Datos!$D$18,IF(Evalucion!CX11=Datos!$C$19,Datos!$D$19,"=")))))</f>
        <v>1</v>
      </c>
      <c r="CX13">
        <f>IF(Evalucion!CY11=Datos!$C$15,Datos!$D$15,IF(Evalucion!CY11=Datos!$C$16,Datos!$D$16,IF(Evalucion!CY11=Datos!$C$17,Datos!$D$17,IF(Evalucion!CY11=Datos!$C$18,Datos!$D$18,IF(Evalucion!CY11=Datos!$C$19,Datos!$D$19,"=")))))</f>
        <v>5</v>
      </c>
      <c r="CY13">
        <f>IF(Evalucion!CZ11=Datos!$C$15,Datos!$D$15,IF(Evalucion!CZ11=Datos!$C$16,Datos!$D$16,IF(Evalucion!CZ11=Datos!$C$17,Datos!$D$17,IF(Evalucion!CZ11=Datos!$C$18,Datos!$D$18,IF(Evalucion!CZ11=Datos!$C$19,Datos!$D$19,"=")))))</f>
        <v>3</v>
      </c>
      <c r="CZ13">
        <f>IF(Evalucion!DA11=Datos!$C$15,Datos!$D$15,IF(Evalucion!DA11=Datos!$C$16,Datos!$D$16,IF(Evalucion!DA11=Datos!$C$17,Datos!$D$17,IF(Evalucion!DA11=Datos!$C$18,Datos!$D$18,IF(Evalucion!DA11=Datos!$C$19,Datos!$D$19,"=")))))</f>
        <v>1</v>
      </c>
      <c r="DA13">
        <f>IF(Evalucion!DB11=Datos!$C$15,Datos!$D$15,IF(Evalucion!DB11=Datos!$C$16,Datos!$D$16,IF(Evalucion!DB11=Datos!$C$17,Datos!$D$17,IF(Evalucion!DB11=Datos!$C$18,Datos!$D$18,IF(Evalucion!DB11=Datos!$C$19,Datos!$D$19,"=")))))</f>
        <v>1</v>
      </c>
      <c r="DB13">
        <f>IF(Evalucion!DC11=Datos!$C$15,Datos!$D$15,IF(Evalucion!DC11=Datos!$C$16,Datos!$D$16,IF(Evalucion!DC11=Datos!$C$17,Datos!$D$17,IF(Evalucion!DC11=Datos!$C$18,Datos!$D$18,IF(Evalucion!DC11=Datos!$C$19,Datos!$D$19,"=")))))</f>
        <v>5</v>
      </c>
      <c r="DC13">
        <f>IF(Evalucion!DD11=Datos!$C$15,Datos!$D$15,IF(Evalucion!DD11=Datos!$C$16,Datos!$D$16,IF(Evalucion!DD11=Datos!$C$17,Datos!$D$17,IF(Evalucion!DD11=Datos!$C$18,Datos!$D$18,IF(Evalucion!DD11=Datos!$C$19,Datos!$D$19,"=")))))</f>
        <v>5</v>
      </c>
      <c r="DD13">
        <f>IF(Evalucion!DE11=Datos!$C$15,Datos!$D$15,IF(Evalucion!DE11=Datos!$C$16,Datos!$D$16,IF(Evalucion!DE11=Datos!$C$17,Datos!$D$17,IF(Evalucion!DE11=Datos!$C$18,Datos!$D$18,IF(Evalucion!DE11=Datos!$C$19,Datos!$D$19,"=")))))</f>
        <v>1</v>
      </c>
      <c r="DE13">
        <f>IF(Evalucion!DF11=Datos!$C$15,Datos!$D$15,IF(Evalucion!DF11=Datos!$C$16,Datos!$D$16,IF(Evalucion!DF11=Datos!$C$17,Datos!$D$17,IF(Evalucion!DF11=Datos!$C$18,Datos!$D$18,IF(Evalucion!DF11=Datos!$C$19,Datos!$D$19,"=")))))</f>
        <v>1</v>
      </c>
      <c r="DF13">
        <f>IF(Evalucion!DG11=Datos!$C$15,Datos!$D$15,IF(Evalucion!DG11=Datos!$C$16,Datos!$D$16,IF(Evalucion!DG11=Datos!$C$17,Datos!$D$17,IF(Evalucion!DG11=Datos!$C$18,Datos!$D$18,IF(Evalucion!DG11=Datos!$C$19,Datos!$D$19,"=")))))</f>
        <v>5</v>
      </c>
      <c r="DG13">
        <f>IF(Evalucion!DH11=Datos!$C$15,Datos!$D$15,IF(Evalucion!DH11=Datos!$C$16,Datos!$D$16,IF(Evalucion!DH11=Datos!$C$17,Datos!$D$17,IF(Evalucion!DH11=Datos!$C$18,Datos!$D$18,IF(Evalucion!DH11=Datos!$C$19,Datos!$D$19,"=")))))</f>
        <v>5</v>
      </c>
      <c r="DH13">
        <f>IF(Evalucion!DI11=Datos!$C$15,Datos!$D$15,IF(Evalucion!DI11=Datos!$C$16,Datos!$D$16,IF(Evalucion!DI11=Datos!$C$17,Datos!$D$17,IF(Evalucion!DI11=Datos!$C$18,Datos!$D$18,IF(Evalucion!DI11=Datos!$C$19,Datos!$D$19,"=")))))</f>
        <v>5</v>
      </c>
      <c r="DI13">
        <f>IF(Evalucion!DJ11=Datos!$C$15,Datos!$D$15,IF(Evalucion!DJ11=Datos!$C$16,Datos!$D$16,IF(Evalucion!DJ11=Datos!$C$17,Datos!$D$17,IF(Evalucion!DJ11=Datos!$C$18,Datos!$D$18,IF(Evalucion!DJ11=Datos!$C$19,Datos!$D$19,"=")))))</f>
        <v>5</v>
      </c>
      <c r="DJ13">
        <f>IF(Evalucion!DK11=Datos!$C$15,Datos!$D$15,IF(Evalucion!DK11=Datos!$C$16,Datos!$D$16,IF(Evalucion!DK11=Datos!$C$17,Datos!$D$17,IF(Evalucion!DK11=Datos!$C$18,Datos!$D$18,IF(Evalucion!DK11=Datos!$C$19,Datos!$D$19,"=")))))</f>
        <v>1</v>
      </c>
      <c r="DK13">
        <f>IF(Evalucion!DL11=Datos!$C$15,Datos!$D$15,IF(Evalucion!DL11=Datos!$C$16,Datos!$D$16,IF(Evalucion!DL11=Datos!$C$17,Datos!$D$17,IF(Evalucion!DL11=Datos!$C$18,Datos!$D$18,IF(Evalucion!DL11=Datos!$C$19,Datos!$D$19,"=")))))</f>
        <v>3</v>
      </c>
      <c r="DL13">
        <f>IF(Evalucion!DM11=Datos!$C$15,Datos!$D$15,IF(Evalucion!DM11=Datos!$C$16,Datos!$D$16,IF(Evalucion!DM11=Datos!$C$17,Datos!$D$17,IF(Evalucion!DM11=Datos!$C$18,Datos!$D$18,IF(Evalucion!DM11=Datos!$C$19,Datos!$D$19,"=")))))</f>
        <v>5</v>
      </c>
      <c r="DM13">
        <f>IF(Evalucion!DN11=Datos!$C$15,Datos!$D$15,IF(Evalucion!DN11=Datos!$C$16,Datos!$D$16,IF(Evalucion!DN11=Datos!$C$17,Datos!$D$17,IF(Evalucion!DN11=Datos!$C$18,Datos!$D$18,IF(Evalucion!DN11=Datos!$C$19,Datos!$D$19,"=")))))</f>
        <v>3</v>
      </c>
      <c r="DN13">
        <f>IF(Evalucion!DO11=Datos!$C$15,Datos!$D$15,IF(Evalucion!DO11=Datos!$C$16,Datos!$D$16,IF(Evalucion!DO11=Datos!$C$17,Datos!$D$17,IF(Evalucion!DO11=Datos!$C$18,Datos!$D$18,IF(Evalucion!DO11=Datos!$C$19,Datos!$D$19,"=")))))</f>
        <v>5</v>
      </c>
      <c r="DO13">
        <f>IF(Evalucion!DP11=Datos!$C$15,Datos!$D$15,IF(Evalucion!DP11=Datos!$C$16,Datos!$D$16,IF(Evalucion!DP11=Datos!$C$17,Datos!$D$17,IF(Evalucion!DP11=Datos!$C$18,Datos!$D$18,IF(Evalucion!DP11=Datos!$C$19,Datos!$D$19,"=")))))</f>
        <v>1</v>
      </c>
      <c r="DP13">
        <f>IF(Evalucion!DQ11=Datos!$C$15,Datos!$D$15,IF(Evalucion!DQ11=Datos!$C$16,Datos!$D$16,IF(Evalucion!DQ11=Datos!$C$17,Datos!$D$17,IF(Evalucion!DQ11=Datos!$C$18,Datos!$D$18,IF(Evalucion!DQ11=Datos!$C$19,Datos!$D$19,"=")))))</f>
        <v>1</v>
      </c>
      <c r="DQ13">
        <f>IF(Evalucion!DR11=Datos!$C$15,Datos!$D$15,IF(Evalucion!DR11=Datos!$C$16,Datos!$D$16,IF(Evalucion!DR11=Datos!$C$17,Datos!$D$17,IF(Evalucion!DR11=Datos!$C$18,Datos!$D$18,IF(Evalucion!DR11=Datos!$C$19,Datos!$D$19,"=")))))</f>
        <v>1</v>
      </c>
      <c r="DR13">
        <f>IF(Evalucion!DS11=Datos!$C$15,Datos!$D$15,IF(Evalucion!DS11=Datos!$C$16,Datos!$D$16,IF(Evalucion!DS11=Datos!$C$17,Datos!$D$17,IF(Evalucion!DS11=Datos!$C$18,Datos!$D$18,IF(Evalucion!DS11=Datos!$C$19,Datos!$D$19,"=")))))</f>
        <v>1</v>
      </c>
      <c r="DS13">
        <f>IF(Evalucion!DT11=Datos!$C$15,Datos!$D$15,IF(Evalucion!DT11=Datos!$C$16,Datos!$D$16,IF(Evalucion!DT11=Datos!$C$17,Datos!$D$17,IF(Evalucion!DT11=Datos!$C$18,Datos!$D$18,IF(Evalucion!DT11=Datos!$C$19,Datos!$D$19,"=")))))</f>
        <v>1</v>
      </c>
      <c r="DT13">
        <f>IF(Evalucion!DU11=Datos!$C$15,Datos!$D$15,IF(Evalucion!DU11=Datos!$C$16,Datos!$D$16,IF(Evalucion!DU11=Datos!$C$17,Datos!$D$17,IF(Evalucion!DU11=Datos!$C$18,Datos!$D$18,IF(Evalucion!DU11=Datos!$C$19,Datos!$D$19,"=")))))</f>
        <v>1</v>
      </c>
      <c r="DU13">
        <f>IF(Evalucion!DV11=Datos!$C$15,Datos!$D$15,IF(Evalucion!DV11=Datos!$C$16,Datos!$D$16,IF(Evalucion!DV11=Datos!$C$17,Datos!$D$17,IF(Evalucion!DV11=Datos!$C$18,Datos!$D$18,IF(Evalucion!DV11=Datos!$C$19,Datos!$D$19,"=")))))</f>
        <v>1</v>
      </c>
      <c r="DV13">
        <f>IF(Evalucion!DW11=Datos!$C$15,Datos!$D$15,IF(Evalucion!DW11=Datos!$C$16,Datos!$D$16,IF(Evalucion!DW11=Datos!$C$17,Datos!$D$17,IF(Evalucion!DW11=Datos!$C$18,Datos!$D$18,IF(Evalucion!DW11=Datos!$C$19,Datos!$D$19,"=")))))</f>
        <v>1</v>
      </c>
      <c r="DW13">
        <f>IF(Evalucion!DX11=Datos!$C$15,Datos!$D$15,IF(Evalucion!DX11=Datos!$C$16,Datos!$D$16,IF(Evalucion!DX11=Datos!$C$17,Datos!$D$17,IF(Evalucion!DX11=Datos!$C$18,Datos!$D$18,IF(Evalucion!DX11=Datos!$C$19,Datos!$D$19,"=")))))</f>
        <v>1</v>
      </c>
      <c r="DX13">
        <f>IF(Evalucion!DY11=Datos!$C$15,Datos!$D$15,IF(Evalucion!DY11=Datos!$C$16,Datos!$D$16,IF(Evalucion!DY11=Datos!$C$17,Datos!$D$17,IF(Evalucion!DY11=Datos!$C$18,Datos!$D$18,IF(Evalucion!DY11=Datos!$C$19,Datos!$D$19,"=")))))</f>
        <v>1</v>
      </c>
      <c r="DY13">
        <f>IF(Evalucion!DZ11=Datos!$C$15,Datos!$D$15,IF(Evalucion!DZ11=Datos!$C$16,Datos!$D$16,IF(Evalucion!DZ11=Datos!$C$17,Datos!$D$17,IF(Evalucion!DZ11=Datos!$C$18,Datos!$D$18,IF(Evalucion!DZ11=Datos!$C$19,Datos!$D$19,"=")))))</f>
        <v>1</v>
      </c>
      <c r="DZ13">
        <f>IF(Evalucion!EA11=Datos!$C$15,Datos!$D$15,IF(Evalucion!EA11=Datos!$C$16,Datos!$D$16,IF(Evalucion!EA11=Datos!$C$17,Datos!$D$17,IF(Evalucion!EA11=Datos!$C$18,Datos!$D$18,IF(Evalucion!EA11=Datos!$C$19,Datos!$D$19,"=")))))</f>
        <v>5</v>
      </c>
      <c r="EA13">
        <f>IF(Evalucion!EB11=Datos!$C$15,Datos!$D$15,IF(Evalucion!EB11=Datos!$C$16,Datos!$D$16,IF(Evalucion!EB11=Datos!$C$17,Datos!$D$17,IF(Evalucion!EB11=Datos!$C$18,Datos!$D$18,IF(Evalucion!EB11=Datos!$C$19,Datos!$D$19,"=")))))</f>
        <v>1</v>
      </c>
      <c r="EB13">
        <f>IF(Evalucion!EC11=Datos!$C$15,Datos!$D$15,IF(Evalucion!EC11=Datos!$C$16,Datos!$D$16,IF(Evalucion!EC11=Datos!$C$17,Datos!$D$17,IF(Evalucion!EC11=Datos!$C$18,Datos!$D$18,IF(Evalucion!EC11=Datos!$C$19,Datos!$D$19,"=")))))</f>
        <v>1</v>
      </c>
      <c r="EC13">
        <f>IF(Evalucion!ED11=Datos!$C$15,Datos!$D$15,IF(Evalucion!ED11=Datos!$C$16,Datos!$D$16,IF(Evalucion!ED11=Datos!$C$17,Datos!$D$17,IF(Evalucion!ED11=Datos!$C$18,Datos!$D$18,IF(Evalucion!ED11=Datos!$C$19,Datos!$D$19,"=")))))</f>
        <v>1</v>
      </c>
      <c r="ED13">
        <f>IF(Evalucion!EE11=Datos!$C$15,Datos!$D$15,IF(Evalucion!EE11=Datos!$C$16,Datos!$D$16,IF(Evalucion!EE11=Datos!$C$17,Datos!$D$17,IF(Evalucion!EE11=Datos!$C$18,Datos!$D$18,IF(Evalucion!EE11=Datos!$C$19,Datos!$D$19,"=")))))</f>
        <v>5</v>
      </c>
      <c r="EE13">
        <f>IF(Evalucion!EF11=Datos!$C$15,Datos!$D$15,IF(Evalucion!EF11=Datos!$C$16,Datos!$D$16,IF(Evalucion!EF11=Datos!$C$17,Datos!$D$17,IF(Evalucion!EF11=Datos!$C$18,Datos!$D$18,IF(Evalucion!EF11=Datos!$C$19,Datos!$D$19,"=")))))</f>
        <v>1</v>
      </c>
      <c r="EF13">
        <f>IF(Evalucion!EG11=Datos!$C$15,Datos!$D$15,IF(Evalucion!EG11=Datos!$C$16,Datos!$D$16,IF(Evalucion!EG11=Datos!$C$17,Datos!$D$17,IF(Evalucion!EG11=Datos!$C$18,Datos!$D$18,IF(Evalucion!EG11=Datos!$C$19,Datos!$D$19,"=")))))</f>
        <v>5</v>
      </c>
      <c r="EG13">
        <f>IF(Evalucion!EH11=Datos!$C$15,Datos!$D$15,IF(Evalucion!EH11=Datos!$C$16,Datos!$D$16,IF(Evalucion!EH11=Datos!$C$17,Datos!$D$17,IF(Evalucion!EH11=Datos!$C$18,Datos!$D$18,IF(Evalucion!EH11=Datos!$C$19,Datos!$D$19,"=")))))</f>
        <v>1</v>
      </c>
      <c r="EH13">
        <f>IF(Evalucion!EI11=Datos!$C$15,Datos!$D$15,IF(Evalucion!EI11=Datos!$C$16,Datos!$D$16,IF(Evalucion!EI11=Datos!$C$17,Datos!$D$17,IF(Evalucion!EI11=Datos!$C$18,Datos!$D$18,IF(Evalucion!EI11=Datos!$C$19,Datos!$D$19,"=")))))</f>
        <v>5</v>
      </c>
      <c r="EI13">
        <f>IF(Evalucion!EJ11=Datos!$C$15,Datos!$D$15,IF(Evalucion!EJ11=Datos!$C$16,Datos!$D$16,IF(Evalucion!EJ11=Datos!$C$17,Datos!$D$17,IF(Evalucion!EJ11=Datos!$C$18,Datos!$D$18,IF(Evalucion!EJ11=Datos!$C$19,Datos!$D$19,"=")))))</f>
        <v>1</v>
      </c>
      <c r="EJ13">
        <f>IF(Evalucion!EK11=Datos!$C$15,Datos!$D$15,IF(Evalucion!EK11=Datos!$C$16,Datos!$D$16,IF(Evalucion!EK11=Datos!$C$17,Datos!$D$17,IF(Evalucion!EK11=Datos!$C$18,Datos!$D$18,IF(Evalucion!EK11=Datos!$C$19,Datos!$D$19,"=")))))</f>
        <v>5</v>
      </c>
      <c r="EK13">
        <f>IF(Evalucion!EL11=Datos!$C$15,Datos!$D$15,IF(Evalucion!EL11=Datos!$C$16,Datos!$D$16,IF(Evalucion!EL11=Datos!$C$17,Datos!$D$17,IF(Evalucion!EL11=Datos!$C$18,Datos!$D$18,IF(Evalucion!EL11=Datos!$C$19,Datos!$D$19,"=")))))</f>
        <v>1</v>
      </c>
      <c r="EL13">
        <f>IF(Evalucion!EM11=Datos!$C$15,Datos!$D$15,IF(Evalucion!EM11=Datos!$C$16,Datos!$D$16,IF(Evalucion!EM11=Datos!$C$17,Datos!$D$17,IF(Evalucion!EM11=Datos!$C$18,Datos!$D$18,IF(Evalucion!EM11=Datos!$C$19,Datos!$D$19,"=")))))</f>
        <v>5</v>
      </c>
      <c r="EM13">
        <f>IF(Evalucion!EN11=Datos!$C$15,Datos!$D$15,IF(Evalucion!EN11=Datos!$C$16,Datos!$D$16,IF(Evalucion!EN11=Datos!$C$17,Datos!$D$17,IF(Evalucion!EN11=Datos!$C$18,Datos!$D$18,IF(Evalucion!EN11=Datos!$C$19,Datos!$D$19,"=")))))</f>
        <v>1</v>
      </c>
      <c r="EN13">
        <f>IF(Evalucion!EO11=Datos!$C$15,Datos!$D$15,IF(Evalucion!EO11=Datos!$C$16,Datos!$D$16,IF(Evalucion!EO11=Datos!$C$17,Datos!$D$17,IF(Evalucion!EO11=Datos!$C$18,Datos!$D$18,IF(Evalucion!EO11=Datos!$C$19,Datos!$D$19,"=")))))</f>
        <v>1</v>
      </c>
      <c r="EO13">
        <f>IF(Evalucion!EP11=Datos!$C$15,Datos!$D$15,IF(Evalucion!EP11=Datos!$C$16,Datos!$D$16,IF(Evalucion!EP11=Datos!$C$17,Datos!$D$17,IF(Evalucion!EP11=Datos!$C$18,Datos!$D$18,IF(Evalucion!EP11=Datos!$C$19,Datos!$D$19,"=")))))</f>
        <v>3</v>
      </c>
      <c r="EP13">
        <f>IF(Evalucion!EQ11=Datos!$C$15,Datos!$D$15,IF(Evalucion!EQ11=Datos!$C$16,Datos!$D$16,IF(Evalucion!EQ11=Datos!$C$17,Datos!$D$17,IF(Evalucion!EQ11=Datos!$C$18,Datos!$D$18,IF(Evalucion!EQ11=Datos!$C$19,Datos!$D$19,"=")))))</f>
        <v>1</v>
      </c>
      <c r="EQ13">
        <f>IF(Evalucion!ER11=Datos!$C$15,Datos!$D$15,IF(Evalucion!ER11=Datos!$C$16,Datos!$D$16,IF(Evalucion!ER11=Datos!$C$17,Datos!$D$17,IF(Evalucion!ER11=Datos!$C$18,Datos!$D$18,IF(Evalucion!ER11=Datos!$C$19,Datos!$D$19,"=")))))</f>
        <v>1</v>
      </c>
      <c r="ER13">
        <f>IF(Evalucion!ES11=Datos!$C$15,Datos!$D$15,IF(Evalucion!ES11=Datos!$C$16,Datos!$D$16,IF(Evalucion!ES11=Datos!$C$17,Datos!$D$17,IF(Evalucion!ES11=Datos!$C$18,Datos!$D$18,IF(Evalucion!ES11=Datos!$C$19,Datos!$D$19,"=")))))</f>
        <v>5</v>
      </c>
      <c r="ES13">
        <f>IF(Evalucion!ET11=Datos!$C$15,Datos!$D$15,IF(Evalucion!ET11=Datos!$C$16,Datos!$D$16,IF(Evalucion!ET11=Datos!$C$17,Datos!$D$17,IF(Evalucion!ET11=Datos!$C$18,Datos!$D$18,IF(Evalucion!ET11=Datos!$C$19,Datos!$D$19,"=")))))</f>
        <v>1</v>
      </c>
      <c r="ET13">
        <f>IF(Evalucion!EU11=Datos!$C$15,Datos!$D$15,IF(Evalucion!EU11=Datos!$C$16,Datos!$D$16,IF(Evalucion!EU11=Datos!$C$17,Datos!$D$17,IF(Evalucion!EU11=Datos!$C$18,Datos!$D$18,IF(Evalucion!EU11=Datos!$C$19,Datos!$D$19,"=")))))</f>
        <v>5</v>
      </c>
      <c r="EU13">
        <f>IF(Evalucion!EV11=Datos!$C$15,Datos!$D$15,IF(Evalucion!EV11=Datos!$C$16,Datos!$D$16,IF(Evalucion!EV11=Datos!$C$17,Datos!$D$17,IF(Evalucion!EV11=Datos!$C$18,Datos!$D$18,IF(Evalucion!EV11=Datos!$C$19,Datos!$D$19,"=")))))</f>
        <v>1</v>
      </c>
      <c r="EV13">
        <f>IF(Evalucion!EW11=Datos!$C$15,Datos!$D$15,IF(Evalucion!EW11=Datos!$C$16,Datos!$D$16,IF(Evalucion!EW11=Datos!$C$17,Datos!$D$17,IF(Evalucion!EW11=Datos!$C$18,Datos!$D$18,IF(Evalucion!EW11=Datos!$C$19,Datos!$D$19,"=")))))</f>
        <v>5</v>
      </c>
      <c r="EW13">
        <f>IF(Evalucion!EX11=Datos!$C$15,Datos!$D$15,IF(Evalucion!EX11=Datos!$C$16,Datos!$D$16,IF(Evalucion!EX11=Datos!$C$17,Datos!$D$17,IF(Evalucion!EX11=Datos!$C$18,Datos!$D$18,IF(Evalucion!EX11=Datos!$C$19,Datos!$D$19,"=")))))</f>
        <v>5</v>
      </c>
      <c r="EX13">
        <f>IF(Evalucion!EY11=Datos!$C$15,Datos!$D$15,IF(Evalucion!EY11=Datos!$C$16,Datos!$D$16,IF(Evalucion!EY11=Datos!$C$17,Datos!$D$17,IF(Evalucion!EY11=Datos!$C$18,Datos!$D$18,IF(Evalucion!EY11=Datos!$C$19,Datos!$D$19,"=")))))</f>
        <v>5</v>
      </c>
      <c r="EY13">
        <f>IF(Evalucion!EZ11=Datos!$C$15,Datos!$D$15,IF(Evalucion!EZ11=Datos!$C$16,Datos!$D$16,IF(Evalucion!EZ11=Datos!$C$17,Datos!$D$17,IF(Evalucion!EZ11=Datos!$C$18,Datos!$D$18,IF(Evalucion!EZ11=Datos!$C$19,Datos!$D$19,"=")))))</f>
        <v>3</v>
      </c>
      <c r="FA13">
        <f t="shared" si="3"/>
        <v>275</v>
      </c>
      <c r="FB13">
        <f t="shared" si="3"/>
        <v>209</v>
      </c>
      <c r="FC13" s="3">
        <f t="shared" si="4"/>
        <v>0.55733333333333335</v>
      </c>
      <c r="FD13" t="str">
        <f t="shared" si="0"/>
        <v>Conf_CR</v>
      </c>
      <c r="FF13">
        <f t="shared" si="5"/>
        <v>484</v>
      </c>
      <c r="FG13">
        <f t="shared" si="6"/>
        <v>0</v>
      </c>
    </row>
    <row r="14" spans="1:167" x14ac:dyDescent="0.2">
      <c r="A14">
        <f t="shared" si="7"/>
        <v>11</v>
      </c>
      <c r="B14" t="s">
        <v>255</v>
      </c>
      <c r="C14" t="s">
        <v>194</v>
      </c>
      <c r="D14" s="1">
        <v>43551</v>
      </c>
      <c r="E14">
        <f>IF(Evalucion!F12=Datos!$C$15,Datos!$D$15,IF(Evalucion!F12=Datos!$C$16,Datos!$D$16,IF(Evalucion!F12=Datos!$C$17,Datos!$D$17,IF(Evalucion!F12=Datos!$C$18,Datos!$D$18,IF(Evalucion!F12=Datos!$C$19,Datos!$D$19,"=")))))</f>
        <v>5</v>
      </c>
      <c r="F14">
        <f>IF(Evalucion!G12=Datos!$C$15,Datos!$D$15,IF(Evalucion!G12=Datos!$C$16,Datos!$D$16,IF(Evalucion!G12=Datos!$C$17,Datos!$D$17,IF(Evalucion!G12=Datos!$C$18,Datos!$D$18,IF(Evalucion!G12=Datos!$C$19,Datos!$D$19,"=")))))</f>
        <v>5</v>
      </c>
      <c r="G14">
        <f>IF(Evalucion!H12=Datos!$C$15,Datos!$D$15,IF(Evalucion!H12=Datos!$C$16,Datos!$D$16,IF(Evalucion!H12=Datos!$C$17,Datos!$D$17,IF(Evalucion!H12=Datos!$C$18,Datos!$D$18,IF(Evalucion!H12=Datos!$C$19,Datos!$D$19,"=")))))</f>
        <v>5</v>
      </c>
      <c r="H14">
        <f>IF(Evalucion!I12=Datos!$C$15,Datos!$D$15,IF(Evalucion!I12=Datos!$C$16,Datos!$D$16,IF(Evalucion!I12=Datos!$C$17,Datos!$D$17,IF(Evalucion!I12=Datos!$C$18,Datos!$D$18,IF(Evalucion!I12=Datos!$C$19,Datos!$D$19,"=")))))</f>
        <v>1</v>
      </c>
      <c r="I14">
        <f>IF(Evalucion!J12=Datos!$C$15,Datos!$D$15,IF(Evalucion!J12=Datos!$C$16,Datos!$D$16,IF(Evalucion!J12=Datos!$C$17,Datos!$D$17,IF(Evalucion!J12=Datos!$C$18,Datos!$D$18,IF(Evalucion!J12=Datos!$C$19,Datos!$D$19,"=")))))</f>
        <v>1</v>
      </c>
      <c r="J14">
        <f>IF(Evalucion!K12=Datos!$C$15,Datos!$D$15,IF(Evalucion!K12=Datos!$C$16,Datos!$D$16,IF(Evalucion!K12=Datos!$C$17,Datos!$D$17,IF(Evalucion!K12=Datos!$C$18,Datos!$D$18,IF(Evalucion!K12=Datos!$C$19,Datos!$D$19,"=")))))</f>
        <v>1</v>
      </c>
      <c r="K14">
        <f>IF(Evalucion!L12=Datos!$C$15,Datos!$D$15,IF(Evalucion!L12=Datos!$C$16,Datos!$D$16,IF(Evalucion!L12=Datos!$C$17,Datos!$D$17,IF(Evalucion!L12=Datos!$C$18,Datos!$D$18,IF(Evalucion!L12=Datos!$C$19,Datos!$D$19,"=")))))</f>
        <v>5</v>
      </c>
      <c r="L14">
        <f>IF(Evalucion!M12=Datos!$C$15,Datos!$D$15,IF(Evalucion!M12=Datos!$C$16,Datos!$D$16,IF(Evalucion!M12=Datos!$C$17,Datos!$D$17,IF(Evalucion!M12=Datos!$C$18,Datos!$D$18,IF(Evalucion!M12=Datos!$C$19,Datos!$D$19,"=")))))</f>
        <v>5</v>
      </c>
      <c r="M14">
        <f>IF(Evalucion!N12=Datos!$C$15,Datos!$D$15,IF(Evalucion!N12=Datos!$C$16,Datos!$D$16,IF(Evalucion!N12=Datos!$C$17,Datos!$D$17,IF(Evalucion!N12=Datos!$C$18,Datos!$D$18,IF(Evalucion!N12=Datos!$C$19,Datos!$D$19,"=")))))</f>
        <v>5</v>
      </c>
      <c r="N14">
        <f>IF(Evalucion!O12=Datos!$C$15,Datos!$D$15,IF(Evalucion!O12=Datos!$C$16,Datos!$D$16,IF(Evalucion!O12=Datos!$C$17,Datos!$D$17,IF(Evalucion!O12=Datos!$C$18,Datos!$D$18,IF(Evalucion!O12=Datos!$C$19,Datos!$D$19,"=")))))</f>
        <v>5</v>
      </c>
      <c r="O14">
        <f>IF(Evalucion!P12=Datos!$C$15,Datos!$D$15,IF(Evalucion!P12=Datos!$C$16,Datos!$D$16,IF(Evalucion!P12=Datos!$C$17,Datos!$D$17,IF(Evalucion!P12=Datos!$C$18,Datos!$D$18,IF(Evalucion!P12=Datos!$C$19,Datos!$D$19,"=")))))</f>
        <v>5</v>
      </c>
      <c r="P14">
        <f>IF(Evalucion!Q12=Datos!$C$15,Datos!$D$15,IF(Evalucion!Q12=Datos!$C$16,Datos!$D$16,IF(Evalucion!Q12=Datos!$C$17,Datos!$D$17,IF(Evalucion!Q12=Datos!$C$18,Datos!$D$18,IF(Evalucion!Q12=Datos!$C$19,Datos!$D$19,"=")))))</f>
        <v>5</v>
      </c>
      <c r="Q14">
        <f>IF(Evalucion!R12=Datos!$C$15,Datos!$D$15,IF(Evalucion!R12=Datos!$C$16,Datos!$D$16,IF(Evalucion!R12=Datos!$C$17,Datos!$D$17,IF(Evalucion!R12=Datos!$C$18,Datos!$D$18,IF(Evalucion!R12=Datos!$C$19,Datos!$D$19,"=")))))</f>
        <v>5</v>
      </c>
      <c r="R14">
        <f>IF(Evalucion!S12=Datos!$C$15,Datos!$D$15,IF(Evalucion!S12=Datos!$C$16,Datos!$D$16,IF(Evalucion!S12=Datos!$C$17,Datos!$D$17,IF(Evalucion!S12=Datos!$C$18,Datos!$D$18,IF(Evalucion!S12=Datos!$C$19,Datos!$D$19,"=")))))</f>
        <v>5</v>
      </c>
      <c r="S14">
        <f>IF(Evalucion!T12=Datos!$C$15,Datos!$D$15,IF(Evalucion!T12=Datos!$C$16,Datos!$D$16,IF(Evalucion!T12=Datos!$C$17,Datos!$D$17,IF(Evalucion!T12=Datos!$C$18,Datos!$D$18,IF(Evalucion!T12=Datos!$C$19,Datos!$D$19,"=")))))</f>
        <v>5</v>
      </c>
      <c r="T14">
        <f>IF(Evalucion!U12=Datos!$C$15,Datos!$D$15,IF(Evalucion!U12=Datos!$C$16,Datos!$D$16,IF(Evalucion!U12=Datos!$C$17,Datos!$D$17,IF(Evalucion!U12=Datos!$C$18,Datos!$D$18,IF(Evalucion!U12=Datos!$C$19,Datos!$D$19,"=")))))</f>
        <v>5</v>
      </c>
      <c r="U14">
        <f>IF(Evalucion!V12=Datos!$C$15,Datos!$D$15,IF(Evalucion!V12=Datos!$C$16,Datos!$D$16,IF(Evalucion!V12=Datos!$C$17,Datos!$D$17,IF(Evalucion!V12=Datos!$C$18,Datos!$D$18,IF(Evalucion!V12=Datos!$C$19,Datos!$D$19,"=")))))</f>
        <v>5</v>
      </c>
      <c r="V14">
        <f>IF(Evalucion!W12=Datos!$C$15,Datos!$D$15,IF(Evalucion!W12=Datos!$C$16,Datos!$D$16,IF(Evalucion!W12=Datos!$C$17,Datos!$D$17,IF(Evalucion!W12=Datos!$C$18,Datos!$D$18,IF(Evalucion!W12=Datos!$C$19,Datos!$D$19,"=")))))</f>
        <v>5</v>
      </c>
      <c r="W14">
        <f>IF(Evalucion!X12=Datos!$C$15,Datos!$D$15,IF(Evalucion!X12=Datos!$C$16,Datos!$D$16,IF(Evalucion!X12=Datos!$C$17,Datos!$D$17,IF(Evalucion!X12=Datos!$C$18,Datos!$D$18,IF(Evalucion!X12=Datos!$C$19,Datos!$D$19,"=")))))</f>
        <v>5</v>
      </c>
      <c r="X14">
        <f>IF(Evalucion!Y12=Datos!$C$15,Datos!$D$15,IF(Evalucion!Y12=Datos!$C$16,Datos!$D$16,IF(Evalucion!Y12=Datos!$C$17,Datos!$D$17,IF(Evalucion!Y12=Datos!$C$18,Datos!$D$18,IF(Evalucion!Y12=Datos!$C$19,Datos!$D$19,"=")))))</f>
        <v>5</v>
      </c>
      <c r="Y14">
        <f>IF(Evalucion!Z12=Datos!$C$15,Datos!$D$15,IF(Evalucion!Z12=Datos!$C$16,Datos!$D$16,IF(Evalucion!Z12=Datos!$C$17,Datos!$D$17,IF(Evalucion!Z12=Datos!$C$18,Datos!$D$18,IF(Evalucion!Z12=Datos!$C$19,Datos!$D$19,"=")))))</f>
        <v>5</v>
      </c>
      <c r="Z14">
        <f>IF(Evalucion!AA12=Datos!$C$15,Datos!$D$15,IF(Evalucion!AA12=Datos!$C$16,Datos!$D$16,IF(Evalucion!AA12=Datos!$C$17,Datos!$D$17,IF(Evalucion!AA12=Datos!$C$18,Datos!$D$18,IF(Evalucion!AA12=Datos!$C$19,Datos!$D$19,"=")))))</f>
        <v>5</v>
      </c>
      <c r="AA14">
        <f>IF(Evalucion!AB12=Datos!$C$15,Datos!$D$15,IF(Evalucion!AB12=Datos!$C$16,Datos!$D$16,IF(Evalucion!AB12=Datos!$C$17,Datos!$D$17,IF(Evalucion!AB12=Datos!$C$18,Datos!$D$18,IF(Evalucion!AB12=Datos!$C$19,Datos!$D$19,"=")))))</f>
        <v>5</v>
      </c>
      <c r="AB14">
        <f>IF(Evalucion!AC12=Datos!$C$15,Datos!$D$15,IF(Evalucion!AC12=Datos!$C$16,Datos!$D$16,IF(Evalucion!AC12=Datos!$C$17,Datos!$D$17,IF(Evalucion!AC12=Datos!$C$18,Datos!$D$18,IF(Evalucion!AC12=Datos!$C$19,Datos!$D$19,"=")))))</f>
        <v>5</v>
      </c>
      <c r="AC14">
        <f>IF(Evalucion!AD12=Datos!$C$15,Datos!$D$15,IF(Evalucion!AD12=Datos!$C$16,Datos!$D$16,IF(Evalucion!AD12=Datos!$C$17,Datos!$D$17,IF(Evalucion!AD12=Datos!$C$18,Datos!$D$18,IF(Evalucion!AD12=Datos!$C$19,Datos!$D$19,"=")))))</f>
        <v>5</v>
      </c>
      <c r="AD14">
        <f>IF(Evalucion!AE12=Datos!$C$15,Datos!$D$15,IF(Evalucion!AE12=Datos!$C$16,Datos!$D$16,IF(Evalucion!AE12=Datos!$C$17,Datos!$D$17,IF(Evalucion!AE12=Datos!$C$18,Datos!$D$18,IF(Evalucion!AE12=Datos!$C$19,Datos!$D$19,"=")))))</f>
        <v>5</v>
      </c>
      <c r="AE14">
        <f>IF(Evalucion!AF12=Datos!$C$15,Datos!$D$15,IF(Evalucion!AF12=Datos!$C$16,Datos!$D$16,IF(Evalucion!AF12=Datos!$C$17,Datos!$D$17,IF(Evalucion!AF12=Datos!$C$18,Datos!$D$18,IF(Evalucion!AF12=Datos!$C$19,Datos!$D$19,"=")))))</f>
        <v>5</v>
      </c>
      <c r="AF14">
        <f>IF(Evalucion!AG12=Datos!$C$15,Datos!$D$15,IF(Evalucion!AG12=Datos!$C$16,Datos!$D$16,IF(Evalucion!AG12=Datos!$C$17,Datos!$D$17,IF(Evalucion!AG12=Datos!$C$18,Datos!$D$18,IF(Evalucion!AG12=Datos!$C$19,Datos!$D$19,"=")))))</f>
        <v>5</v>
      </c>
      <c r="AO14">
        <f>IF(Evalucion!AP12=Datos!$C$15,Datos!$D$15,IF(Evalucion!AP12=Datos!$C$16,Datos!$D$16,IF(Evalucion!AP12=Datos!$C$17,Datos!$D$17,IF(Evalucion!AP12=Datos!$C$18,Datos!$D$18,IF(Evalucion!AP12=Datos!$C$19,Datos!$D$19,"=")))))</f>
        <v>5</v>
      </c>
      <c r="AP14">
        <f>IF(Evalucion!AQ12=Datos!$C$15,Datos!$D$15,IF(Evalucion!AQ12=Datos!$C$16,Datos!$D$16,IF(Evalucion!AQ12=Datos!$C$17,Datos!$D$17,IF(Evalucion!AQ12=Datos!$C$18,Datos!$D$18,IF(Evalucion!AQ12=Datos!$C$19,Datos!$D$19,"=")))))</f>
        <v>3</v>
      </c>
      <c r="AQ14">
        <f>IF(Evalucion!AR12=Datos!$C$15,Datos!$D$15,IF(Evalucion!AR12=Datos!$C$16,Datos!$D$16,IF(Evalucion!AR12=Datos!$C$17,Datos!$D$17,IF(Evalucion!AR12=Datos!$C$18,Datos!$D$18,IF(Evalucion!AR12=Datos!$C$19,Datos!$D$19,"=")))))</f>
        <v>1</v>
      </c>
      <c r="AR14">
        <f>IF(Evalucion!AS12=Datos!$C$15,Datos!$D$15,IF(Evalucion!AS12=Datos!$C$16,Datos!$D$16,IF(Evalucion!AS12=Datos!$C$17,Datos!$D$17,IF(Evalucion!AS12=Datos!$C$18,Datos!$D$18,IF(Evalucion!AS12=Datos!$C$19,Datos!$D$19,"=")))))</f>
        <v>1</v>
      </c>
      <c r="AS14">
        <f>IF(Evalucion!AT12=Datos!$C$15,Datos!$D$15,IF(Evalucion!AT12=Datos!$C$16,Datos!$D$16,IF(Evalucion!AT12=Datos!$C$17,Datos!$D$17,IF(Evalucion!AT12=Datos!$C$18,Datos!$D$18,IF(Evalucion!AT12=Datos!$C$19,Datos!$D$19,"=")))))</f>
        <v>5</v>
      </c>
      <c r="AT14">
        <f>IF(Evalucion!AU12=Datos!$C$15,Datos!$D$15,IF(Evalucion!AU12=Datos!$C$16,Datos!$D$16,IF(Evalucion!AU12=Datos!$C$17,Datos!$D$17,IF(Evalucion!AU12=Datos!$C$18,Datos!$D$18,IF(Evalucion!AU12=Datos!$C$19,Datos!$D$19,"=")))))</f>
        <v>3</v>
      </c>
      <c r="AV14">
        <f>IF(Evalucion!AW12=Datos!$C$15,Datos!$D$15,IF(Evalucion!AW12=Datos!$C$16,Datos!$D$16,IF(Evalucion!AW12=Datos!$C$17,Datos!$D$17,IF(Evalucion!AW12=Datos!$C$18,Datos!$D$18,IF(Evalucion!AW12=Datos!$C$19,Datos!$D$19,"=")))))</f>
        <v>5</v>
      </c>
      <c r="AW14">
        <f>IF(Evalucion!AX12=Datos!$C$15,Datos!$D$15,IF(Evalucion!AX12=Datos!$C$16,Datos!$D$16,IF(Evalucion!AX12=Datos!$C$17,Datos!$D$17,IF(Evalucion!AX12=Datos!$C$18,Datos!$D$18,IF(Evalucion!AX12=Datos!$C$19,Datos!$D$19,"=")))))</f>
        <v>1</v>
      </c>
      <c r="AX14">
        <f>IF(Evalucion!AY12=Datos!$C$15,Datos!$D$15,IF(Evalucion!AY12=Datos!$C$16,Datos!$D$16,IF(Evalucion!AY12=Datos!$C$17,Datos!$D$17,IF(Evalucion!AY12=Datos!$C$18,Datos!$D$18,IF(Evalucion!AY12=Datos!$C$19,Datos!$D$19,"=")))))</f>
        <v>5</v>
      </c>
      <c r="AY14">
        <f>IF(Evalucion!AZ12=Datos!$C$15,Datos!$D$15,IF(Evalucion!AZ12=Datos!$C$16,Datos!$D$16,IF(Evalucion!AZ12=Datos!$C$17,Datos!$D$17,IF(Evalucion!AZ12=Datos!$C$18,Datos!$D$18,IF(Evalucion!AZ12=Datos!$C$19,Datos!$D$19,"=")))))</f>
        <v>5</v>
      </c>
      <c r="AZ14">
        <f>IF(Evalucion!BA12=Datos!$C$15,Datos!$D$15,IF(Evalucion!BA12=Datos!$C$16,Datos!$D$16,IF(Evalucion!BA12=Datos!$C$17,Datos!$D$17,IF(Evalucion!BA12=Datos!$C$18,Datos!$D$18,IF(Evalucion!BA12=Datos!$C$19,Datos!$D$19,"=")))))</f>
        <v>5</v>
      </c>
      <c r="BA14">
        <f>IF(Evalucion!BB12=Datos!$C$15,Datos!$D$15,IF(Evalucion!BB12=Datos!$C$16,Datos!$D$16,IF(Evalucion!BB12=Datos!$C$17,Datos!$D$17,IF(Evalucion!BB12=Datos!$C$18,Datos!$D$18,IF(Evalucion!BB12=Datos!$C$19,Datos!$D$19,"=")))))</f>
        <v>5</v>
      </c>
      <c r="BB14">
        <f>IF(Evalucion!BC12=Datos!$C$15,Datos!$D$15,IF(Evalucion!BC12=Datos!$C$16,Datos!$D$16,IF(Evalucion!BC12=Datos!$C$17,Datos!$D$17,IF(Evalucion!BC12=Datos!$C$18,Datos!$D$18,IF(Evalucion!BC12=Datos!$C$19,Datos!$D$19,"=")))))</f>
        <v>5</v>
      </c>
      <c r="BC14">
        <f>IF(Evalucion!BD12=Datos!$C$15,Datos!$D$15,IF(Evalucion!BD12=Datos!$C$16,Datos!$D$16,IF(Evalucion!BD12=Datos!$C$17,Datos!$D$17,IF(Evalucion!BD12=Datos!$C$18,Datos!$D$18,IF(Evalucion!BD12=Datos!$C$19,Datos!$D$19,"=")))))</f>
        <v>1</v>
      </c>
      <c r="BD14">
        <f>IF(Evalucion!BE12=Datos!$C$15,Datos!$D$15,IF(Evalucion!BE12=Datos!$C$16,Datos!$D$16,IF(Evalucion!BE12=Datos!$C$17,Datos!$D$17,IF(Evalucion!BE12=Datos!$C$18,Datos!$D$18,IF(Evalucion!BE12=Datos!$C$19,Datos!$D$19,"=")))))</f>
        <v>5</v>
      </c>
      <c r="BE14">
        <f>IF(Evalucion!BF12=Datos!$C$15,Datos!$D$15,IF(Evalucion!BF12=Datos!$C$16,Datos!$D$16,IF(Evalucion!BF12=Datos!$C$17,Datos!$D$17,IF(Evalucion!BF12=Datos!$C$18,Datos!$D$18,IF(Evalucion!BF12=Datos!$C$19,Datos!$D$19,"=")))))</f>
        <v>3</v>
      </c>
      <c r="BF14">
        <f>IF(Evalucion!BG12=Datos!$C$15,Datos!$D$15,IF(Evalucion!BG12=Datos!$C$16,Datos!$D$16,IF(Evalucion!BG12=Datos!$C$17,Datos!$D$17,IF(Evalucion!BG12=Datos!$C$18,Datos!$D$18,IF(Evalucion!BG12=Datos!$C$19,Datos!$D$19,"=")))))</f>
        <v>5</v>
      </c>
      <c r="BG14">
        <f>IF(Evalucion!BH12=Datos!$C$15,Datos!$D$15,IF(Evalucion!BH12=Datos!$C$16,Datos!$D$16,IF(Evalucion!BH12=Datos!$C$17,Datos!$D$17,IF(Evalucion!BH12=Datos!$C$18,Datos!$D$18,IF(Evalucion!BH12=Datos!$C$19,Datos!$D$19,"=")))))</f>
        <v>5</v>
      </c>
      <c r="BH14">
        <f>IF(Evalucion!BI12=Datos!$C$15,Datos!$D$15,IF(Evalucion!BI12=Datos!$C$16,Datos!$D$16,IF(Evalucion!BI12=Datos!$C$17,Datos!$D$17,IF(Evalucion!BI12=Datos!$C$18,Datos!$D$18,IF(Evalucion!BI12=Datos!$C$19,Datos!$D$19,"=")))))</f>
        <v>5</v>
      </c>
      <c r="BI14">
        <f>IF(Evalucion!BJ12=Datos!$C$15,Datos!$D$15,IF(Evalucion!BJ12=Datos!$C$16,Datos!$D$16,IF(Evalucion!BJ12=Datos!$C$17,Datos!$D$17,IF(Evalucion!BJ12=Datos!$C$18,Datos!$D$18,IF(Evalucion!BJ12=Datos!$C$19,Datos!$D$19,"=")))))</f>
        <v>5</v>
      </c>
      <c r="BJ14">
        <f>IF(Evalucion!BK12=Datos!$C$15,Datos!$D$15,IF(Evalucion!BK12=Datos!$C$16,Datos!$D$16,IF(Evalucion!BK12=Datos!$C$17,Datos!$D$17,IF(Evalucion!BK12=Datos!$C$18,Datos!$D$18,IF(Evalucion!BK12=Datos!$C$19,Datos!$D$19,"=")))))</f>
        <v>5</v>
      </c>
      <c r="BK14">
        <f>IF(Evalucion!BL12=Datos!$C$15,Datos!$D$15,IF(Evalucion!BL12=Datos!$C$16,Datos!$D$16,IF(Evalucion!BL12=Datos!$C$17,Datos!$D$17,IF(Evalucion!BL12=Datos!$C$18,Datos!$D$18,IF(Evalucion!BL12=Datos!$C$19,Datos!$D$19,"=")))))</f>
        <v>5</v>
      </c>
      <c r="BL14">
        <f>IF(Evalucion!BM12=Datos!$C$15,Datos!$D$15,IF(Evalucion!BM12=Datos!$C$16,Datos!$D$16,IF(Evalucion!BM12=Datos!$C$17,Datos!$D$17,IF(Evalucion!BM12=Datos!$C$18,Datos!$D$18,IF(Evalucion!BM12=Datos!$C$19,Datos!$D$19,"=")))))</f>
        <v>5</v>
      </c>
      <c r="BM14">
        <f>IF(Evalucion!BN12=Datos!$C$15,Datos!$D$15,IF(Evalucion!BN12=Datos!$C$16,Datos!$D$16,IF(Evalucion!BN12=Datos!$C$17,Datos!$D$17,IF(Evalucion!BN12=Datos!$C$18,Datos!$D$18,IF(Evalucion!BN12=Datos!$C$19,Datos!$D$19,"=")))))</f>
        <v>5</v>
      </c>
      <c r="BN14">
        <f>IF(Evalucion!BO12=Datos!$C$15,Datos!$D$15,IF(Evalucion!BO12=Datos!$C$16,Datos!$D$16,IF(Evalucion!BO12=Datos!$C$17,Datos!$D$17,IF(Evalucion!BO12=Datos!$C$18,Datos!$D$18,IF(Evalucion!BO12=Datos!$C$19,Datos!$D$19,"=")))))</f>
        <v>5</v>
      </c>
      <c r="BO14">
        <f>IF(Evalucion!BP12=Datos!$C$15,Datos!$D$15,IF(Evalucion!BP12=Datos!$C$16,Datos!$D$16,IF(Evalucion!BP12=Datos!$C$17,Datos!$D$17,IF(Evalucion!BP12=Datos!$C$18,Datos!$D$18,IF(Evalucion!BP12=Datos!$C$19,Datos!$D$19,"=")))))</f>
        <v>5</v>
      </c>
      <c r="BP14">
        <f>IF(Evalucion!BQ12=Datos!$C$15,Datos!$D$15,IF(Evalucion!BQ12=Datos!$C$16,Datos!$D$16,IF(Evalucion!BQ12=Datos!$C$17,Datos!$D$17,IF(Evalucion!BQ12=Datos!$C$18,Datos!$D$18,IF(Evalucion!BQ12=Datos!$C$19,Datos!$D$19,"=")))))</f>
        <v>5</v>
      </c>
      <c r="BQ14">
        <f>IF(Evalucion!BR12=Datos!$C$15,Datos!$D$15,IF(Evalucion!BR12=Datos!$C$16,Datos!$D$16,IF(Evalucion!BR12=Datos!$C$17,Datos!$D$17,IF(Evalucion!BR12=Datos!$C$18,Datos!$D$18,IF(Evalucion!BR12=Datos!$C$19,Datos!$D$19,"=")))))</f>
        <v>3</v>
      </c>
      <c r="BR14">
        <f>IF(Evalucion!BS12=Datos!$C$15,Datos!$D$15,IF(Evalucion!BS12=Datos!$C$16,Datos!$D$16,IF(Evalucion!BS12=Datos!$C$17,Datos!$D$17,IF(Evalucion!BS12=Datos!$C$18,Datos!$D$18,IF(Evalucion!BS12=Datos!$C$19,Datos!$D$19,"=")))))</f>
        <v>5</v>
      </c>
      <c r="BS14">
        <f>IF(Evalucion!BT12=Datos!$C$15,Datos!$D$15,IF(Evalucion!BT12=Datos!$C$16,Datos!$D$16,IF(Evalucion!BT12=Datos!$C$17,Datos!$D$17,IF(Evalucion!BT12=Datos!$C$18,Datos!$D$18,IF(Evalucion!BT12=Datos!$C$19,Datos!$D$19,"=")))))</f>
        <v>3</v>
      </c>
      <c r="BT14">
        <f>IF(Evalucion!BU12=Datos!$C$15,Datos!$D$15,IF(Evalucion!BU12=Datos!$C$16,Datos!$D$16,IF(Evalucion!BU12=Datos!$C$17,Datos!$D$17,IF(Evalucion!BU12=Datos!$C$18,Datos!$D$18,IF(Evalucion!BU12=Datos!$C$19,Datos!$D$19,"=")))))</f>
        <v>5</v>
      </c>
      <c r="BU14">
        <f>IF(Evalucion!BV12=Datos!$C$15,Datos!$D$15,IF(Evalucion!BV12=Datos!$C$16,Datos!$D$16,IF(Evalucion!BV12=Datos!$C$17,Datos!$D$17,IF(Evalucion!BV12=Datos!$C$18,Datos!$D$18,IF(Evalucion!BV12=Datos!$C$19,Datos!$D$19,"=")))))</f>
        <v>3</v>
      </c>
      <c r="BV14">
        <f>IF(Evalucion!BW12=Datos!$C$15,Datos!$D$15,IF(Evalucion!BW12=Datos!$C$16,Datos!$D$16,IF(Evalucion!BW12=Datos!$C$17,Datos!$D$17,IF(Evalucion!BW12=Datos!$C$18,Datos!$D$18,IF(Evalucion!BW12=Datos!$C$19,Datos!$D$19,"=")))))</f>
        <v>5</v>
      </c>
      <c r="BW14">
        <f>IF(Evalucion!BX12=Datos!$C$15,Datos!$D$15,IF(Evalucion!BX12=Datos!$C$16,Datos!$D$16,IF(Evalucion!BX12=Datos!$C$17,Datos!$D$17,IF(Evalucion!BX12=Datos!$C$18,Datos!$D$18,IF(Evalucion!BX12=Datos!$C$19,Datos!$D$19,"=")))))</f>
        <v>5</v>
      </c>
      <c r="BX14">
        <f>IF(Evalucion!BY12=Datos!$C$15,Datos!$D$15,IF(Evalucion!BY12=Datos!$C$16,Datos!$D$16,IF(Evalucion!BY12=Datos!$C$17,Datos!$D$17,IF(Evalucion!BY12=Datos!$C$18,Datos!$D$18,IF(Evalucion!BY12=Datos!$C$19,Datos!$D$19,"=")))))</f>
        <v>5</v>
      </c>
      <c r="BY14">
        <f>IF(Evalucion!BZ12=Datos!$C$15,Datos!$D$15,IF(Evalucion!BZ12=Datos!$C$16,Datos!$D$16,IF(Evalucion!BZ12=Datos!$C$17,Datos!$D$17,IF(Evalucion!BZ12=Datos!$C$18,Datos!$D$18,IF(Evalucion!BZ12=Datos!$C$19,Datos!$D$19,"=")))))</f>
        <v>5</v>
      </c>
      <c r="BZ14">
        <f>IF(Evalucion!CA12=Datos!$C$15,Datos!$D$15,IF(Evalucion!CA12=Datos!$C$16,Datos!$D$16,IF(Evalucion!CA12=Datos!$C$17,Datos!$D$17,IF(Evalucion!CA12=Datos!$C$18,Datos!$D$18,IF(Evalucion!CA12=Datos!$C$19,Datos!$D$19,"=")))))</f>
        <v>5</v>
      </c>
      <c r="CA14">
        <f>IF(Evalucion!CB12=Datos!$C$15,Datos!$D$15,IF(Evalucion!CB12=Datos!$C$16,Datos!$D$16,IF(Evalucion!CB12=Datos!$C$17,Datos!$D$17,IF(Evalucion!CB12=Datos!$C$18,Datos!$D$18,IF(Evalucion!CB12=Datos!$C$19,Datos!$D$19,"=")))))</f>
        <v>5</v>
      </c>
      <c r="CB14">
        <f>IF(Evalucion!CC12=Datos!$C$15,Datos!$D$15,IF(Evalucion!CC12=Datos!$C$16,Datos!$D$16,IF(Evalucion!CC12=Datos!$C$17,Datos!$D$17,IF(Evalucion!CC12=Datos!$C$18,Datos!$D$18,IF(Evalucion!CC12=Datos!$C$19,Datos!$D$19,"=")))))</f>
        <v>5</v>
      </c>
      <c r="CC14">
        <f>IF(Evalucion!CD12=Datos!$C$15,Datos!$D$15,IF(Evalucion!CD12=Datos!$C$16,Datos!$D$16,IF(Evalucion!CD12=Datos!$C$17,Datos!$D$17,IF(Evalucion!CD12=Datos!$C$18,Datos!$D$18,IF(Evalucion!CD12=Datos!$C$19,Datos!$D$19,"=")))))</f>
        <v>5</v>
      </c>
      <c r="CD14">
        <f>IF(Evalucion!CE12=Datos!$C$15,Datos!$D$15,IF(Evalucion!CE12=Datos!$C$16,Datos!$D$16,IF(Evalucion!CE12=Datos!$C$17,Datos!$D$17,IF(Evalucion!CE12=Datos!$C$18,Datos!$D$18,IF(Evalucion!CE12=Datos!$C$19,Datos!$D$19,"=")))))</f>
        <v>5</v>
      </c>
      <c r="CE14">
        <f>IF(Evalucion!CF12=Datos!$C$15,Datos!$D$15,IF(Evalucion!CF12=Datos!$C$16,Datos!$D$16,IF(Evalucion!CF12=Datos!$C$17,Datos!$D$17,IF(Evalucion!CF12=Datos!$C$18,Datos!$D$18,IF(Evalucion!CF12=Datos!$C$19,Datos!$D$19,"=")))))</f>
        <v>3</v>
      </c>
      <c r="CF14">
        <f>IF(Evalucion!CG12=Datos!$C$15,Datos!$D$15,IF(Evalucion!CG12=Datos!$C$16,Datos!$D$16,IF(Evalucion!CG12=Datos!$C$17,Datos!$D$17,IF(Evalucion!CG12=Datos!$C$18,Datos!$D$18,IF(Evalucion!CG12=Datos!$C$19,Datos!$D$19,"=")))))</f>
        <v>5</v>
      </c>
      <c r="CG14">
        <f>IF(Evalucion!CH12=Datos!$C$15,Datos!$D$15,IF(Evalucion!CH12=Datos!$C$16,Datos!$D$16,IF(Evalucion!CH12=Datos!$C$17,Datos!$D$17,IF(Evalucion!CH12=Datos!$C$18,Datos!$D$18,IF(Evalucion!CH12=Datos!$C$19,Datos!$D$19,"=")))))</f>
        <v>3</v>
      </c>
      <c r="CH14">
        <f>IF(Evalucion!CI12=Datos!$C$15,Datos!$D$15,IF(Evalucion!CI12=Datos!$C$16,Datos!$D$16,IF(Evalucion!CI12=Datos!$C$17,Datos!$D$17,IF(Evalucion!CI12=Datos!$C$18,Datos!$D$18,IF(Evalucion!CI12=Datos!$C$19,Datos!$D$19,"=")))))</f>
        <v>5</v>
      </c>
      <c r="CI14">
        <f>IF(Evalucion!CJ12=Datos!$C$15,Datos!$D$15,IF(Evalucion!CJ12=Datos!$C$16,Datos!$D$16,IF(Evalucion!CJ12=Datos!$C$17,Datos!$D$17,IF(Evalucion!CJ12=Datos!$C$18,Datos!$D$18,IF(Evalucion!CJ12=Datos!$C$19,Datos!$D$19,"=")))))</f>
        <v>3</v>
      </c>
      <c r="CJ14">
        <f>IF(Evalucion!CK12=Datos!$C$15,Datos!$D$15,IF(Evalucion!CK12=Datos!$C$16,Datos!$D$16,IF(Evalucion!CK12=Datos!$C$17,Datos!$D$17,IF(Evalucion!CK12=Datos!$C$18,Datos!$D$18,IF(Evalucion!CK12=Datos!$C$19,Datos!$D$19,"=")))))</f>
        <v>5</v>
      </c>
      <c r="CK14">
        <f>IF(Evalucion!CL12=Datos!$C$15,Datos!$D$15,IF(Evalucion!CL12=Datos!$C$16,Datos!$D$16,IF(Evalucion!CL12=Datos!$C$17,Datos!$D$17,IF(Evalucion!CL12=Datos!$C$18,Datos!$D$18,IF(Evalucion!CL12=Datos!$C$19,Datos!$D$19,"=")))))</f>
        <v>5</v>
      </c>
      <c r="CL14">
        <f>IF(Evalucion!CM12=Datos!$C$15,Datos!$D$15,IF(Evalucion!CM12=Datos!$C$16,Datos!$D$16,IF(Evalucion!CM12=Datos!$C$17,Datos!$D$17,IF(Evalucion!CM12=Datos!$C$18,Datos!$D$18,IF(Evalucion!CM12=Datos!$C$19,Datos!$D$19,"=")))))</f>
        <v>5</v>
      </c>
      <c r="CM14">
        <f>IF(Evalucion!CN12=Datos!$C$15,Datos!$D$15,IF(Evalucion!CN12=Datos!$C$16,Datos!$D$16,IF(Evalucion!CN12=Datos!$C$17,Datos!$D$17,IF(Evalucion!CN12=Datos!$C$18,Datos!$D$18,IF(Evalucion!CN12=Datos!$C$19,Datos!$D$19,"=")))))</f>
        <v>5</v>
      </c>
      <c r="CN14">
        <f>IF(Evalucion!CO12=Datos!$C$15,Datos!$D$15,IF(Evalucion!CO12=Datos!$C$16,Datos!$D$16,IF(Evalucion!CO12=Datos!$C$17,Datos!$D$17,IF(Evalucion!CO12=Datos!$C$18,Datos!$D$18,IF(Evalucion!CO12=Datos!$C$19,Datos!$D$19,"=")))))</f>
        <v>5</v>
      </c>
      <c r="CO14">
        <f>IF(Evalucion!CP12=Datos!$C$15,Datos!$D$15,IF(Evalucion!CP12=Datos!$C$16,Datos!$D$16,IF(Evalucion!CP12=Datos!$C$17,Datos!$D$17,IF(Evalucion!CP12=Datos!$C$18,Datos!$D$18,IF(Evalucion!CP12=Datos!$C$19,Datos!$D$19,"=")))))</f>
        <v>5</v>
      </c>
      <c r="CP14">
        <f>IF(Evalucion!CQ12=Datos!$C$15,Datos!$D$15,IF(Evalucion!CQ12=Datos!$C$16,Datos!$D$16,IF(Evalucion!CQ12=Datos!$C$17,Datos!$D$17,IF(Evalucion!CQ12=Datos!$C$18,Datos!$D$18,IF(Evalucion!CQ12=Datos!$C$19,Datos!$D$19,"=")))))</f>
        <v>5</v>
      </c>
      <c r="CQ14">
        <f>IF(Evalucion!CR12=Datos!$C$15,Datos!$D$15,IF(Evalucion!CR12=Datos!$C$16,Datos!$D$16,IF(Evalucion!CR12=Datos!$C$17,Datos!$D$17,IF(Evalucion!CR12=Datos!$C$18,Datos!$D$18,IF(Evalucion!CR12=Datos!$C$19,Datos!$D$19,"=")))))</f>
        <v>3</v>
      </c>
      <c r="CR14">
        <f>IF(Evalucion!CS12=Datos!$C$15,Datos!$D$15,IF(Evalucion!CS12=Datos!$C$16,Datos!$D$16,IF(Evalucion!CS12=Datos!$C$17,Datos!$D$17,IF(Evalucion!CS12=Datos!$C$18,Datos!$D$18,IF(Evalucion!CS12=Datos!$C$19,Datos!$D$19,"=")))))</f>
        <v>5</v>
      </c>
      <c r="CS14">
        <f>IF(Evalucion!CT12=Datos!$C$15,Datos!$D$15,IF(Evalucion!CT12=Datos!$C$16,Datos!$D$16,IF(Evalucion!CT12=Datos!$C$17,Datos!$D$17,IF(Evalucion!CT12=Datos!$C$18,Datos!$D$18,IF(Evalucion!CT12=Datos!$C$19,Datos!$D$19,"=")))))</f>
        <v>5</v>
      </c>
      <c r="CT14">
        <f>IF(Evalucion!CU12=Datos!$C$15,Datos!$D$15,IF(Evalucion!CU12=Datos!$C$16,Datos!$D$16,IF(Evalucion!CU12=Datos!$C$17,Datos!$D$17,IF(Evalucion!CU12=Datos!$C$18,Datos!$D$18,IF(Evalucion!CU12=Datos!$C$19,Datos!$D$19,"=")))))</f>
        <v>5</v>
      </c>
      <c r="CU14">
        <f>IF(Evalucion!CV12=Datos!$C$15,Datos!$D$15,IF(Evalucion!CV12=Datos!$C$16,Datos!$D$16,IF(Evalucion!CV12=Datos!$C$17,Datos!$D$17,IF(Evalucion!CV12=Datos!$C$18,Datos!$D$18,IF(Evalucion!CV12=Datos!$C$19,Datos!$D$19,"=")))))</f>
        <v>5</v>
      </c>
      <c r="CV14">
        <f>IF(Evalucion!CW12=Datos!$C$15,Datos!$D$15,IF(Evalucion!CW12=Datos!$C$16,Datos!$D$16,IF(Evalucion!CW12=Datos!$C$17,Datos!$D$17,IF(Evalucion!CW12=Datos!$C$18,Datos!$D$18,IF(Evalucion!CW12=Datos!$C$19,Datos!$D$19,"=")))))</f>
        <v>5</v>
      </c>
      <c r="CW14">
        <f>IF(Evalucion!CX12=Datos!$C$15,Datos!$D$15,IF(Evalucion!CX12=Datos!$C$16,Datos!$D$16,IF(Evalucion!CX12=Datos!$C$17,Datos!$D$17,IF(Evalucion!CX12=Datos!$C$18,Datos!$D$18,IF(Evalucion!CX12=Datos!$C$19,Datos!$D$19,"=")))))</f>
        <v>5</v>
      </c>
      <c r="CX14">
        <f>IF(Evalucion!CY12=Datos!$C$15,Datos!$D$15,IF(Evalucion!CY12=Datos!$C$16,Datos!$D$16,IF(Evalucion!CY12=Datos!$C$17,Datos!$D$17,IF(Evalucion!CY12=Datos!$C$18,Datos!$D$18,IF(Evalucion!CY12=Datos!$C$19,Datos!$D$19,"=")))))</f>
        <v>5</v>
      </c>
      <c r="CY14">
        <f>IF(Evalucion!CZ12=Datos!$C$15,Datos!$D$15,IF(Evalucion!CZ12=Datos!$C$16,Datos!$D$16,IF(Evalucion!CZ12=Datos!$C$17,Datos!$D$17,IF(Evalucion!CZ12=Datos!$C$18,Datos!$D$18,IF(Evalucion!CZ12=Datos!$C$19,Datos!$D$19,"=")))))</f>
        <v>5</v>
      </c>
      <c r="CZ14">
        <f>IF(Evalucion!DA12=Datos!$C$15,Datos!$D$15,IF(Evalucion!DA12=Datos!$C$16,Datos!$D$16,IF(Evalucion!DA12=Datos!$C$17,Datos!$D$17,IF(Evalucion!DA12=Datos!$C$18,Datos!$D$18,IF(Evalucion!DA12=Datos!$C$19,Datos!$D$19,"=")))))</f>
        <v>5</v>
      </c>
      <c r="DA14">
        <f>IF(Evalucion!DB12=Datos!$C$15,Datos!$D$15,IF(Evalucion!DB12=Datos!$C$16,Datos!$D$16,IF(Evalucion!DB12=Datos!$C$17,Datos!$D$17,IF(Evalucion!DB12=Datos!$C$18,Datos!$D$18,IF(Evalucion!DB12=Datos!$C$19,Datos!$D$19,"=")))))</f>
        <v>3</v>
      </c>
      <c r="DB14">
        <f>IF(Evalucion!DC12=Datos!$C$15,Datos!$D$15,IF(Evalucion!DC12=Datos!$C$16,Datos!$D$16,IF(Evalucion!DC12=Datos!$C$17,Datos!$D$17,IF(Evalucion!DC12=Datos!$C$18,Datos!$D$18,IF(Evalucion!DC12=Datos!$C$19,Datos!$D$19,"=")))))</f>
        <v>5</v>
      </c>
      <c r="DC14">
        <f>IF(Evalucion!DD12=Datos!$C$15,Datos!$D$15,IF(Evalucion!DD12=Datos!$C$16,Datos!$D$16,IF(Evalucion!DD12=Datos!$C$17,Datos!$D$17,IF(Evalucion!DD12=Datos!$C$18,Datos!$D$18,IF(Evalucion!DD12=Datos!$C$19,Datos!$D$19,"=")))))</f>
        <v>5</v>
      </c>
      <c r="DD14">
        <f>IF(Evalucion!DE12=Datos!$C$15,Datos!$D$15,IF(Evalucion!DE12=Datos!$C$16,Datos!$D$16,IF(Evalucion!DE12=Datos!$C$17,Datos!$D$17,IF(Evalucion!DE12=Datos!$C$18,Datos!$D$18,IF(Evalucion!DE12=Datos!$C$19,Datos!$D$19,"=")))))</f>
        <v>1</v>
      </c>
      <c r="DE14">
        <f>IF(Evalucion!DF12=Datos!$C$15,Datos!$D$15,IF(Evalucion!DF12=Datos!$C$16,Datos!$D$16,IF(Evalucion!DF12=Datos!$C$17,Datos!$D$17,IF(Evalucion!DF12=Datos!$C$18,Datos!$D$18,IF(Evalucion!DF12=Datos!$C$19,Datos!$D$19,"=")))))</f>
        <v>1</v>
      </c>
      <c r="DF14">
        <f>IF(Evalucion!DG12=Datos!$C$15,Datos!$D$15,IF(Evalucion!DG12=Datos!$C$16,Datos!$D$16,IF(Evalucion!DG12=Datos!$C$17,Datos!$D$17,IF(Evalucion!DG12=Datos!$C$18,Datos!$D$18,IF(Evalucion!DG12=Datos!$C$19,Datos!$D$19,"=")))))</f>
        <v>5</v>
      </c>
      <c r="DG14">
        <f>IF(Evalucion!DH12=Datos!$C$15,Datos!$D$15,IF(Evalucion!DH12=Datos!$C$16,Datos!$D$16,IF(Evalucion!DH12=Datos!$C$17,Datos!$D$17,IF(Evalucion!DH12=Datos!$C$18,Datos!$D$18,IF(Evalucion!DH12=Datos!$C$19,Datos!$D$19,"=")))))</f>
        <v>5</v>
      </c>
      <c r="DH14">
        <f>IF(Evalucion!DI12=Datos!$C$15,Datos!$D$15,IF(Evalucion!DI12=Datos!$C$16,Datos!$D$16,IF(Evalucion!DI12=Datos!$C$17,Datos!$D$17,IF(Evalucion!DI12=Datos!$C$18,Datos!$D$18,IF(Evalucion!DI12=Datos!$C$19,Datos!$D$19,"=")))))</f>
        <v>1</v>
      </c>
      <c r="DI14">
        <f>IF(Evalucion!DJ12=Datos!$C$15,Datos!$D$15,IF(Evalucion!DJ12=Datos!$C$16,Datos!$D$16,IF(Evalucion!DJ12=Datos!$C$17,Datos!$D$17,IF(Evalucion!DJ12=Datos!$C$18,Datos!$D$18,IF(Evalucion!DJ12=Datos!$C$19,Datos!$D$19,"=")))))</f>
        <v>1</v>
      </c>
      <c r="DJ14">
        <f>IF(Evalucion!DK12=Datos!$C$15,Datos!$D$15,IF(Evalucion!DK12=Datos!$C$16,Datos!$D$16,IF(Evalucion!DK12=Datos!$C$17,Datos!$D$17,IF(Evalucion!DK12=Datos!$C$18,Datos!$D$18,IF(Evalucion!DK12=Datos!$C$19,Datos!$D$19,"=")))))</f>
        <v>1</v>
      </c>
      <c r="DK14">
        <f>IF(Evalucion!DL12=Datos!$C$15,Datos!$D$15,IF(Evalucion!DL12=Datos!$C$16,Datos!$D$16,IF(Evalucion!DL12=Datos!$C$17,Datos!$D$17,IF(Evalucion!DL12=Datos!$C$18,Datos!$D$18,IF(Evalucion!DL12=Datos!$C$19,Datos!$D$19,"=")))))</f>
        <v>1</v>
      </c>
      <c r="DL14">
        <f>IF(Evalucion!DM12=Datos!$C$15,Datos!$D$15,IF(Evalucion!DM12=Datos!$C$16,Datos!$D$16,IF(Evalucion!DM12=Datos!$C$17,Datos!$D$17,IF(Evalucion!DM12=Datos!$C$18,Datos!$D$18,IF(Evalucion!DM12=Datos!$C$19,Datos!$D$19,"=")))))</f>
        <v>5</v>
      </c>
      <c r="DM14">
        <f>IF(Evalucion!DN12=Datos!$C$15,Datos!$D$15,IF(Evalucion!DN12=Datos!$C$16,Datos!$D$16,IF(Evalucion!DN12=Datos!$C$17,Datos!$D$17,IF(Evalucion!DN12=Datos!$C$18,Datos!$D$18,IF(Evalucion!DN12=Datos!$C$19,Datos!$D$19,"=")))))</f>
        <v>3</v>
      </c>
      <c r="DN14">
        <f>IF(Evalucion!DO12=Datos!$C$15,Datos!$D$15,IF(Evalucion!DO12=Datos!$C$16,Datos!$D$16,IF(Evalucion!DO12=Datos!$C$17,Datos!$D$17,IF(Evalucion!DO12=Datos!$C$18,Datos!$D$18,IF(Evalucion!DO12=Datos!$C$19,Datos!$D$19,"=")))))</f>
        <v>5</v>
      </c>
      <c r="DO14">
        <f>IF(Evalucion!DP12=Datos!$C$15,Datos!$D$15,IF(Evalucion!DP12=Datos!$C$16,Datos!$D$16,IF(Evalucion!DP12=Datos!$C$17,Datos!$D$17,IF(Evalucion!DP12=Datos!$C$18,Datos!$D$18,IF(Evalucion!DP12=Datos!$C$19,Datos!$D$19,"=")))))</f>
        <v>5</v>
      </c>
      <c r="DP14">
        <f>IF(Evalucion!DQ12=Datos!$C$15,Datos!$D$15,IF(Evalucion!DQ12=Datos!$C$16,Datos!$D$16,IF(Evalucion!DQ12=Datos!$C$17,Datos!$D$17,IF(Evalucion!DQ12=Datos!$C$18,Datos!$D$18,IF(Evalucion!DQ12=Datos!$C$19,Datos!$D$19,"=")))))</f>
        <v>5</v>
      </c>
      <c r="DQ14">
        <f>IF(Evalucion!DR12=Datos!$C$15,Datos!$D$15,IF(Evalucion!DR12=Datos!$C$16,Datos!$D$16,IF(Evalucion!DR12=Datos!$C$17,Datos!$D$17,IF(Evalucion!DR12=Datos!$C$18,Datos!$D$18,IF(Evalucion!DR12=Datos!$C$19,Datos!$D$19,"=")))))</f>
        <v>3</v>
      </c>
      <c r="DR14">
        <f>IF(Evalucion!DS12=Datos!$C$15,Datos!$D$15,IF(Evalucion!DS12=Datos!$C$16,Datos!$D$16,IF(Evalucion!DS12=Datos!$C$17,Datos!$D$17,IF(Evalucion!DS12=Datos!$C$18,Datos!$D$18,IF(Evalucion!DS12=Datos!$C$19,Datos!$D$19,"=")))))</f>
        <v>5</v>
      </c>
      <c r="DS14">
        <f>IF(Evalucion!DT12=Datos!$C$15,Datos!$D$15,IF(Evalucion!DT12=Datos!$C$16,Datos!$D$16,IF(Evalucion!DT12=Datos!$C$17,Datos!$D$17,IF(Evalucion!DT12=Datos!$C$18,Datos!$D$18,IF(Evalucion!DT12=Datos!$C$19,Datos!$D$19,"=")))))</f>
        <v>3</v>
      </c>
      <c r="DT14">
        <f>IF(Evalucion!DU12=Datos!$C$15,Datos!$D$15,IF(Evalucion!DU12=Datos!$C$16,Datos!$D$16,IF(Evalucion!DU12=Datos!$C$17,Datos!$D$17,IF(Evalucion!DU12=Datos!$C$18,Datos!$D$18,IF(Evalucion!DU12=Datos!$C$19,Datos!$D$19,"=")))))</f>
        <v>5</v>
      </c>
      <c r="DU14">
        <f>IF(Evalucion!DV12=Datos!$C$15,Datos!$D$15,IF(Evalucion!DV12=Datos!$C$16,Datos!$D$16,IF(Evalucion!DV12=Datos!$C$17,Datos!$D$17,IF(Evalucion!DV12=Datos!$C$18,Datos!$D$18,IF(Evalucion!DV12=Datos!$C$19,Datos!$D$19,"=")))))</f>
        <v>3</v>
      </c>
      <c r="DV14">
        <f>IF(Evalucion!DW12=Datos!$C$15,Datos!$D$15,IF(Evalucion!DW12=Datos!$C$16,Datos!$D$16,IF(Evalucion!DW12=Datos!$C$17,Datos!$D$17,IF(Evalucion!DW12=Datos!$C$18,Datos!$D$18,IF(Evalucion!DW12=Datos!$C$19,Datos!$D$19,"=")))))</f>
        <v>5</v>
      </c>
      <c r="DW14">
        <f>IF(Evalucion!DX12=Datos!$C$15,Datos!$D$15,IF(Evalucion!DX12=Datos!$C$16,Datos!$D$16,IF(Evalucion!DX12=Datos!$C$17,Datos!$D$17,IF(Evalucion!DX12=Datos!$C$18,Datos!$D$18,IF(Evalucion!DX12=Datos!$C$19,Datos!$D$19,"=")))))</f>
        <v>3</v>
      </c>
      <c r="DX14">
        <f>IF(Evalucion!DY12=Datos!$C$15,Datos!$D$15,IF(Evalucion!DY12=Datos!$C$16,Datos!$D$16,IF(Evalucion!DY12=Datos!$C$17,Datos!$D$17,IF(Evalucion!DY12=Datos!$C$18,Datos!$D$18,IF(Evalucion!DY12=Datos!$C$19,Datos!$D$19,"=")))))</f>
        <v>5</v>
      </c>
      <c r="DY14">
        <f>IF(Evalucion!DZ12=Datos!$C$15,Datos!$D$15,IF(Evalucion!DZ12=Datos!$C$16,Datos!$D$16,IF(Evalucion!DZ12=Datos!$C$17,Datos!$D$17,IF(Evalucion!DZ12=Datos!$C$18,Datos!$D$18,IF(Evalucion!DZ12=Datos!$C$19,Datos!$D$19,"=")))))</f>
        <v>3</v>
      </c>
      <c r="DZ14">
        <f>IF(Evalucion!EA12=Datos!$C$15,Datos!$D$15,IF(Evalucion!EA12=Datos!$C$16,Datos!$D$16,IF(Evalucion!EA12=Datos!$C$17,Datos!$D$17,IF(Evalucion!EA12=Datos!$C$18,Datos!$D$18,IF(Evalucion!EA12=Datos!$C$19,Datos!$D$19,"=")))))</f>
        <v>5</v>
      </c>
      <c r="EA14">
        <f>IF(Evalucion!EB12=Datos!$C$15,Datos!$D$15,IF(Evalucion!EB12=Datos!$C$16,Datos!$D$16,IF(Evalucion!EB12=Datos!$C$17,Datos!$D$17,IF(Evalucion!EB12=Datos!$C$18,Datos!$D$18,IF(Evalucion!EB12=Datos!$C$19,Datos!$D$19,"=")))))</f>
        <v>5</v>
      </c>
      <c r="EB14">
        <f>IF(Evalucion!EC12=Datos!$C$15,Datos!$D$15,IF(Evalucion!EC12=Datos!$C$16,Datos!$D$16,IF(Evalucion!EC12=Datos!$C$17,Datos!$D$17,IF(Evalucion!EC12=Datos!$C$18,Datos!$D$18,IF(Evalucion!EC12=Datos!$C$19,Datos!$D$19,"=")))))</f>
        <v>5</v>
      </c>
      <c r="EC14">
        <f>IF(Evalucion!ED12=Datos!$C$15,Datos!$D$15,IF(Evalucion!ED12=Datos!$C$16,Datos!$D$16,IF(Evalucion!ED12=Datos!$C$17,Datos!$D$17,IF(Evalucion!ED12=Datos!$C$18,Datos!$D$18,IF(Evalucion!ED12=Datos!$C$19,Datos!$D$19,"=")))))</f>
        <v>3</v>
      </c>
      <c r="ED14">
        <f>IF(Evalucion!EE12=Datos!$C$15,Datos!$D$15,IF(Evalucion!EE12=Datos!$C$16,Datos!$D$16,IF(Evalucion!EE12=Datos!$C$17,Datos!$D$17,IF(Evalucion!EE12=Datos!$C$18,Datos!$D$18,IF(Evalucion!EE12=Datos!$C$19,Datos!$D$19,"=")))))</f>
        <v>5</v>
      </c>
      <c r="EE14">
        <f>IF(Evalucion!EF12=Datos!$C$15,Datos!$D$15,IF(Evalucion!EF12=Datos!$C$16,Datos!$D$16,IF(Evalucion!EF12=Datos!$C$17,Datos!$D$17,IF(Evalucion!EF12=Datos!$C$18,Datos!$D$18,IF(Evalucion!EF12=Datos!$C$19,Datos!$D$19,"=")))))</f>
        <v>5</v>
      </c>
      <c r="EF14">
        <f>IF(Evalucion!EG12=Datos!$C$15,Datos!$D$15,IF(Evalucion!EG12=Datos!$C$16,Datos!$D$16,IF(Evalucion!EG12=Datos!$C$17,Datos!$D$17,IF(Evalucion!EG12=Datos!$C$18,Datos!$D$18,IF(Evalucion!EG12=Datos!$C$19,Datos!$D$19,"=")))))</f>
        <v>1</v>
      </c>
      <c r="EG14">
        <f>IF(Evalucion!EH12=Datos!$C$15,Datos!$D$15,IF(Evalucion!EH12=Datos!$C$16,Datos!$D$16,IF(Evalucion!EH12=Datos!$C$17,Datos!$D$17,IF(Evalucion!EH12=Datos!$C$18,Datos!$D$18,IF(Evalucion!EH12=Datos!$C$19,Datos!$D$19,"=")))))</f>
        <v>1</v>
      </c>
      <c r="EH14">
        <f>IF(Evalucion!EI12=Datos!$C$15,Datos!$D$15,IF(Evalucion!EI12=Datos!$C$16,Datos!$D$16,IF(Evalucion!EI12=Datos!$C$17,Datos!$D$17,IF(Evalucion!EI12=Datos!$C$18,Datos!$D$18,IF(Evalucion!EI12=Datos!$C$19,Datos!$D$19,"=")))))</f>
        <v>1</v>
      </c>
      <c r="EI14">
        <f>IF(Evalucion!EJ12=Datos!$C$15,Datos!$D$15,IF(Evalucion!EJ12=Datos!$C$16,Datos!$D$16,IF(Evalucion!EJ12=Datos!$C$17,Datos!$D$17,IF(Evalucion!EJ12=Datos!$C$18,Datos!$D$18,IF(Evalucion!EJ12=Datos!$C$19,Datos!$D$19,"=")))))</f>
        <v>1</v>
      </c>
      <c r="EJ14">
        <f>IF(Evalucion!EK12=Datos!$C$15,Datos!$D$15,IF(Evalucion!EK12=Datos!$C$16,Datos!$D$16,IF(Evalucion!EK12=Datos!$C$17,Datos!$D$17,IF(Evalucion!EK12=Datos!$C$18,Datos!$D$18,IF(Evalucion!EK12=Datos!$C$19,Datos!$D$19,"=")))))</f>
        <v>1</v>
      </c>
      <c r="EK14">
        <f>IF(Evalucion!EL12=Datos!$C$15,Datos!$D$15,IF(Evalucion!EL12=Datos!$C$16,Datos!$D$16,IF(Evalucion!EL12=Datos!$C$17,Datos!$D$17,IF(Evalucion!EL12=Datos!$C$18,Datos!$D$18,IF(Evalucion!EL12=Datos!$C$19,Datos!$D$19,"=")))))</f>
        <v>1</v>
      </c>
      <c r="EL14">
        <f>IF(Evalucion!EM12=Datos!$C$15,Datos!$D$15,IF(Evalucion!EM12=Datos!$C$16,Datos!$D$16,IF(Evalucion!EM12=Datos!$C$17,Datos!$D$17,IF(Evalucion!EM12=Datos!$C$18,Datos!$D$18,IF(Evalucion!EM12=Datos!$C$19,Datos!$D$19,"=")))))</f>
        <v>1</v>
      </c>
      <c r="EM14">
        <f>IF(Evalucion!EN12=Datos!$C$15,Datos!$D$15,IF(Evalucion!EN12=Datos!$C$16,Datos!$D$16,IF(Evalucion!EN12=Datos!$C$17,Datos!$D$17,IF(Evalucion!EN12=Datos!$C$18,Datos!$D$18,IF(Evalucion!EN12=Datos!$C$19,Datos!$D$19,"=")))))</f>
        <v>1</v>
      </c>
      <c r="EN14">
        <f>IF(Evalucion!EO12=Datos!$C$15,Datos!$D$15,IF(Evalucion!EO12=Datos!$C$16,Datos!$D$16,IF(Evalucion!EO12=Datos!$C$17,Datos!$D$17,IF(Evalucion!EO12=Datos!$C$18,Datos!$D$18,IF(Evalucion!EO12=Datos!$C$19,Datos!$D$19,"=")))))</f>
        <v>1</v>
      </c>
      <c r="EO14">
        <f>IF(Evalucion!EP12=Datos!$C$15,Datos!$D$15,IF(Evalucion!EP12=Datos!$C$16,Datos!$D$16,IF(Evalucion!EP12=Datos!$C$17,Datos!$D$17,IF(Evalucion!EP12=Datos!$C$18,Datos!$D$18,IF(Evalucion!EP12=Datos!$C$19,Datos!$D$19,"=")))))</f>
        <v>1</v>
      </c>
      <c r="EP14">
        <f>IF(Evalucion!EQ12=Datos!$C$15,Datos!$D$15,IF(Evalucion!EQ12=Datos!$C$16,Datos!$D$16,IF(Evalucion!EQ12=Datos!$C$17,Datos!$D$17,IF(Evalucion!EQ12=Datos!$C$18,Datos!$D$18,IF(Evalucion!EQ12=Datos!$C$19,Datos!$D$19,"=")))))</f>
        <v>1</v>
      </c>
      <c r="EQ14">
        <f>IF(Evalucion!ER12=Datos!$C$15,Datos!$D$15,IF(Evalucion!ER12=Datos!$C$16,Datos!$D$16,IF(Evalucion!ER12=Datos!$C$17,Datos!$D$17,IF(Evalucion!ER12=Datos!$C$18,Datos!$D$18,IF(Evalucion!ER12=Datos!$C$19,Datos!$D$19,"=")))))</f>
        <v>1</v>
      </c>
      <c r="ER14">
        <f>IF(Evalucion!ES12=Datos!$C$15,Datos!$D$15,IF(Evalucion!ES12=Datos!$C$16,Datos!$D$16,IF(Evalucion!ES12=Datos!$C$17,Datos!$D$17,IF(Evalucion!ES12=Datos!$C$18,Datos!$D$18,IF(Evalucion!ES12=Datos!$C$19,Datos!$D$19,"=")))))</f>
        <v>5</v>
      </c>
      <c r="ES14">
        <f>IF(Evalucion!ET12=Datos!$C$15,Datos!$D$15,IF(Evalucion!ET12=Datos!$C$16,Datos!$D$16,IF(Evalucion!ET12=Datos!$C$17,Datos!$D$17,IF(Evalucion!ET12=Datos!$C$18,Datos!$D$18,IF(Evalucion!ET12=Datos!$C$19,Datos!$D$19,"=")))))</f>
        <v>5</v>
      </c>
      <c r="ET14">
        <f>IF(Evalucion!EU12=Datos!$C$15,Datos!$D$15,IF(Evalucion!EU12=Datos!$C$16,Datos!$D$16,IF(Evalucion!EU12=Datos!$C$17,Datos!$D$17,IF(Evalucion!EU12=Datos!$C$18,Datos!$D$18,IF(Evalucion!EU12=Datos!$C$19,Datos!$D$19,"=")))))</f>
        <v>5</v>
      </c>
      <c r="EU14">
        <f>IF(Evalucion!EV12=Datos!$C$15,Datos!$D$15,IF(Evalucion!EV12=Datos!$C$16,Datos!$D$16,IF(Evalucion!EV12=Datos!$C$17,Datos!$D$17,IF(Evalucion!EV12=Datos!$C$18,Datos!$D$18,IF(Evalucion!EV12=Datos!$C$19,Datos!$D$19,"=")))))</f>
        <v>3</v>
      </c>
      <c r="EV14">
        <f>IF(Evalucion!EW12=Datos!$C$15,Datos!$D$15,IF(Evalucion!EW12=Datos!$C$16,Datos!$D$16,IF(Evalucion!EW12=Datos!$C$17,Datos!$D$17,IF(Evalucion!EW12=Datos!$C$18,Datos!$D$18,IF(Evalucion!EW12=Datos!$C$19,Datos!$D$19,"=")))))</f>
        <v>5</v>
      </c>
      <c r="EW14">
        <f>IF(Evalucion!EX12=Datos!$C$15,Datos!$D$15,IF(Evalucion!EX12=Datos!$C$16,Datos!$D$16,IF(Evalucion!EX12=Datos!$C$17,Datos!$D$17,IF(Evalucion!EX12=Datos!$C$18,Datos!$D$18,IF(Evalucion!EX12=Datos!$C$19,Datos!$D$19,"=")))))</f>
        <v>5</v>
      </c>
      <c r="EX14">
        <f>IF(Evalucion!EY12=Datos!$C$15,Datos!$D$15,IF(Evalucion!EY12=Datos!$C$16,Datos!$D$16,IF(Evalucion!EY12=Datos!$C$17,Datos!$D$17,IF(Evalucion!EY12=Datos!$C$18,Datos!$D$18,IF(Evalucion!EY12=Datos!$C$19,Datos!$D$19,"=")))))</f>
        <v>5</v>
      </c>
      <c r="EY14">
        <f>IF(Evalucion!EZ12=Datos!$C$15,Datos!$D$15,IF(Evalucion!EZ12=Datos!$C$16,Datos!$D$16,IF(Evalucion!EZ12=Datos!$C$17,Datos!$D$17,IF(Evalucion!EZ12=Datos!$C$18,Datos!$D$18,IF(Evalucion!EZ12=Datos!$C$19,Datos!$D$19,"=")))))</f>
        <v>3</v>
      </c>
      <c r="FA14">
        <f t="shared" si="3"/>
        <v>311</v>
      </c>
      <c r="FB14">
        <f t="shared" si="3"/>
        <v>259</v>
      </c>
      <c r="FC14" s="3">
        <f t="shared" si="4"/>
        <v>0.69066666666666665</v>
      </c>
      <c r="FD14" t="str">
        <f t="shared" si="0"/>
        <v>Conf_CR</v>
      </c>
      <c r="FF14">
        <f t="shared" si="5"/>
        <v>570</v>
      </c>
      <c r="FG14">
        <f t="shared" si="6"/>
        <v>0</v>
      </c>
    </row>
    <row r="15" spans="1:167" x14ac:dyDescent="0.2">
      <c r="A15">
        <f t="shared" si="7"/>
        <v>12</v>
      </c>
      <c r="B15" t="s">
        <v>256</v>
      </c>
      <c r="C15" t="s">
        <v>194</v>
      </c>
      <c r="D15" s="1">
        <v>43493</v>
      </c>
      <c r="E15">
        <f>IF(Evalucion!F13=Datos!$C$15,Datos!$D$15,IF(Evalucion!F13=Datos!$C$16,Datos!$D$16,IF(Evalucion!F13=Datos!$C$17,Datos!$D$17,IF(Evalucion!F13=Datos!$C$18,Datos!$D$18,IF(Evalucion!F13=Datos!$C$19,Datos!$D$19,"=")))))</f>
        <v>5</v>
      </c>
      <c r="F15">
        <f>IF(Evalucion!G13=Datos!$C$15,Datos!$D$15,IF(Evalucion!G13=Datos!$C$16,Datos!$D$16,IF(Evalucion!G13=Datos!$C$17,Datos!$D$17,IF(Evalucion!G13=Datos!$C$18,Datos!$D$18,IF(Evalucion!G13=Datos!$C$19,Datos!$D$19,"=")))))</f>
        <v>5</v>
      </c>
      <c r="G15">
        <f>IF(Evalucion!H13=Datos!$C$15,Datos!$D$15,IF(Evalucion!H13=Datos!$C$16,Datos!$D$16,IF(Evalucion!H13=Datos!$C$17,Datos!$D$17,IF(Evalucion!H13=Datos!$C$18,Datos!$D$18,IF(Evalucion!H13=Datos!$C$19,Datos!$D$19,"=")))))</f>
        <v>5</v>
      </c>
      <c r="H15">
        <f>IF(Evalucion!I13=Datos!$C$15,Datos!$D$15,IF(Evalucion!I13=Datos!$C$16,Datos!$D$16,IF(Evalucion!I13=Datos!$C$17,Datos!$D$17,IF(Evalucion!I13=Datos!$C$18,Datos!$D$18,IF(Evalucion!I13=Datos!$C$19,Datos!$D$19,"=")))))</f>
        <v>1</v>
      </c>
      <c r="I15">
        <f>IF(Evalucion!J13=Datos!$C$15,Datos!$D$15,IF(Evalucion!J13=Datos!$C$16,Datos!$D$16,IF(Evalucion!J13=Datos!$C$17,Datos!$D$17,IF(Evalucion!J13=Datos!$C$18,Datos!$D$18,IF(Evalucion!J13=Datos!$C$19,Datos!$D$19,"=")))))</f>
        <v>1</v>
      </c>
      <c r="J15">
        <f>IF(Evalucion!K13=Datos!$C$15,Datos!$D$15,IF(Evalucion!K13=Datos!$C$16,Datos!$D$16,IF(Evalucion!K13=Datos!$C$17,Datos!$D$17,IF(Evalucion!K13=Datos!$C$18,Datos!$D$18,IF(Evalucion!K13=Datos!$C$19,Datos!$D$19,"=")))))</f>
        <v>1</v>
      </c>
      <c r="K15">
        <f>IF(Evalucion!L13=Datos!$C$15,Datos!$D$15,IF(Evalucion!L13=Datos!$C$16,Datos!$D$16,IF(Evalucion!L13=Datos!$C$17,Datos!$D$17,IF(Evalucion!L13=Datos!$C$18,Datos!$D$18,IF(Evalucion!L13=Datos!$C$19,Datos!$D$19,"=")))))</f>
        <v>5</v>
      </c>
      <c r="L15">
        <f>IF(Evalucion!M13=Datos!$C$15,Datos!$D$15,IF(Evalucion!M13=Datos!$C$16,Datos!$D$16,IF(Evalucion!M13=Datos!$C$17,Datos!$D$17,IF(Evalucion!M13=Datos!$C$18,Datos!$D$18,IF(Evalucion!M13=Datos!$C$19,Datos!$D$19,"=")))))</f>
        <v>3</v>
      </c>
      <c r="M15">
        <f>IF(Evalucion!N13=Datos!$C$15,Datos!$D$15,IF(Evalucion!N13=Datos!$C$16,Datos!$D$16,IF(Evalucion!N13=Datos!$C$17,Datos!$D$17,IF(Evalucion!N13=Datos!$C$18,Datos!$D$18,IF(Evalucion!N13=Datos!$C$19,Datos!$D$19,"=")))))</f>
        <v>5</v>
      </c>
      <c r="N15">
        <f>IF(Evalucion!O13=Datos!$C$15,Datos!$D$15,IF(Evalucion!O13=Datos!$C$16,Datos!$D$16,IF(Evalucion!O13=Datos!$C$17,Datos!$D$17,IF(Evalucion!O13=Datos!$C$18,Datos!$D$18,IF(Evalucion!O13=Datos!$C$19,Datos!$D$19,"=")))))</f>
        <v>5</v>
      </c>
      <c r="O15">
        <f>IF(Evalucion!P13=Datos!$C$15,Datos!$D$15,IF(Evalucion!P13=Datos!$C$16,Datos!$D$16,IF(Evalucion!P13=Datos!$C$17,Datos!$D$17,IF(Evalucion!P13=Datos!$C$18,Datos!$D$18,IF(Evalucion!P13=Datos!$C$19,Datos!$D$19,"=")))))</f>
        <v>5</v>
      </c>
      <c r="P15">
        <f>IF(Evalucion!Q13=Datos!$C$15,Datos!$D$15,IF(Evalucion!Q13=Datos!$C$16,Datos!$D$16,IF(Evalucion!Q13=Datos!$C$17,Datos!$D$17,IF(Evalucion!Q13=Datos!$C$18,Datos!$D$18,IF(Evalucion!Q13=Datos!$C$19,Datos!$D$19,"=")))))</f>
        <v>5</v>
      </c>
      <c r="Q15">
        <f>IF(Evalucion!R13=Datos!$C$15,Datos!$D$15,IF(Evalucion!R13=Datos!$C$16,Datos!$D$16,IF(Evalucion!R13=Datos!$C$17,Datos!$D$17,IF(Evalucion!R13=Datos!$C$18,Datos!$D$18,IF(Evalucion!R13=Datos!$C$19,Datos!$D$19,"=")))))</f>
        <v>5</v>
      </c>
      <c r="R15">
        <f>IF(Evalucion!S13=Datos!$C$15,Datos!$D$15,IF(Evalucion!S13=Datos!$C$16,Datos!$D$16,IF(Evalucion!S13=Datos!$C$17,Datos!$D$17,IF(Evalucion!S13=Datos!$C$18,Datos!$D$18,IF(Evalucion!S13=Datos!$C$19,Datos!$D$19,"=")))))</f>
        <v>5</v>
      </c>
      <c r="S15">
        <f>IF(Evalucion!T13=Datos!$C$15,Datos!$D$15,IF(Evalucion!T13=Datos!$C$16,Datos!$D$16,IF(Evalucion!T13=Datos!$C$17,Datos!$D$17,IF(Evalucion!T13=Datos!$C$18,Datos!$D$18,IF(Evalucion!T13=Datos!$C$19,Datos!$D$19,"=")))))</f>
        <v>5</v>
      </c>
      <c r="T15">
        <f>IF(Evalucion!U13=Datos!$C$15,Datos!$D$15,IF(Evalucion!U13=Datos!$C$16,Datos!$D$16,IF(Evalucion!U13=Datos!$C$17,Datos!$D$17,IF(Evalucion!U13=Datos!$C$18,Datos!$D$18,IF(Evalucion!U13=Datos!$C$19,Datos!$D$19,"=")))))</f>
        <v>5</v>
      </c>
      <c r="U15">
        <f>IF(Evalucion!V13=Datos!$C$15,Datos!$D$15,IF(Evalucion!V13=Datos!$C$16,Datos!$D$16,IF(Evalucion!V13=Datos!$C$17,Datos!$D$17,IF(Evalucion!V13=Datos!$C$18,Datos!$D$18,IF(Evalucion!V13=Datos!$C$19,Datos!$D$19,"=")))))</f>
        <v>5</v>
      </c>
      <c r="V15">
        <f>IF(Evalucion!W13=Datos!$C$15,Datos!$D$15,IF(Evalucion!W13=Datos!$C$16,Datos!$D$16,IF(Evalucion!W13=Datos!$C$17,Datos!$D$17,IF(Evalucion!W13=Datos!$C$18,Datos!$D$18,IF(Evalucion!W13=Datos!$C$19,Datos!$D$19,"=")))))</f>
        <v>5</v>
      </c>
      <c r="W15">
        <f>IF(Evalucion!X13=Datos!$C$15,Datos!$D$15,IF(Evalucion!X13=Datos!$C$16,Datos!$D$16,IF(Evalucion!X13=Datos!$C$17,Datos!$D$17,IF(Evalucion!X13=Datos!$C$18,Datos!$D$18,IF(Evalucion!X13=Datos!$C$19,Datos!$D$19,"=")))))</f>
        <v>1</v>
      </c>
      <c r="X15">
        <f>IF(Evalucion!Y13=Datos!$C$15,Datos!$D$15,IF(Evalucion!Y13=Datos!$C$16,Datos!$D$16,IF(Evalucion!Y13=Datos!$C$17,Datos!$D$17,IF(Evalucion!Y13=Datos!$C$18,Datos!$D$18,IF(Evalucion!Y13=Datos!$C$19,Datos!$D$19,"=")))))</f>
        <v>1</v>
      </c>
      <c r="Y15">
        <f>IF(Evalucion!Z13=Datos!$C$15,Datos!$D$15,IF(Evalucion!Z13=Datos!$C$16,Datos!$D$16,IF(Evalucion!Z13=Datos!$C$17,Datos!$D$17,IF(Evalucion!Z13=Datos!$C$18,Datos!$D$18,IF(Evalucion!Z13=Datos!$C$19,Datos!$D$19,"=")))))</f>
        <v>5</v>
      </c>
      <c r="Z15">
        <f>IF(Evalucion!AA13=Datos!$C$15,Datos!$D$15,IF(Evalucion!AA13=Datos!$C$16,Datos!$D$16,IF(Evalucion!AA13=Datos!$C$17,Datos!$D$17,IF(Evalucion!AA13=Datos!$C$18,Datos!$D$18,IF(Evalucion!AA13=Datos!$C$19,Datos!$D$19,"=")))))</f>
        <v>5</v>
      </c>
      <c r="AA15">
        <f>IF(Evalucion!AB13=Datos!$C$15,Datos!$D$15,IF(Evalucion!AB13=Datos!$C$16,Datos!$D$16,IF(Evalucion!AB13=Datos!$C$17,Datos!$D$17,IF(Evalucion!AB13=Datos!$C$18,Datos!$D$18,IF(Evalucion!AB13=Datos!$C$19,Datos!$D$19,"=")))))</f>
        <v>5</v>
      </c>
      <c r="AB15">
        <f>IF(Evalucion!AC13=Datos!$C$15,Datos!$D$15,IF(Evalucion!AC13=Datos!$C$16,Datos!$D$16,IF(Evalucion!AC13=Datos!$C$17,Datos!$D$17,IF(Evalucion!AC13=Datos!$C$18,Datos!$D$18,IF(Evalucion!AC13=Datos!$C$19,Datos!$D$19,"=")))))</f>
        <v>5</v>
      </c>
      <c r="AC15">
        <f>IF(Evalucion!AD13=Datos!$C$15,Datos!$D$15,IF(Evalucion!AD13=Datos!$C$16,Datos!$D$16,IF(Evalucion!AD13=Datos!$C$17,Datos!$D$17,IF(Evalucion!AD13=Datos!$C$18,Datos!$D$18,IF(Evalucion!AD13=Datos!$C$19,Datos!$D$19,"=")))))</f>
        <v>5</v>
      </c>
      <c r="AD15">
        <f>IF(Evalucion!AE13=Datos!$C$15,Datos!$D$15,IF(Evalucion!AE13=Datos!$C$16,Datos!$D$16,IF(Evalucion!AE13=Datos!$C$17,Datos!$D$17,IF(Evalucion!AE13=Datos!$C$18,Datos!$D$18,IF(Evalucion!AE13=Datos!$C$19,Datos!$D$19,"=")))))</f>
        <v>1</v>
      </c>
      <c r="AE15">
        <f>IF(Evalucion!AF13=Datos!$C$15,Datos!$D$15,IF(Evalucion!AF13=Datos!$C$16,Datos!$D$16,IF(Evalucion!AF13=Datos!$C$17,Datos!$D$17,IF(Evalucion!AF13=Datos!$C$18,Datos!$D$18,IF(Evalucion!AF13=Datos!$C$19,Datos!$D$19,"=")))))</f>
        <v>5</v>
      </c>
      <c r="AF15">
        <f>IF(Evalucion!AG13=Datos!$C$15,Datos!$D$15,IF(Evalucion!AG13=Datos!$C$16,Datos!$D$16,IF(Evalucion!AG13=Datos!$C$17,Datos!$D$17,IF(Evalucion!AG13=Datos!$C$18,Datos!$D$18,IF(Evalucion!AG13=Datos!$C$19,Datos!$D$19,"=")))))</f>
        <v>5</v>
      </c>
      <c r="AO15">
        <f>IF(Evalucion!AP13=Datos!$C$15,Datos!$D$15,IF(Evalucion!AP13=Datos!$C$16,Datos!$D$16,IF(Evalucion!AP13=Datos!$C$17,Datos!$D$17,IF(Evalucion!AP13=Datos!$C$18,Datos!$D$18,IF(Evalucion!AP13=Datos!$C$19,Datos!$D$19,"=")))))</f>
        <v>5</v>
      </c>
      <c r="AP15">
        <f>IF(Evalucion!AQ13=Datos!$C$15,Datos!$D$15,IF(Evalucion!AQ13=Datos!$C$16,Datos!$D$16,IF(Evalucion!AQ13=Datos!$C$17,Datos!$D$17,IF(Evalucion!AQ13=Datos!$C$18,Datos!$D$18,IF(Evalucion!AQ13=Datos!$C$19,Datos!$D$19,"=")))))</f>
        <v>3</v>
      </c>
      <c r="AQ15">
        <f>IF(Evalucion!AR13=Datos!$C$15,Datos!$D$15,IF(Evalucion!AR13=Datos!$C$16,Datos!$D$16,IF(Evalucion!AR13=Datos!$C$17,Datos!$D$17,IF(Evalucion!AR13=Datos!$C$18,Datos!$D$18,IF(Evalucion!AR13=Datos!$C$19,Datos!$D$19,"=")))))</f>
        <v>1</v>
      </c>
      <c r="AR15">
        <f>IF(Evalucion!AS13=Datos!$C$15,Datos!$D$15,IF(Evalucion!AS13=Datos!$C$16,Datos!$D$16,IF(Evalucion!AS13=Datos!$C$17,Datos!$D$17,IF(Evalucion!AS13=Datos!$C$18,Datos!$D$18,IF(Evalucion!AS13=Datos!$C$19,Datos!$D$19,"=")))))</f>
        <v>1</v>
      </c>
      <c r="AS15">
        <f>IF(Evalucion!AT13=Datos!$C$15,Datos!$D$15,IF(Evalucion!AT13=Datos!$C$16,Datos!$D$16,IF(Evalucion!AT13=Datos!$C$17,Datos!$D$17,IF(Evalucion!AT13=Datos!$C$18,Datos!$D$18,IF(Evalucion!AT13=Datos!$C$19,Datos!$D$19,"=")))))</f>
        <v>5</v>
      </c>
      <c r="AT15">
        <f>IF(Evalucion!AU13=Datos!$C$15,Datos!$D$15,IF(Evalucion!AU13=Datos!$C$16,Datos!$D$16,IF(Evalucion!AU13=Datos!$C$17,Datos!$D$17,IF(Evalucion!AU13=Datos!$C$18,Datos!$D$18,IF(Evalucion!AU13=Datos!$C$19,Datos!$D$19,"=")))))</f>
        <v>3</v>
      </c>
      <c r="AV15">
        <f>IF(Evalucion!AW13=Datos!$C$15,Datos!$D$15,IF(Evalucion!AW13=Datos!$C$16,Datos!$D$16,IF(Evalucion!AW13=Datos!$C$17,Datos!$D$17,IF(Evalucion!AW13=Datos!$C$18,Datos!$D$18,IF(Evalucion!AW13=Datos!$C$19,Datos!$D$19,"=")))))</f>
        <v>5</v>
      </c>
      <c r="AW15">
        <f>IF(Evalucion!AX13=Datos!$C$15,Datos!$D$15,IF(Evalucion!AX13=Datos!$C$16,Datos!$D$16,IF(Evalucion!AX13=Datos!$C$17,Datos!$D$17,IF(Evalucion!AX13=Datos!$C$18,Datos!$D$18,IF(Evalucion!AX13=Datos!$C$19,Datos!$D$19,"=")))))</f>
        <v>3</v>
      </c>
      <c r="AX15">
        <f>IF(Evalucion!AY13=Datos!$C$15,Datos!$D$15,IF(Evalucion!AY13=Datos!$C$16,Datos!$D$16,IF(Evalucion!AY13=Datos!$C$17,Datos!$D$17,IF(Evalucion!AY13=Datos!$C$18,Datos!$D$18,IF(Evalucion!AY13=Datos!$C$19,Datos!$D$19,"=")))))</f>
        <v>5</v>
      </c>
      <c r="AY15">
        <f>IF(Evalucion!AZ13=Datos!$C$15,Datos!$D$15,IF(Evalucion!AZ13=Datos!$C$16,Datos!$D$16,IF(Evalucion!AZ13=Datos!$C$17,Datos!$D$17,IF(Evalucion!AZ13=Datos!$C$18,Datos!$D$18,IF(Evalucion!AZ13=Datos!$C$19,Datos!$D$19,"=")))))</f>
        <v>5</v>
      </c>
      <c r="AZ15">
        <f>IF(Evalucion!BA13=Datos!$C$15,Datos!$D$15,IF(Evalucion!BA13=Datos!$C$16,Datos!$D$16,IF(Evalucion!BA13=Datos!$C$17,Datos!$D$17,IF(Evalucion!BA13=Datos!$C$18,Datos!$D$18,IF(Evalucion!BA13=Datos!$C$19,Datos!$D$19,"=")))))</f>
        <v>5</v>
      </c>
      <c r="BA15">
        <f>IF(Evalucion!BB13=Datos!$C$15,Datos!$D$15,IF(Evalucion!BB13=Datos!$C$16,Datos!$D$16,IF(Evalucion!BB13=Datos!$C$17,Datos!$D$17,IF(Evalucion!BB13=Datos!$C$18,Datos!$D$18,IF(Evalucion!BB13=Datos!$C$19,Datos!$D$19,"=")))))</f>
        <v>5</v>
      </c>
      <c r="BB15">
        <f>IF(Evalucion!BC13=Datos!$C$15,Datos!$D$15,IF(Evalucion!BC13=Datos!$C$16,Datos!$D$16,IF(Evalucion!BC13=Datos!$C$17,Datos!$D$17,IF(Evalucion!BC13=Datos!$C$18,Datos!$D$18,IF(Evalucion!BC13=Datos!$C$19,Datos!$D$19,"=")))))</f>
        <v>5</v>
      </c>
      <c r="BC15">
        <f>IF(Evalucion!BD13=Datos!$C$15,Datos!$D$15,IF(Evalucion!BD13=Datos!$C$16,Datos!$D$16,IF(Evalucion!BD13=Datos!$C$17,Datos!$D$17,IF(Evalucion!BD13=Datos!$C$18,Datos!$D$18,IF(Evalucion!BD13=Datos!$C$19,Datos!$D$19,"=")))))</f>
        <v>1</v>
      </c>
      <c r="BD15">
        <f>IF(Evalucion!BE13=Datos!$C$15,Datos!$D$15,IF(Evalucion!BE13=Datos!$C$16,Datos!$D$16,IF(Evalucion!BE13=Datos!$C$17,Datos!$D$17,IF(Evalucion!BE13=Datos!$C$18,Datos!$D$18,IF(Evalucion!BE13=Datos!$C$19,Datos!$D$19,"=")))))</f>
        <v>5</v>
      </c>
      <c r="BE15">
        <f>IF(Evalucion!BF13=Datos!$C$15,Datos!$D$15,IF(Evalucion!BF13=Datos!$C$16,Datos!$D$16,IF(Evalucion!BF13=Datos!$C$17,Datos!$D$17,IF(Evalucion!BF13=Datos!$C$18,Datos!$D$18,IF(Evalucion!BF13=Datos!$C$19,Datos!$D$19,"=")))))</f>
        <v>3</v>
      </c>
      <c r="BF15">
        <f>IF(Evalucion!BG13=Datos!$C$15,Datos!$D$15,IF(Evalucion!BG13=Datos!$C$16,Datos!$D$16,IF(Evalucion!BG13=Datos!$C$17,Datos!$D$17,IF(Evalucion!BG13=Datos!$C$18,Datos!$D$18,IF(Evalucion!BG13=Datos!$C$19,Datos!$D$19,"=")))))</f>
        <v>5</v>
      </c>
      <c r="BG15">
        <f>IF(Evalucion!BH13=Datos!$C$15,Datos!$D$15,IF(Evalucion!BH13=Datos!$C$16,Datos!$D$16,IF(Evalucion!BH13=Datos!$C$17,Datos!$D$17,IF(Evalucion!BH13=Datos!$C$18,Datos!$D$18,IF(Evalucion!BH13=Datos!$C$19,Datos!$D$19,"=")))))</f>
        <v>5</v>
      </c>
      <c r="BH15">
        <f>IF(Evalucion!BI13=Datos!$C$15,Datos!$D$15,IF(Evalucion!BI13=Datos!$C$16,Datos!$D$16,IF(Evalucion!BI13=Datos!$C$17,Datos!$D$17,IF(Evalucion!BI13=Datos!$C$18,Datos!$D$18,IF(Evalucion!BI13=Datos!$C$19,Datos!$D$19,"=")))))</f>
        <v>5</v>
      </c>
      <c r="BI15">
        <f>IF(Evalucion!BJ13=Datos!$C$15,Datos!$D$15,IF(Evalucion!BJ13=Datos!$C$16,Datos!$D$16,IF(Evalucion!BJ13=Datos!$C$17,Datos!$D$17,IF(Evalucion!BJ13=Datos!$C$18,Datos!$D$18,IF(Evalucion!BJ13=Datos!$C$19,Datos!$D$19,"=")))))</f>
        <v>5</v>
      </c>
      <c r="BJ15">
        <f>IF(Evalucion!BK13=Datos!$C$15,Datos!$D$15,IF(Evalucion!BK13=Datos!$C$16,Datos!$D$16,IF(Evalucion!BK13=Datos!$C$17,Datos!$D$17,IF(Evalucion!BK13=Datos!$C$18,Datos!$D$18,IF(Evalucion!BK13=Datos!$C$19,Datos!$D$19,"=")))))</f>
        <v>5</v>
      </c>
      <c r="BK15">
        <f>IF(Evalucion!BL13=Datos!$C$15,Datos!$D$15,IF(Evalucion!BL13=Datos!$C$16,Datos!$D$16,IF(Evalucion!BL13=Datos!$C$17,Datos!$D$17,IF(Evalucion!BL13=Datos!$C$18,Datos!$D$18,IF(Evalucion!BL13=Datos!$C$19,Datos!$D$19,"=")))))</f>
        <v>5</v>
      </c>
      <c r="BL15">
        <f>IF(Evalucion!BM13=Datos!$C$15,Datos!$D$15,IF(Evalucion!BM13=Datos!$C$16,Datos!$D$16,IF(Evalucion!BM13=Datos!$C$17,Datos!$D$17,IF(Evalucion!BM13=Datos!$C$18,Datos!$D$18,IF(Evalucion!BM13=Datos!$C$19,Datos!$D$19,"=")))))</f>
        <v>5</v>
      </c>
      <c r="BM15">
        <f>IF(Evalucion!BN13=Datos!$C$15,Datos!$D$15,IF(Evalucion!BN13=Datos!$C$16,Datos!$D$16,IF(Evalucion!BN13=Datos!$C$17,Datos!$D$17,IF(Evalucion!BN13=Datos!$C$18,Datos!$D$18,IF(Evalucion!BN13=Datos!$C$19,Datos!$D$19,"=")))))</f>
        <v>5</v>
      </c>
      <c r="BN15">
        <f>IF(Evalucion!BO13=Datos!$C$15,Datos!$D$15,IF(Evalucion!BO13=Datos!$C$16,Datos!$D$16,IF(Evalucion!BO13=Datos!$C$17,Datos!$D$17,IF(Evalucion!BO13=Datos!$C$18,Datos!$D$18,IF(Evalucion!BO13=Datos!$C$19,Datos!$D$19,"=")))))</f>
        <v>5</v>
      </c>
      <c r="BO15">
        <f>IF(Evalucion!BP13=Datos!$C$15,Datos!$D$15,IF(Evalucion!BP13=Datos!$C$16,Datos!$D$16,IF(Evalucion!BP13=Datos!$C$17,Datos!$D$17,IF(Evalucion!BP13=Datos!$C$18,Datos!$D$18,IF(Evalucion!BP13=Datos!$C$19,Datos!$D$19,"=")))))</f>
        <v>5</v>
      </c>
      <c r="BP15">
        <f>IF(Evalucion!BQ13=Datos!$C$15,Datos!$D$15,IF(Evalucion!BQ13=Datos!$C$16,Datos!$D$16,IF(Evalucion!BQ13=Datos!$C$17,Datos!$D$17,IF(Evalucion!BQ13=Datos!$C$18,Datos!$D$18,IF(Evalucion!BQ13=Datos!$C$19,Datos!$D$19,"=")))))</f>
        <v>5</v>
      </c>
      <c r="BQ15">
        <f>IF(Evalucion!BR13=Datos!$C$15,Datos!$D$15,IF(Evalucion!BR13=Datos!$C$16,Datos!$D$16,IF(Evalucion!BR13=Datos!$C$17,Datos!$D$17,IF(Evalucion!BR13=Datos!$C$18,Datos!$D$18,IF(Evalucion!BR13=Datos!$C$19,Datos!$D$19,"=")))))</f>
        <v>5</v>
      </c>
      <c r="BR15">
        <f>IF(Evalucion!BS13=Datos!$C$15,Datos!$D$15,IF(Evalucion!BS13=Datos!$C$16,Datos!$D$16,IF(Evalucion!BS13=Datos!$C$17,Datos!$D$17,IF(Evalucion!BS13=Datos!$C$18,Datos!$D$18,IF(Evalucion!BS13=Datos!$C$19,Datos!$D$19,"=")))))</f>
        <v>5</v>
      </c>
      <c r="BS15">
        <f>IF(Evalucion!BT13=Datos!$C$15,Datos!$D$15,IF(Evalucion!BT13=Datos!$C$16,Datos!$D$16,IF(Evalucion!BT13=Datos!$C$17,Datos!$D$17,IF(Evalucion!BT13=Datos!$C$18,Datos!$D$18,IF(Evalucion!BT13=Datos!$C$19,Datos!$D$19,"=")))))</f>
        <v>5</v>
      </c>
      <c r="BT15">
        <f>IF(Evalucion!BU13=Datos!$C$15,Datos!$D$15,IF(Evalucion!BU13=Datos!$C$16,Datos!$D$16,IF(Evalucion!BU13=Datos!$C$17,Datos!$D$17,IF(Evalucion!BU13=Datos!$C$18,Datos!$D$18,IF(Evalucion!BU13=Datos!$C$19,Datos!$D$19,"=")))))</f>
        <v>5</v>
      </c>
      <c r="BU15">
        <f>IF(Evalucion!BV13=Datos!$C$15,Datos!$D$15,IF(Evalucion!BV13=Datos!$C$16,Datos!$D$16,IF(Evalucion!BV13=Datos!$C$17,Datos!$D$17,IF(Evalucion!BV13=Datos!$C$18,Datos!$D$18,IF(Evalucion!BV13=Datos!$C$19,Datos!$D$19,"=")))))</f>
        <v>3</v>
      </c>
      <c r="BV15">
        <f>IF(Evalucion!BW13=Datos!$C$15,Datos!$D$15,IF(Evalucion!BW13=Datos!$C$16,Datos!$D$16,IF(Evalucion!BW13=Datos!$C$17,Datos!$D$17,IF(Evalucion!BW13=Datos!$C$18,Datos!$D$18,IF(Evalucion!BW13=Datos!$C$19,Datos!$D$19,"=")))))</f>
        <v>5</v>
      </c>
      <c r="BW15">
        <f>IF(Evalucion!BX13=Datos!$C$15,Datos!$D$15,IF(Evalucion!BX13=Datos!$C$16,Datos!$D$16,IF(Evalucion!BX13=Datos!$C$17,Datos!$D$17,IF(Evalucion!BX13=Datos!$C$18,Datos!$D$18,IF(Evalucion!BX13=Datos!$C$19,Datos!$D$19,"=")))))</f>
        <v>5</v>
      </c>
      <c r="BX15">
        <f>IF(Evalucion!BY13=Datos!$C$15,Datos!$D$15,IF(Evalucion!BY13=Datos!$C$16,Datos!$D$16,IF(Evalucion!BY13=Datos!$C$17,Datos!$D$17,IF(Evalucion!BY13=Datos!$C$18,Datos!$D$18,IF(Evalucion!BY13=Datos!$C$19,Datos!$D$19,"=")))))</f>
        <v>5</v>
      </c>
      <c r="BY15">
        <f>IF(Evalucion!BZ13=Datos!$C$15,Datos!$D$15,IF(Evalucion!BZ13=Datos!$C$16,Datos!$D$16,IF(Evalucion!BZ13=Datos!$C$17,Datos!$D$17,IF(Evalucion!BZ13=Datos!$C$18,Datos!$D$18,IF(Evalucion!BZ13=Datos!$C$19,Datos!$D$19,"=")))))</f>
        <v>5</v>
      </c>
      <c r="BZ15">
        <f>IF(Evalucion!CA13=Datos!$C$15,Datos!$D$15,IF(Evalucion!CA13=Datos!$C$16,Datos!$D$16,IF(Evalucion!CA13=Datos!$C$17,Datos!$D$17,IF(Evalucion!CA13=Datos!$C$18,Datos!$D$18,IF(Evalucion!CA13=Datos!$C$19,Datos!$D$19,"=")))))</f>
        <v>5</v>
      </c>
      <c r="CA15">
        <f>IF(Evalucion!CB13=Datos!$C$15,Datos!$D$15,IF(Evalucion!CB13=Datos!$C$16,Datos!$D$16,IF(Evalucion!CB13=Datos!$C$17,Datos!$D$17,IF(Evalucion!CB13=Datos!$C$18,Datos!$D$18,IF(Evalucion!CB13=Datos!$C$19,Datos!$D$19,"=")))))</f>
        <v>5</v>
      </c>
      <c r="CB15">
        <f>IF(Evalucion!CC13=Datos!$C$15,Datos!$D$15,IF(Evalucion!CC13=Datos!$C$16,Datos!$D$16,IF(Evalucion!CC13=Datos!$C$17,Datos!$D$17,IF(Evalucion!CC13=Datos!$C$18,Datos!$D$18,IF(Evalucion!CC13=Datos!$C$19,Datos!$D$19,"=")))))</f>
        <v>5</v>
      </c>
      <c r="CC15">
        <f>IF(Evalucion!CD13=Datos!$C$15,Datos!$D$15,IF(Evalucion!CD13=Datos!$C$16,Datos!$D$16,IF(Evalucion!CD13=Datos!$C$17,Datos!$D$17,IF(Evalucion!CD13=Datos!$C$18,Datos!$D$18,IF(Evalucion!CD13=Datos!$C$19,Datos!$D$19,"=")))))</f>
        <v>5</v>
      </c>
      <c r="CD15">
        <f>IF(Evalucion!CE13=Datos!$C$15,Datos!$D$15,IF(Evalucion!CE13=Datos!$C$16,Datos!$D$16,IF(Evalucion!CE13=Datos!$C$17,Datos!$D$17,IF(Evalucion!CE13=Datos!$C$18,Datos!$D$18,IF(Evalucion!CE13=Datos!$C$19,Datos!$D$19,"=")))))</f>
        <v>5</v>
      </c>
      <c r="CE15">
        <f>IF(Evalucion!CF13=Datos!$C$15,Datos!$D$15,IF(Evalucion!CF13=Datos!$C$16,Datos!$D$16,IF(Evalucion!CF13=Datos!$C$17,Datos!$D$17,IF(Evalucion!CF13=Datos!$C$18,Datos!$D$18,IF(Evalucion!CF13=Datos!$C$19,Datos!$D$19,"=")))))</f>
        <v>3</v>
      </c>
      <c r="CF15">
        <f>IF(Evalucion!CG13=Datos!$C$15,Datos!$D$15,IF(Evalucion!CG13=Datos!$C$16,Datos!$D$16,IF(Evalucion!CG13=Datos!$C$17,Datos!$D$17,IF(Evalucion!CG13=Datos!$C$18,Datos!$D$18,IF(Evalucion!CG13=Datos!$C$19,Datos!$D$19,"=")))))</f>
        <v>5</v>
      </c>
      <c r="CG15">
        <f>IF(Evalucion!CH13=Datos!$C$15,Datos!$D$15,IF(Evalucion!CH13=Datos!$C$16,Datos!$D$16,IF(Evalucion!CH13=Datos!$C$17,Datos!$D$17,IF(Evalucion!CH13=Datos!$C$18,Datos!$D$18,IF(Evalucion!CH13=Datos!$C$19,Datos!$D$19,"=")))))</f>
        <v>3</v>
      </c>
      <c r="CH15">
        <f>IF(Evalucion!CI13=Datos!$C$15,Datos!$D$15,IF(Evalucion!CI13=Datos!$C$16,Datos!$D$16,IF(Evalucion!CI13=Datos!$C$17,Datos!$D$17,IF(Evalucion!CI13=Datos!$C$18,Datos!$D$18,IF(Evalucion!CI13=Datos!$C$19,Datos!$D$19,"=")))))</f>
        <v>5</v>
      </c>
      <c r="CI15">
        <f>IF(Evalucion!CJ13=Datos!$C$15,Datos!$D$15,IF(Evalucion!CJ13=Datos!$C$16,Datos!$D$16,IF(Evalucion!CJ13=Datos!$C$17,Datos!$D$17,IF(Evalucion!CJ13=Datos!$C$18,Datos!$D$18,IF(Evalucion!CJ13=Datos!$C$19,Datos!$D$19,"=")))))</f>
        <v>3</v>
      </c>
      <c r="CJ15">
        <f>IF(Evalucion!CK13=Datos!$C$15,Datos!$D$15,IF(Evalucion!CK13=Datos!$C$16,Datos!$D$16,IF(Evalucion!CK13=Datos!$C$17,Datos!$D$17,IF(Evalucion!CK13=Datos!$C$18,Datos!$D$18,IF(Evalucion!CK13=Datos!$C$19,Datos!$D$19,"=")))))</f>
        <v>5</v>
      </c>
      <c r="CK15">
        <f>IF(Evalucion!CL13=Datos!$C$15,Datos!$D$15,IF(Evalucion!CL13=Datos!$C$16,Datos!$D$16,IF(Evalucion!CL13=Datos!$C$17,Datos!$D$17,IF(Evalucion!CL13=Datos!$C$18,Datos!$D$18,IF(Evalucion!CL13=Datos!$C$19,Datos!$D$19,"=")))))</f>
        <v>5</v>
      </c>
      <c r="CL15">
        <f>IF(Evalucion!CM13=Datos!$C$15,Datos!$D$15,IF(Evalucion!CM13=Datos!$C$16,Datos!$D$16,IF(Evalucion!CM13=Datos!$C$17,Datos!$D$17,IF(Evalucion!CM13=Datos!$C$18,Datos!$D$18,IF(Evalucion!CM13=Datos!$C$19,Datos!$D$19,"=")))))</f>
        <v>5</v>
      </c>
      <c r="CM15">
        <f>IF(Evalucion!CN13=Datos!$C$15,Datos!$D$15,IF(Evalucion!CN13=Datos!$C$16,Datos!$D$16,IF(Evalucion!CN13=Datos!$C$17,Datos!$D$17,IF(Evalucion!CN13=Datos!$C$18,Datos!$D$18,IF(Evalucion!CN13=Datos!$C$19,Datos!$D$19,"=")))))</f>
        <v>5</v>
      </c>
      <c r="CN15">
        <f>IF(Evalucion!CO13=Datos!$C$15,Datos!$D$15,IF(Evalucion!CO13=Datos!$C$16,Datos!$D$16,IF(Evalucion!CO13=Datos!$C$17,Datos!$D$17,IF(Evalucion!CO13=Datos!$C$18,Datos!$D$18,IF(Evalucion!CO13=Datos!$C$19,Datos!$D$19,"=")))))</f>
        <v>5</v>
      </c>
      <c r="CO15">
        <f>IF(Evalucion!CP13=Datos!$C$15,Datos!$D$15,IF(Evalucion!CP13=Datos!$C$16,Datos!$D$16,IF(Evalucion!CP13=Datos!$C$17,Datos!$D$17,IF(Evalucion!CP13=Datos!$C$18,Datos!$D$18,IF(Evalucion!CP13=Datos!$C$19,Datos!$D$19,"=")))))</f>
        <v>5</v>
      </c>
      <c r="CP15">
        <f>IF(Evalucion!CQ13=Datos!$C$15,Datos!$D$15,IF(Evalucion!CQ13=Datos!$C$16,Datos!$D$16,IF(Evalucion!CQ13=Datos!$C$17,Datos!$D$17,IF(Evalucion!CQ13=Datos!$C$18,Datos!$D$18,IF(Evalucion!CQ13=Datos!$C$19,Datos!$D$19,"=")))))</f>
        <v>5</v>
      </c>
      <c r="CQ15">
        <f>IF(Evalucion!CR13=Datos!$C$15,Datos!$D$15,IF(Evalucion!CR13=Datos!$C$16,Datos!$D$16,IF(Evalucion!CR13=Datos!$C$17,Datos!$D$17,IF(Evalucion!CR13=Datos!$C$18,Datos!$D$18,IF(Evalucion!CR13=Datos!$C$19,Datos!$D$19,"=")))))</f>
        <v>3</v>
      </c>
      <c r="CR15">
        <f>IF(Evalucion!CS13=Datos!$C$15,Datos!$D$15,IF(Evalucion!CS13=Datos!$C$16,Datos!$D$16,IF(Evalucion!CS13=Datos!$C$17,Datos!$D$17,IF(Evalucion!CS13=Datos!$C$18,Datos!$D$18,IF(Evalucion!CS13=Datos!$C$19,Datos!$D$19,"=")))))</f>
        <v>5</v>
      </c>
      <c r="CS15">
        <f>IF(Evalucion!CT13=Datos!$C$15,Datos!$D$15,IF(Evalucion!CT13=Datos!$C$16,Datos!$D$16,IF(Evalucion!CT13=Datos!$C$17,Datos!$D$17,IF(Evalucion!CT13=Datos!$C$18,Datos!$D$18,IF(Evalucion!CT13=Datos!$C$19,Datos!$D$19,"=")))))</f>
        <v>3</v>
      </c>
      <c r="CT15">
        <f>IF(Evalucion!CU13=Datos!$C$15,Datos!$D$15,IF(Evalucion!CU13=Datos!$C$16,Datos!$D$16,IF(Evalucion!CU13=Datos!$C$17,Datos!$D$17,IF(Evalucion!CU13=Datos!$C$18,Datos!$D$18,IF(Evalucion!CU13=Datos!$C$19,Datos!$D$19,"=")))))</f>
        <v>5</v>
      </c>
      <c r="CU15">
        <f>IF(Evalucion!CV13=Datos!$C$15,Datos!$D$15,IF(Evalucion!CV13=Datos!$C$16,Datos!$D$16,IF(Evalucion!CV13=Datos!$C$17,Datos!$D$17,IF(Evalucion!CV13=Datos!$C$18,Datos!$D$18,IF(Evalucion!CV13=Datos!$C$19,Datos!$D$19,"=")))))</f>
        <v>3</v>
      </c>
      <c r="CV15">
        <f>IF(Evalucion!CW13=Datos!$C$15,Datos!$D$15,IF(Evalucion!CW13=Datos!$C$16,Datos!$D$16,IF(Evalucion!CW13=Datos!$C$17,Datos!$D$17,IF(Evalucion!CW13=Datos!$C$18,Datos!$D$18,IF(Evalucion!CW13=Datos!$C$19,Datos!$D$19,"=")))))</f>
        <v>5</v>
      </c>
      <c r="CW15">
        <f>IF(Evalucion!CX13=Datos!$C$15,Datos!$D$15,IF(Evalucion!CX13=Datos!$C$16,Datos!$D$16,IF(Evalucion!CX13=Datos!$C$17,Datos!$D$17,IF(Evalucion!CX13=Datos!$C$18,Datos!$D$18,IF(Evalucion!CX13=Datos!$C$19,Datos!$D$19,"=")))))</f>
        <v>5</v>
      </c>
      <c r="CX15">
        <f>IF(Evalucion!CY13=Datos!$C$15,Datos!$D$15,IF(Evalucion!CY13=Datos!$C$16,Datos!$D$16,IF(Evalucion!CY13=Datos!$C$17,Datos!$D$17,IF(Evalucion!CY13=Datos!$C$18,Datos!$D$18,IF(Evalucion!CY13=Datos!$C$19,Datos!$D$19,"=")))))</f>
        <v>5</v>
      </c>
      <c r="CY15">
        <f>IF(Evalucion!CZ13=Datos!$C$15,Datos!$D$15,IF(Evalucion!CZ13=Datos!$C$16,Datos!$D$16,IF(Evalucion!CZ13=Datos!$C$17,Datos!$D$17,IF(Evalucion!CZ13=Datos!$C$18,Datos!$D$18,IF(Evalucion!CZ13=Datos!$C$19,Datos!$D$19,"=")))))</f>
        <v>5</v>
      </c>
      <c r="CZ15">
        <f>IF(Evalucion!DA13=Datos!$C$15,Datos!$D$15,IF(Evalucion!DA13=Datos!$C$16,Datos!$D$16,IF(Evalucion!DA13=Datos!$C$17,Datos!$D$17,IF(Evalucion!DA13=Datos!$C$18,Datos!$D$18,IF(Evalucion!DA13=Datos!$C$19,Datos!$D$19,"=")))))</f>
        <v>5</v>
      </c>
      <c r="DA15">
        <f>IF(Evalucion!DB13=Datos!$C$15,Datos!$D$15,IF(Evalucion!DB13=Datos!$C$16,Datos!$D$16,IF(Evalucion!DB13=Datos!$C$17,Datos!$D$17,IF(Evalucion!DB13=Datos!$C$18,Datos!$D$18,IF(Evalucion!DB13=Datos!$C$19,Datos!$D$19,"=")))))</f>
        <v>3</v>
      </c>
      <c r="DB15">
        <f>IF(Evalucion!DC13=Datos!$C$15,Datos!$D$15,IF(Evalucion!DC13=Datos!$C$16,Datos!$D$16,IF(Evalucion!DC13=Datos!$C$17,Datos!$D$17,IF(Evalucion!DC13=Datos!$C$18,Datos!$D$18,IF(Evalucion!DC13=Datos!$C$19,Datos!$D$19,"=")))))</f>
        <v>5</v>
      </c>
      <c r="DC15">
        <f>IF(Evalucion!DD13=Datos!$C$15,Datos!$D$15,IF(Evalucion!DD13=Datos!$C$16,Datos!$D$16,IF(Evalucion!DD13=Datos!$C$17,Datos!$D$17,IF(Evalucion!DD13=Datos!$C$18,Datos!$D$18,IF(Evalucion!DD13=Datos!$C$19,Datos!$D$19,"=")))))</f>
        <v>5</v>
      </c>
      <c r="DD15">
        <f>IF(Evalucion!DE13=Datos!$C$15,Datos!$D$15,IF(Evalucion!DE13=Datos!$C$16,Datos!$D$16,IF(Evalucion!DE13=Datos!$C$17,Datos!$D$17,IF(Evalucion!DE13=Datos!$C$18,Datos!$D$18,IF(Evalucion!DE13=Datos!$C$19,Datos!$D$19,"=")))))</f>
        <v>1</v>
      </c>
      <c r="DE15">
        <f>IF(Evalucion!DF13=Datos!$C$15,Datos!$D$15,IF(Evalucion!DF13=Datos!$C$16,Datos!$D$16,IF(Evalucion!DF13=Datos!$C$17,Datos!$D$17,IF(Evalucion!DF13=Datos!$C$18,Datos!$D$18,IF(Evalucion!DF13=Datos!$C$19,Datos!$D$19,"=")))))</f>
        <v>1</v>
      </c>
      <c r="DF15">
        <f>IF(Evalucion!DG13=Datos!$C$15,Datos!$D$15,IF(Evalucion!DG13=Datos!$C$16,Datos!$D$16,IF(Evalucion!DG13=Datos!$C$17,Datos!$D$17,IF(Evalucion!DG13=Datos!$C$18,Datos!$D$18,IF(Evalucion!DG13=Datos!$C$19,Datos!$D$19,"=")))))</f>
        <v>5</v>
      </c>
      <c r="DG15">
        <f>IF(Evalucion!DH13=Datos!$C$15,Datos!$D$15,IF(Evalucion!DH13=Datos!$C$16,Datos!$D$16,IF(Evalucion!DH13=Datos!$C$17,Datos!$D$17,IF(Evalucion!DH13=Datos!$C$18,Datos!$D$18,IF(Evalucion!DH13=Datos!$C$19,Datos!$D$19,"=")))))</f>
        <v>5</v>
      </c>
      <c r="DH15">
        <f>IF(Evalucion!DI13=Datos!$C$15,Datos!$D$15,IF(Evalucion!DI13=Datos!$C$16,Datos!$D$16,IF(Evalucion!DI13=Datos!$C$17,Datos!$D$17,IF(Evalucion!DI13=Datos!$C$18,Datos!$D$18,IF(Evalucion!DI13=Datos!$C$19,Datos!$D$19,"=")))))</f>
        <v>1</v>
      </c>
      <c r="DI15">
        <f>IF(Evalucion!DJ13=Datos!$C$15,Datos!$D$15,IF(Evalucion!DJ13=Datos!$C$16,Datos!$D$16,IF(Evalucion!DJ13=Datos!$C$17,Datos!$D$17,IF(Evalucion!DJ13=Datos!$C$18,Datos!$D$18,IF(Evalucion!DJ13=Datos!$C$19,Datos!$D$19,"=")))))</f>
        <v>1</v>
      </c>
      <c r="DJ15">
        <f>IF(Evalucion!DK13=Datos!$C$15,Datos!$D$15,IF(Evalucion!DK13=Datos!$C$16,Datos!$D$16,IF(Evalucion!DK13=Datos!$C$17,Datos!$D$17,IF(Evalucion!DK13=Datos!$C$18,Datos!$D$18,IF(Evalucion!DK13=Datos!$C$19,Datos!$D$19,"=")))))</f>
        <v>1</v>
      </c>
      <c r="DK15">
        <f>IF(Evalucion!DL13=Datos!$C$15,Datos!$D$15,IF(Evalucion!DL13=Datos!$C$16,Datos!$D$16,IF(Evalucion!DL13=Datos!$C$17,Datos!$D$17,IF(Evalucion!DL13=Datos!$C$18,Datos!$D$18,IF(Evalucion!DL13=Datos!$C$19,Datos!$D$19,"=")))))</f>
        <v>1</v>
      </c>
      <c r="DL15">
        <f>IF(Evalucion!DM13=Datos!$C$15,Datos!$D$15,IF(Evalucion!DM13=Datos!$C$16,Datos!$D$16,IF(Evalucion!DM13=Datos!$C$17,Datos!$D$17,IF(Evalucion!DM13=Datos!$C$18,Datos!$D$18,IF(Evalucion!DM13=Datos!$C$19,Datos!$D$19,"=")))))</f>
        <v>5</v>
      </c>
      <c r="DM15">
        <f>IF(Evalucion!DN13=Datos!$C$15,Datos!$D$15,IF(Evalucion!DN13=Datos!$C$16,Datos!$D$16,IF(Evalucion!DN13=Datos!$C$17,Datos!$D$17,IF(Evalucion!DN13=Datos!$C$18,Datos!$D$18,IF(Evalucion!DN13=Datos!$C$19,Datos!$D$19,"=")))))</f>
        <v>3</v>
      </c>
      <c r="DN15">
        <f>IF(Evalucion!DO13=Datos!$C$15,Datos!$D$15,IF(Evalucion!DO13=Datos!$C$16,Datos!$D$16,IF(Evalucion!DO13=Datos!$C$17,Datos!$D$17,IF(Evalucion!DO13=Datos!$C$18,Datos!$D$18,IF(Evalucion!DO13=Datos!$C$19,Datos!$D$19,"=")))))</f>
        <v>5</v>
      </c>
      <c r="DO15">
        <f>IF(Evalucion!DP13=Datos!$C$15,Datos!$D$15,IF(Evalucion!DP13=Datos!$C$16,Datos!$D$16,IF(Evalucion!DP13=Datos!$C$17,Datos!$D$17,IF(Evalucion!DP13=Datos!$C$18,Datos!$D$18,IF(Evalucion!DP13=Datos!$C$19,Datos!$D$19,"=")))))</f>
        <v>5</v>
      </c>
      <c r="DP15">
        <f>IF(Evalucion!DQ13=Datos!$C$15,Datos!$D$15,IF(Evalucion!DQ13=Datos!$C$16,Datos!$D$16,IF(Evalucion!DQ13=Datos!$C$17,Datos!$D$17,IF(Evalucion!DQ13=Datos!$C$18,Datos!$D$18,IF(Evalucion!DQ13=Datos!$C$19,Datos!$D$19,"=")))))</f>
        <v>5</v>
      </c>
      <c r="DQ15">
        <f>IF(Evalucion!DR13=Datos!$C$15,Datos!$D$15,IF(Evalucion!DR13=Datos!$C$16,Datos!$D$16,IF(Evalucion!DR13=Datos!$C$17,Datos!$D$17,IF(Evalucion!DR13=Datos!$C$18,Datos!$D$18,IF(Evalucion!DR13=Datos!$C$19,Datos!$D$19,"=")))))</f>
        <v>3</v>
      </c>
      <c r="DR15">
        <f>IF(Evalucion!DS13=Datos!$C$15,Datos!$D$15,IF(Evalucion!DS13=Datos!$C$16,Datos!$D$16,IF(Evalucion!DS13=Datos!$C$17,Datos!$D$17,IF(Evalucion!DS13=Datos!$C$18,Datos!$D$18,IF(Evalucion!DS13=Datos!$C$19,Datos!$D$19,"=")))))</f>
        <v>5</v>
      </c>
      <c r="DS15">
        <f>IF(Evalucion!DT13=Datos!$C$15,Datos!$D$15,IF(Evalucion!DT13=Datos!$C$16,Datos!$D$16,IF(Evalucion!DT13=Datos!$C$17,Datos!$D$17,IF(Evalucion!DT13=Datos!$C$18,Datos!$D$18,IF(Evalucion!DT13=Datos!$C$19,Datos!$D$19,"=")))))</f>
        <v>3</v>
      </c>
      <c r="DT15">
        <f>IF(Evalucion!DU13=Datos!$C$15,Datos!$D$15,IF(Evalucion!DU13=Datos!$C$16,Datos!$D$16,IF(Evalucion!DU13=Datos!$C$17,Datos!$D$17,IF(Evalucion!DU13=Datos!$C$18,Datos!$D$18,IF(Evalucion!DU13=Datos!$C$19,Datos!$D$19,"=")))))</f>
        <v>5</v>
      </c>
      <c r="DU15">
        <f>IF(Evalucion!DV13=Datos!$C$15,Datos!$D$15,IF(Evalucion!DV13=Datos!$C$16,Datos!$D$16,IF(Evalucion!DV13=Datos!$C$17,Datos!$D$17,IF(Evalucion!DV13=Datos!$C$18,Datos!$D$18,IF(Evalucion!DV13=Datos!$C$19,Datos!$D$19,"=")))))</f>
        <v>3</v>
      </c>
      <c r="DV15">
        <f>IF(Evalucion!DW13=Datos!$C$15,Datos!$D$15,IF(Evalucion!DW13=Datos!$C$16,Datos!$D$16,IF(Evalucion!DW13=Datos!$C$17,Datos!$D$17,IF(Evalucion!DW13=Datos!$C$18,Datos!$D$18,IF(Evalucion!DW13=Datos!$C$19,Datos!$D$19,"=")))))</f>
        <v>5</v>
      </c>
      <c r="DW15">
        <f>IF(Evalucion!DX13=Datos!$C$15,Datos!$D$15,IF(Evalucion!DX13=Datos!$C$16,Datos!$D$16,IF(Evalucion!DX13=Datos!$C$17,Datos!$D$17,IF(Evalucion!DX13=Datos!$C$18,Datos!$D$18,IF(Evalucion!DX13=Datos!$C$19,Datos!$D$19,"=")))))</f>
        <v>3</v>
      </c>
      <c r="DX15">
        <f>IF(Evalucion!DY13=Datos!$C$15,Datos!$D$15,IF(Evalucion!DY13=Datos!$C$16,Datos!$D$16,IF(Evalucion!DY13=Datos!$C$17,Datos!$D$17,IF(Evalucion!DY13=Datos!$C$18,Datos!$D$18,IF(Evalucion!DY13=Datos!$C$19,Datos!$D$19,"=")))))</f>
        <v>5</v>
      </c>
      <c r="DY15">
        <f>IF(Evalucion!DZ13=Datos!$C$15,Datos!$D$15,IF(Evalucion!DZ13=Datos!$C$16,Datos!$D$16,IF(Evalucion!DZ13=Datos!$C$17,Datos!$D$17,IF(Evalucion!DZ13=Datos!$C$18,Datos!$D$18,IF(Evalucion!DZ13=Datos!$C$19,Datos!$D$19,"=")))))</f>
        <v>3</v>
      </c>
      <c r="DZ15">
        <f>IF(Evalucion!EA13=Datos!$C$15,Datos!$D$15,IF(Evalucion!EA13=Datos!$C$16,Datos!$D$16,IF(Evalucion!EA13=Datos!$C$17,Datos!$D$17,IF(Evalucion!EA13=Datos!$C$18,Datos!$D$18,IF(Evalucion!EA13=Datos!$C$19,Datos!$D$19,"=")))))</f>
        <v>5</v>
      </c>
      <c r="EA15">
        <f>IF(Evalucion!EB13=Datos!$C$15,Datos!$D$15,IF(Evalucion!EB13=Datos!$C$16,Datos!$D$16,IF(Evalucion!EB13=Datos!$C$17,Datos!$D$17,IF(Evalucion!EB13=Datos!$C$18,Datos!$D$18,IF(Evalucion!EB13=Datos!$C$19,Datos!$D$19,"=")))))</f>
        <v>5</v>
      </c>
      <c r="EB15">
        <f>IF(Evalucion!EC13=Datos!$C$15,Datos!$D$15,IF(Evalucion!EC13=Datos!$C$16,Datos!$D$16,IF(Evalucion!EC13=Datos!$C$17,Datos!$D$17,IF(Evalucion!EC13=Datos!$C$18,Datos!$D$18,IF(Evalucion!EC13=Datos!$C$19,Datos!$D$19,"=")))))</f>
        <v>5</v>
      </c>
      <c r="EC15">
        <f>IF(Evalucion!ED13=Datos!$C$15,Datos!$D$15,IF(Evalucion!ED13=Datos!$C$16,Datos!$D$16,IF(Evalucion!ED13=Datos!$C$17,Datos!$D$17,IF(Evalucion!ED13=Datos!$C$18,Datos!$D$18,IF(Evalucion!ED13=Datos!$C$19,Datos!$D$19,"=")))))</f>
        <v>3</v>
      </c>
      <c r="ED15">
        <f>IF(Evalucion!EE13=Datos!$C$15,Datos!$D$15,IF(Evalucion!EE13=Datos!$C$16,Datos!$D$16,IF(Evalucion!EE13=Datos!$C$17,Datos!$D$17,IF(Evalucion!EE13=Datos!$C$18,Datos!$D$18,IF(Evalucion!EE13=Datos!$C$19,Datos!$D$19,"=")))))</f>
        <v>5</v>
      </c>
      <c r="EE15">
        <f>IF(Evalucion!EF13=Datos!$C$15,Datos!$D$15,IF(Evalucion!EF13=Datos!$C$16,Datos!$D$16,IF(Evalucion!EF13=Datos!$C$17,Datos!$D$17,IF(Evalucion!EF13=Datos!$C$18,Datos!$D$18,IF(Evalucion!EF13=Datos!$C$19,Datos!$D$19,"=")))))</f>
        <v>5</v>
      </c>
      <c r="EF15">
        <f>IF(Evalucion!EG13=Datos!$C$15,Datos!$D$15,IF(Evalucion!EG13=Datos!$C$16,Datos!$D$16,IF(Evalucion!EG13=Datos!$C$17,Datos!$D$17,IF(Evalucion!EG13=Datos!$C$18,Datos!$D$18,IF(Evalucion!EG13=Datos!$C$19,Datos!$D$19,"=")))))</f>
        <v>1</v>
      </c>
      <c r="EG15">
        <f>IF(Evalucion!EH13=Datos!$C$15,Datos!$D$15,IF(Evalucion!EH13=Datos!$C$16,Datos!$D$16,IF(Evalucion!EH13=Datos!$C$17,Datos!$D$17,IF(Evalucion!EH13=Datos!$C$18,Datos!$D$18,IF(Evalucion!EH13=Datos!$C$19,Datos!$D$19,"=")))))</f>
        <v>1</v>
      </c>
      <c r="EH15">
        <f>IF(Evalucion!EI13=Datos!$C$15,Datos!$D$15,IF(Evalucion!EI13=Datos!$C$16,Datos!$D$16,IF(Evalucion!EI13=Datos!$C$17,Datos!$D$17,IF(Evalucion!EI13=Datos!$C$18,Datos!$D$18,IF(Evalucion!EI13=Datos!$C$19,Datos!$D$19,"=")))))</f>
        <v>1</v>
      </c>
      <c r="EI15">
        <f>IF(Evalucion!EJ13=Datos!$C$15,Datos!$D$15,IF(Evalucion!EJ13=Datos!$C$16,Datos!$D$16,IF(Evalucion!EJ13=Datos!$C$17,Datos!$D$17,IF(Evalucion!EJ13=Datos!$C$18,Datos!$D$18,IF(Evalucion!EJ13=Datos!$C$19,Datos!$D$19,"=")))))</f>
        <v>1</v>
      </c>
      <c r="EJ15">
        <f>IF(Evalucion!EK13=Datos!$C$15,Datos!$D$15,IF(Evalucion!EK13=Datos!$C$16,Datos!$D$16,IF(Evalucion!EK13=Datos!$C$17,Datos!$D$17,IF(Evalucion!EK13=Datos!$C$18,Datos!$D$18,IF(Evalucion!EK13=Datos!$C$19,Datos!$D$19,"=")))))</f>
        <v>1</v>
      </c>
      <c r="EK15">
        <f>IF(Evalucion!EL13=Datos!$C$15,Datos!$D$15,IF(Evalucion!EL13=Datos!$C$16,Datos!$D$16,IF(Evalucion!EL13=Datos!$C$17,Datos!$D$17,IF(Evalucion!EL13=Datos!$C$18,Datos!$D$18,IF(Evalucion!EL13=Datos!$C$19,Datos!$D$19,"=")))))</f>
        <v>1</v>
      </c>
      <c r="EL15">
        <f>IF(Evalucion!EM13=Datos!$C$15,Datos!$D$15,IF(Evalucion!EM13=Datos!$C$16,Datos!$D$16,IF(Evalucion!EM13=Datos!$C$17,Datos!$D$17,IF(Evalucion!EM13=Datos!$C$18,Datos!$D$18,IF(Evalucion!EM13=Datos!$C$19,Datos!$D$19,"=")))))</f>
        <v>1</v>
      </c>
      <c r="EM15">
        <f>IF(Evalucion!EN13=Datos!$C$15,Datos!$D$15,IF(Evalucion!EN13=Datos!$C$16,Datos!$D$16,IF(Evalucion!EN13=Datos!$C$17,Datos!$D$17,IF(Evalucion!EN13=Datos!$C$18,Datos!$D$18,IF(Evalucion!EN13=Datos!$C$19,Datos!$D$19,"=")))))</f>
        <v>1</v>
      </c>
      <c r="EN15">
        <f>IF(Evalucion!EO13=Datos!$C$15,Datos!$D$15,IF(Evalucion!EO13=Datos!$C$16,Datos!$D$16,IF(Evalucion!EO13=Datos!$C$17,Datos!$D$17,IF(Evalucion!EO13=Datos!$C$18,Datos!$D$18,IF(Evalucion!EO13=Datos!$C$19,Datos!$D$19,"=")))))</f>
        <v>1</v>
      </c>
      <c r="EO15">
        <f>IF(Evalucion!EP13=Datos!$C$15,Datos!$D$15,IF(Evalucion!EP13=Datos!$C$16,Datos!$D$16,IF(Evalucion!EP13=Datos!$C$17,Datos!$D$17,IF(Evalucion!EP13=Datos!$C$18,Datos!$D$18,IF(Evalucion!EP13=Datos!$C$19,Datos!$D$19,"=")))))</f>
        <v>1</v>
      </c>
      <c r="EP15">
        <f>IF(Evalucion!EQ13=Datos!$C$15,Datos!$D$15,IF(Evalucion!EQ13=Datos!$C$16,Datos!$D$16,IF(Evalucion!EQ13=Datos!$C$17,Datos!$D$17,IF(Evalucion!EQ13=Datos!$C$18,Datos!$D$18,IF(Evalucion!EQ13=Datos!$C$19,Datos!$D$19,"=")))))</f>
        <v>1</v>
      </c>
      <c r="EQ15">
        <f>IF(Evalucion!ER13=Datos!$C$15,Datos!$D$15,IF(Evalucion!ER13=Datos!$C$16,Datos!$D$16,IF(Evalucion!ER13=Datos!$C$17,Datos!$D$17,IF(Evalucion!ER13=Datos!$C$18,Datos!$D$18,IF(Evalucion!ER13=Datos!$C$19,Datos!$D$19,"=")))))</f>
        <v>1</v>
      </c>
      <c r="ER15">
        <f>IF(Evalucion!ES13=Datos!$C$15,Datos!$D$15,IF(Evalucion!ES13=Datos!$C$16,Datos!$D$16,IF(Evalucion!ES13=Datos!$C$17,Datos!$D$17,IF(Evalucion!ES13=Datos!$C$18,Datos!$D$18,IF(Evalucion!ES13=Datos!$C$19,Datos!$D$19,"=")))))</f>
        <v>5</v>
      </c>
      <c r="ES15">
        <f>IF(Evalucion!ET13=Datos!$C$15,Datos!$D$15,IF(Evalucion!ET13=Datos!$C$16,Datos!$D$16,IF(Evalucion!ET13=Datos!$C$17,Datos!$D$17,IF(Evalucion!ET13=Datos!$C$18,Datos!$D$18,IF(Evalucion!ET13=Datos!$C$19,Datos!$D$19,"=")))))</f>
        <v>5</v>
      </c>
      <c r="ET15">
        <f>IF(Evalucion!EU13=Datos!$C$15,Datos!$D$15,IF(Evalucion!EU13=Datos!$C$16,Datos!$D$16,IF(Evalucion!EU13=Datos!$C$17,Datos!$D$17,IF(Evalucion!EU13=Datos!$C$18,Datos!$D$18,IF(Evalucion!EU13=Datos!$C$19,Datos!$D$19,"=")))))</f>
        <v>5</v>
      </c>
      <c r="EU15">
        <f>IF(Evalucion!EV13=Datos!$C$15,Datos!$D$15,IF(Evalucion!EV13=Datos!$C$16,Datos!$D$16,IF(Evalucion!EV13=Datos!$C$17,Datos!$D$17,IF(Evalucion!EV13=Datos!$C$18,Datos!$D$18,IF(Evalucion!EV13=Datos!$C$19,Datos!$D$19,"=")))))</f>
        <v>3</v>
      </c>
      <c r="EV15">
        <f>IF(Evalucion!EW13=Datos!$C$15,Datos!$D$15,IF(Evalucion!EW13=Datos!$C$16,Datos!$D$16,IF(Evalucion!EW13=Datos!$C$17,Datos!$D$17,IF(Evalucion!EW13=Datos!$C$18,Datos!$D$18,IF(Evalucion!EW13=Datos!$C$19,Datos!$D$19,"=")))))</f>
        <v>5</v>
      </c>
      <c r="EW15">
        <f>IF(Evalucion!EX13=Datos!$C$15,Datos!$D$15,IF(Evalucion!EX13=Datos!$C$16,Datos!$D$16,IF(Evalucion!EX13=Datos!$C$17,Datos!$D$17,IF(Evalucion!EX13=Datos!$C$18,Datos!$D$18,IF(Evalucion!EX13=Datos!$C$19,Datos!$D$19,"=")))))</f>
        <v>5</v>
      </c>
      <c r="EX15">
        <f>IF(Evalucion!EY13=Datos!$C$15,Datos!$D$15,IF(Evalucion!EY13=Datos!$C$16,Datos!$D$16,IF(Evalucion!EY13=Datos!$C$17,Datos!$D$17,IF(Evalucion!EY13=Datos!$C$18,Datos!$D$18,IF(Evalucion!EY13=Datos!$C$19,Datos!$D$19,"=")))))</f>
        <v>5</v>
      </c>
      <c r="EY15">
        <f>IF(Evalucion!EZ13=Datos!$C$15,Datos!$D$15,IF(Evalucion!EZ13=Datos!$C$16,Datos!$D$16,IF(Evalucion!EZ13=Datos!$C$17,Datos!$D$17,IF(Evalucion!EZ13=Datos!$C$18,Datos!$D$18,IF(Evalucion!EZ13=Datos!$C$19,Datos!$D$19,"=")))))</f>
        <v>3</v>
      </c>
      <c r="FA15">
        <f t="shared" si="3"/>
        <v>307</v>
      </c>
      <c r="FB15">
        <f t="shared" si="3"/>
        <v>251</v>
      </c>
      <c r="FC15" s="3">
        <f t="shared" si="4"/>
        <v>0.66933333333333334</v>
      </c>
      <c r="FD15" t="str">
        <f t="shared" si="0"/>
        <v>Conf_CR</v>
      </c>
      <c r="FF15">
        <f t="shared" si="5"/>
        <v>558</v>
      </c>
      <c r="FG15">
        <f t="shared" si="6"/>
        <v>0</v>
      </c>
    </row>
    <row r="16" spans="1:167" x14ac:dyDescent="0.2">
      <c r="A16">
        <f t="shared" si="7"/>
        <v>13</v>
      </c>
      <c r="B16" t="s">
        <v>257</v>
      </c>
      <c r="C16" t="s">
        <v>194</v>
      </c>
      <c r="D16" s="1">
        <v>43236</v>
      </c>
      <c r="E16">
        <f>IF(Evalucion!F14=Datos!$C$15,Datos!$D$15,IF(Evalucion!F14=Datos!$C$16,Datos!$D$16,IF(Evalucion!F14=Datos!$C$17,Datos!$D$17,IF(Evalucion!F14=Datos!$C$18,Datos!$D$18,IF(Evalucion!F14=Datos!$C$19,Datos!$D$19,"=")))))</f>
        <v>5</v>
      </c>
      <c r="F16">
        <f>IF(Evalucion!G14=Datos!$C$15,Datos!$D$15,IF(Evalucion!G14=Datos!$C$16,Datos!$D$16,IF(Evalucion!G14=Datos!$C$17,Datos!$D$17,IF(Evalucion!G14=Datos!$C$18,Datos!$D$18,IF(Evalucion!G14=Datos!$C$19,Datos!$D$19,"=")))))</f>
        <v>5</v>
      </c>
      <c r="G16">
        <f>IF(Evalucion!H14=Datos!$C$15,Datos!$D$15,IF(Evalucion!H14=Datos!$C$16,Datos!$D$16,IF(Evalucion!H14=Datos!$C$17,Datos!$D$17,IF(Evalucion!H14=Datos!$C$18,Datos!$D$18,IF(Evalucion!H14=Datos!$C$19,Datos!$D$19,"=")))))</f>
        <v>5</v>
      </c>
      <c r="H16">
        <f>IF(Evalucion!I14=Datos!$C$15,Datos!$D$15,IF(Evalucion!I14=Datos!$C$16,Datos!$D$16,IF(Evalucion!I14=Datos!$C$17,Datos!$D$17,IF(Evalucion!I14=Datos!$C$18,Datos!$D$18,IF(Evalucion!I14=Datos!$C$19,Datos!$D$19,"=")))))</f>
        <v>1</v>
      </c>
      <c r="I16">
        <f>IF(Evalucion!J14=Datos!$C$15,Datos!$D$15,IF(Evalucion!J14=Datos!$C$16,Datos!$D$16,IF(Evalucion!J14=Datos!$C$17,Datos!$D$17,IF(Evalucion!J14=Datos!$C$18,Datos!$D$18,IF(Evalucion!J14=Datos!$C$19,Datos!$D$19,"=")))))</f>
        <v>1</v>
      </c>
      <c r="J16">
        <f>IF(Evalucion!K14=Datos!$C$15,Datos!$D$15,IF(Evalucion!K14=Datos!$C$16,Datos!$D$16,IF(Evalucion!K14=Datos!$C$17,Datos!$D$17,IF(Evalucion!K14=Datos!$C$18,Datos!$D$18,IF(Evalucion!K14=Datos!$C$19,Datos!$D$19,"=")))))</f>
        <v>5</v>
      </c>
      <c r="K16">
        <f>IF(Evalucion!L14=Datos!$C$15,Datos!$D$15,IF(Evalucion!L14=Datos!$C$16,Datos!$D$16,IF(Evalucion!L14=Datos!$C$17,Datos!$D$17,IF(Evalucion!L14=Datos!$C$18,Datos!$D$18,IF(Evalucion!L14=Datos!$C$19,Datos!$D$19,"=")))))</f>
        <v>5</v>
      </c>
      <c r="L16">
        <f>IF(Evalucion!M14=Datos!$C$15,Datos!$D$15,IF(Evalucion!M14=Datos!$C$16,Datos!$D$16,IF(Evalucion!M14=Datos!$C$17,Datos!$D$17,IF(Evalucion!M14=Datos!$C$18,Datos!$D$18,IF(Evalucion!M14=Datos!$C$19,Datos!$D$19,"=")))))</f>
        <v>3</v>
      </c>
      <c r="M16">
        <f>IF(Evalucion!N14=Datos!$C$15,Datos!$D$15,IF(Evalucion!N14=Datos!$C$16,Datos!$D$16,IF(Evalucion!N14=Datos!$C$17,Datos!$D$17,IF(Evalucion!N14=Datos!$C$18,Datos!$D$18,IF(Evalucion!N14=Datos!$C$19,Datos!$D$19,"=")))))</f>
        <v>5</v>
      </c>
      <c r="N16">
        <f>IF(Evalucion!O14=Datos!$C$15,Datos!$D$15,IF(Evalucion!O14=Datos!$C$16,Datos!$D$16,IF(Evalucion!O14=Datos!$C$17,Datos!$D$17,IF(Evalucion!O14=Datos!$C$18,Datos!$D$18,IF(Evalucion!O14=Datos!$C$19,Datos!$D$19,"=")))))</f>
        <v>5</v>
      </c>
      <c r="O16">
        <f>IF(Evalucion!P14=Datos!$C$15,Datos!$D$15,IF(Evalucion!P14=Datos!$C$16,Datos!$D$16,IF(Evalucion!P14=Datos!$C$17,Datos!$D$17,IF(Evalucion!P14=Datos!$C$18,Datos!$D$18,IF(Evalucion!P14=Datos!$C$19,Datos!$D$19,"=")))))</f>
        <v>5</v>
      </c>
      <c r="P16">
        <f>IF(Evalucion!Q14=Datos!$C$15,Datos!$D$15,IF(Evalucion!Q14=Datos!$C$16,Datos!$D$16,IF(Evalucion!Q14=Datos!$C$17,Datos!$D$17,IF(Evalucion!Q14=Datos!$C$18,Datos!$D$18,IF(Evalucion!Q14=Datos!$C$19,Datos!$D$19,"=")))))</f>
        <v>5</v>
      </c>
      <c r="Q16">
        <f>IF(Evalucion!R14=Datos!$C$15,Datos!$D$15,IF(Evalucion!R14=Datos!$C$16,Datos!$D$16,IF(Evalucion!R14=Datos!$C$17,Datos!$D$17,IF(Evalucion!R14=Datos!$C$18,Datos!$D$18,IF(Evalucion!R14=Datos!$C$19,Datos!$D$19,"=")))))</f>
        <v>5</v>
      </c>
      <c r="R16">
        <f>IF(Evalucion!S14=Datos!$C$15,Datos!$D$15,IF(Evalucion!S14=Datos!$C$16,Datos!$D$16,IF(Evalucion!S14=Datos!$C$17,Datos!$D$17,IF(Evalucion!S14=Datos!$C$18,Datos!$D$18,IF(Evalucion!S14=Datos!$C$19,Datos!$D$19,"=")))))</f>
        <v>5</v>
      </c>
      <c r="S16">
        <f>IF(Evalucion!T14=Datos!$C$15,Datos!$D$15,IF(Evalucion!T14=Datos!$C$16,Datos!$D$16,IF(Evalucion!T14=Datos!$C$17,Datos!$D$17,IF(Evalucion!T14=Datos!$C$18,Datos!$D$18,IF(Evalucion!T14=Datos!$C$19,Datos!$D$19,"=")))))</f>
        <v>1</v>
      </c>
      <c r="T16">
        <f>IF(Evalucion!U14=Datos!$C$15,Datos!$D$15,IF(Evalucion!U14=Datos!$C$16,Datos!$D$16,IF(Evalucion!U14=Datos!$C$17,Datos!$D$17,IF(Evalucion!U14=Datos!$C$18,Datos!$D$18,IF(Evalucion!U14=Datos!$C$19,Datos!$D$19,"=")))))</f>
        <v>1</v>
      </c>
      <c r="U16">
        <f>IF(Evalucion!V14=Datos!$C$15,Datos!$D$15,IF(Evalucion!V14=Datos!$C$16,Datos!$D$16,IF(Evalucion!V14=Datos!$C$17,Datos!$D$17,IF(Evalucion!V14=Datos!$C$18,Datos!$D$18,IF(Evalucion!V14=Datos!$C$19,Datos!$D$19,"=")))))</f>
        <v>1</v>
      </c>
      <c r="V16">
        <f>IF(Evalucion!W14=Datos!$C$15,Datos!$D$15,IF(Evalucion!W14=Datos!$C$16,Datos!$D$16,IF(Evalucion!W14=Datos!$C$17,Datos!$D$17,IF(Evalucion!W14=Datos!$C$18,Datos!$D$18,IF(Evalucion!W14=Datos!$C$19,Datos!$D$19,"=")))))</f>
        <v>1</v>
      </c>
      <c r="W16">
        <f>IF(Evalucion!X14=Datos!$C$15,Datos!$D$15,IF(Evalucion!X14=Datos!$C$16,Datos!$D$16,IF(Evalucion!X14=Datos!$C$17,Datos!$D$17,IF(Evalucion!X14=Datos!$C$18,Datos!$D$18,IF(Evalucion!X14=Datos!$C$19,Datos!$D$19,"=")))))</f>
        <v>1</v>
      </c>
      <c r="X16">
        <f>IF(Evalucion!Y14=Datos!$C$15,Datos!$D$15,IF(Evalucion!Y14=Datos!$C$16,Datos!$D$16,IF(Evalucion!Y14=Datos!$C$17,Datos!$D$17,IF(Evalucion!Y14=Datos!$C$18,Datos!$D$18,IF(Evalucion!Y14=Datos!$C$19,Datos!$D$19,"=")))))</f>
        <v>1</v>
      </c>
      <c r="Y16">
        <f>IF(Evalucion!Z14=Datos!$C$15,Datos!$D$15,IF(Evalucion!Z14=Datos!$C$16,Datos!$D$16,IF(Evalucion!Z14=Datos!$C$17,Datos!$D$17,IF(Evalucion!Z14=Datos!$C$18,Datos!$D$18,IF(Evalucion!Z14=Datos!$C$19,Datos!$D$19,"=")))))</f>
        <v>1</v>
      </c>
      <c r="Z16">
        <f>IF(Evalucion!AA14=Datos!$C$15,Datos!$D$15,IF(Evalucion!AA14=Datos!$C$16,Datos!$D$16,IF(Evalucion!AA14=Datos!$C$17,Datos!$D$17,IF(Evalucion!AA14=Datos!$C$18,Datos!$D$18,IF(Evalucion!AA14=Datos!$C$19,Datos!$D$19,"=")))))</f>
        <v>1</v>
      </c>
      <c r="AA16">
        <f>IF(Evalucion!AB14=Datos!$C$15,Datos!$D$15,IF(Evalucion!AB14=Datos!$C$16,Datos!$D$16,IF(Evalucion!AB14=Datos!$C$17,Datos!$D$17,IF(Evalucion!AB14=Datos!$C$18,Datos!$D$18,IF(Evalucion!AB14=Datos!$C$19,Datos!$D$19,"=")))))</f>
        <v>1</v>
      </c>
      <c r="AB16">
        <f>IF(Evalucion!AC14=Datos!$C$15,Datos!$D$15,IF(Evalucion!AC14=Datos!$C$16,Datos!$D$16,IF(Evalucion!AC14=Datos!$C$17,Datos!$D$17,IF(Evalucion!AC14=Datos!$C$18,Datos!$D$18,IF(Evalucion!AC14=Datos!$C$19,Datos!$D$19,"=")))))</f>
        <v>1</v>
      </c>
      <c r="AC16">
        <f>IF(Evalucion!AD14=Datos!$C$15,Datos!$D$15,IF(Evalucion!AD14=Datos!$C$16,Datos!$D$16,IF(Evalucion!AD14=Datos!$C$17,Datos!$D$17,IF(Evalucion!AD14=Datos!$C$18,Datos!$D$18,IF(Evalucion!AD14=Datos!$C$19,Datos!$D$19,"=")))))</f>
        <v>5</v>
      </c>
      <c r="AD16">
        <f>IF(Evalucion!AE14=Datos!$C$15,Datos!$D$15,IF(Evalucion!AE14=Datos!$C$16,Datos!$D$16,IF(Evalucion!AE14=Datos!$C$17,Datos!$D$17,IF(Evalucion!AE14=Datos!$C$18,Datos!$D$18,IF(Evalucion!AE14=Datos!$C$19,Datos!$D$19,"=")))))</f>
        <v>5</v>
      </c>
      <c r="AE16">
        <f>IF(Evalucion!AF14=Datos!$C$15,Datos!$D$15,IF(Evalucion!AF14=Datos!$C$16,Datos!$D$16,IF(Evalucion!AF14=Datos!$C$17,Datos!$D$17,IF(Evalucion!AF14=Datos!$C$18,Datos!$D$18,IF(Evalucion!AF14=Datos!$C$19,Datos!$D$19,"=")))))</f>
        <v>5</v>
      </c>
      <c r="AF16">
        <f>IF(Evalucion!AG14=Datos!$C$15,Datos!$D$15,IF(Evalucion!AG14=Datos!$C$16,Datos!$D$16,IF(Evalucion!AG14=Datos!$C$17,Datos!$D$17,IF(Evalucion!AG14=Datos!$C$18,Datos!$D$18,IF(Evalucion!AG14=Datos!$C$19,Datos!$D$19,"=")))))</f>
        <v>5</v>
      </c>
      <c r="AO16">
        <f>IF(Evalucion!AP14=Datos!$C$15,Datos!$D$15,IF(Evalucion!AP14=Datos!$C$16,Datos!$D$16,IF(Evalucion!AP14=Datos!$C$17,Datos!$D$17,IF(Evalucion!AP14=Datos!$C$18,Datos!$D$18,IF(Evalucion!AP14=Datos!$C$19,Datos!$D$19,"=")))))</f>
        <v>5</v>
      </c>
      <c r="AP16">
        <f>IF(Evalucion!AQ14=Datos!$C$15,Datos!$D$15,IF(Evalucion!AQ14=Datos!$C$16,Datos!$D$16,IF(Evalucion!AQ14=Datos!$C$17,Datos!$D$17,IF(Evalucion!AQ14=Datos!$C$18,Datos!$D$18,IF(Evalucion!AQ14=Datos!$C$19,Datos!$D$19,"=")))))</f>
        <v>3</v>
      </c>
      <c r="AQ16">
        <f>IF(Evalucion!AR14=Datos!$C$15,Datos!$D$15,IF(Evalucion!AR14=Datos!$C$16,Datos!$D$16,IF(Evalucion!AR14=Datos!$C$17,Datos!$D$17,IF(Evalucion!AR14=Datos!$C$18,Datos!$D$18,IF(Evalucion!AR14=Datos!$C$19,Datos!$D$19,"=")))))</f>
        <v>1</v>
      </c>
      <c r="AR16">
        <f>IF(Evalucion!AS14=Datos!$C$15,Datos!$D$15,IF(Evalucion!AS14=Datos!$C$16,Datos!$D$16,IF(Evalucion!AS14=Datos!$C$17,Datos!$D$17,IF(Evalucion!AS14=Datos!$C$18,Datos!$D$18,IF(Evalucion!AS14=Datos!$C$19,Datos!$D$19,"=")))))</f>
        <v>1</v>
      </c>
      <c r="AS16">
        <f>IF(Evalucion!AT14=Datos!$C$15,Datos!$D$15,IF(Evalucion!AT14=Datos!$C$16,Datos!$D$16,IF(Evalucion!AT14=Datos!$C$17,Datos!$D$17,IF(Evalucion!AT14=Datos!$C$18,Datos!$D$18,IF(Evalucion!AT14=Datos!$C$19,Datos!$D$19,"=")))))</f>
        <v>5</v>
      </c>
      <c r="AT16">
        <f>IF(Evalucion!AU14=Datos!$C$15,Datos!$D$15,IF(Evalucion!AU14=Datos!$C$16,Datos!$D$16,IF(Evalucion!AU14=Datos!$C$17,Datos!$D$17,IF(Evalucion!AU14=Datos!$C$18,Datos!$D$18,IF(Evalucion!AU14=Datos!$C$19,Datos!$D$19,"=")))))</f>
        <v>3</v>
      </c>
      <c r="AV16">
        <f>IF(Evalucion!AW14=Datos!$C$15,Datos!$D$15,IF(Evalucion!AW14=Datos!$C$16,Datos!$D$16,IF(Evalucion!AW14=Datos!$C$17,Datos!$D$17,IF(Evalucion!AW14=Datos!$C$18,Datos!$D$18,IF(Evalucion!AW14=Datos!$C$19,Datos!$D$19,"=")))))</f>
        <v>5</v>
      </c>
      <c r="AW16">
        <f>IF(Evalucion!AX14=Datos!$C$15,Datos!$D$15,IF(Evalucion!AX14=Datos!$C$16,Datos!$D$16,IF(Evalucion!AX14=Datos!$C$17,Datos!$D$17,IF(Evalucion!AX14=Datos!$C$18,Datos!$D$18,IF(Evalucion!AX14=Datos!$C$19,Datos!$D$19,"=")))))</f>
        <v>1</v>
      </c>
      <c r="AX16">
        <f>IF(Evalucion!AY14=Datos!$C$15,Datos!$D$15,IF(Evalucion!AY14=Datos!$C$16,Datos!$D$16,IF(Evalucion!AY14=Datos!$C$17,Datos!$D$17,IF(Evalucion!AY14=Datos!$C$18,Datos!$D$18,IF(Evalucion!AY14=Datos!$C$19,Datos!$D$19,"=")))))</f>
        <v>5</v>
      </c>
      <c r="AY16">
        <f>IF(Evalucion!AZ14=Datos!$C$15,Datos!$D$15,IF(Evalucion!AZ14=Datos!$C$16,Datos!$D$16,IF(Evalucion!AZ14=Datos!$C$17,Datos!$D$17,IF(Evalucion!AZ14=Datos!$C$18,Datos!$D$18,IF(Evalucion!AZ14=Datos!$C$19,Datos!$D$19,"=")))))</f>
        <v>5</v>
      </c>
      <c r="AZ16">
        <f>IF(Evalucion!BA14=Datos!$C$15,Datos!$D$15,IF(Evalucion!BA14=Datos!$C$16,Datos!$D$16,IF(Evalucion!BA14=Datos!$C$17,Datos!$D$17,IF(Evalucion!BA14=Datos!$C$18,Datos!$D$18,IF(Evalucion!BA14=Datos!$C$19,Datos!$D$19,"=")))))</f>
        <v>5</v>
      </c>
      <c r="BA16">
        <f>IF(Evalucion!BB14=Datos!$C$15,Datos!$D$15,IF(Evalucion!BB14=Datos!$C$16,Datos!$D$16,IF(Evalucion!BB14=Datos!$C$17,Datos!$D$17,IF(Evalucion!BB14=Datos!$C$18,Datos!$D$18,IF(Evalucion!BB14=Datos!$C$19,Datos!$D$19,"=")))))</f>
        <v>5</v>
      </c>
      <c r="BB16">
        <f>IF(Evalucion!BC14=Datos!$C$15,Datos!$D$15,IF(Evalucion!BC14=Datos!$C$16,Datos!$D$16,IF(Evalucion!BC14=Datos!$C$17,Datos!$D$17,IF(Evalucion!BC14=Datos!$C$18,Datos!$D$18,IF(Evalucion!BC14=Datos!$C$19,Datos!$D$19,"=")))))</f>
        <v>5</v>
      </c>
      <c r="BC16">
        <f>IF(Evalucion!BD14=Datos!$C$15,Datos!$D$15,IF(Evalucion!BD14=Datos!$C$16,Datos!$D$16,IF(Evalucion!BD14=Datos!$C$17,Datos!$D$17,IF(Evalucion!BD14=Datos!$C$18,Datos!$D$18,IF(Evalucion!BD14=Datos!$C$19,Datos!$D$19,"=")))))</f>
        <v>1</v>
      </c>
      <c r="BD16">
        <f>IF(Evalucion!BE14=Datos!$C$15,Datos!$D$15,IF(Evalucion!BE14=Datos!$C$16,Datos!$D$16,IF(Evalucion!BE14=Datos!$C$17,Datos!$D$17,IF(Evalucion!BE14=Datos!$C$18,Datos!$D$18,IF(Evalucion!BE14=Datos!$C$19,Datos!$D$19,"=")))))</f>
        <v>5</v>
      </c>
      <c r="BE16">
        <f>IF(Evalucion!BF14=Datos!$C$15,Datos!$D$15,IF(Evalucion!BF14=Datos!$C$16,Datos!$D$16,IF(Evalucion!BF14=Datos!$C$17,Datos!$D$17,IF(Evalucion!BF14=Datos!$C$18,Datos!$D$18,IF(Evalucion!BF14=Datos!$C$19,Datos!$D$19,"=")))))</f>
        <v>3</v>
      </c>
      <c r="BF16">
        <f>IF(Evalucion!BG14=Datos!$C$15,Datos!$D$15,IF(Evalucion!BG14=Datos!$C$16,Datos!$D$16,IF(Evalucion!BG14=Datos!$C$17,Datos!$D$17,IF(Evalucion!BG14=Datos!$C$18,Datos!$D$18,IF(Evalucion!BG14=Datos!$C$19,Datos!$D$19,"=")))))</f>
        <v>5</v>
      </c>
      <c r="BG16">
        <f>IF(Evalucion!BH14=Datos!$C$15,Datos!$D$15,IF(Evalucion!BH14=Datos!$C$16,Datos!$D$16,IF(Evalucion!BH14=Datos!$C$17,Datos!$D$17,IF(Evalucion!BH14=Datos!$C$18,Datos!$D$18,IF(Evalucion!BH14=Datos!$C$19,Datos!$D$19,"=")))))</f>
        <v>5</v>
      </c>
      <c r="BH16">
        <f>IF(Evalucion!BI14=Datos!$C$15,Datos!$D$15,IF(Evalucion!BI14=Datos!$C$16,Datos!$D$16,IF(Evalucion!BI14=Datos!$C$17,Datos!$D$17,IF(Evalucion!BI14=Datos!$C$18,Datos!$D$18,IF(Evalucion!BI14=Datos!$C$19,Datos!$D$19,"=")))))</f>
        <v>5</v>
      </c>
      <c r="BI16">
        <f>IF(Evalucion!BJ14=Datos!$C$15,Datos!$D$15,IF(Evalucion!BJ14=Datos!$C$16,Datos!$D$16,IF(Evalucion!BJ14=Datos!$C$17,Datos!$D$17,IF(Evalucion!BJ14=Datos!$C$18,Datos!$D$18,IF(Evalucion!BJ14=Datos!$C$19,Datos!$D$19,"=")))))</f>
        <v>5</v>
      </c>
      <c r="BJ16">
        <f>IF(Evalucion!BK14=Datos!$C$15,Datos!$D$15,IF(Evalucion!BK14=Datos!$C$16,Datos!$D$16,IF(Evalucion!BK14=Datos!$C$17,Datos!$D$17,IF(Evalucion!BK14=Datos!$C$18,Datos!$D$18,IF(Evalucion!BK14=Datos!$C$19,Datos!$D$19,"=")))))</f>
        <v>5</v>
      </c>
      <c r="BK16">
        <f>IF(Evalucion!BL14=Datos!$C$15,Datos!$D$15,IF(Evalucion!BL14=Datos!$C$16,Datos!$D$16,IF(Evalucion!BL14=Datos!$C$17,Datos!$D$17,IF(Evalucion!BL14=Datos!$C$18,Datos!$D$18,IF(Evalucion!BL14=Datos!$C$19,Datos!$D$19,"=")))))</f>
        <v>5</v>
      </c>
      <c r="BL16">
        <f>IF(Evalucion!BM14=Datos!$C$15,Datos!$D$15,IF(Evalucion!BM14=Datos!$C$16,Datos!$D$16,IF(Evalucion!BM14=Datos!$C$17,Datos!$D$17,IF(Evalucion!BM14=Datos!$C$18,Datos!$D$18,IF(Evalucion!BM14=Datos!$C$19,Datos!$D$19,"=")))))</f>
        <v>5</v>
      </c>
      <c r="BM16">
        <f>IF(Evalucion!BN14=Datos!$C$15,Datos!$D$15,IF(Evalucion!BN14=Datos!$C$16,Datos!$D$16,IF(Evalucion!BN14=Datos!$C$17,Datos!$D$17,IF(Evalucion!BN14=Datos!$C$18,Datos!$D$18,IF(Evalucion!BN14=Datos!$C$19,Datos!$D$19,"=")))))</f>
        <v>5</v>
      </c>
      <c r="BN16">
        <f>IF(Evalucion!BO14=Datos!$C$15,Datos!$D$15,IF(Evalucion!BO14=Datos!$C$16,Datos!$D$16,IF(Evalucion!BO14=Datos!$C$17,Datos!$D$17,IF(Evalucion!BO14=Datos!$C$18,Datos!$D$18,IF(Evalucion!BO14=Datos!$C$19,Datos!$D$19,"=")))))</f>
        <v>5</v>
      </c>
      <c r="BO16">
        <f>IF(Evalucion!BP14=Datos!$C$15,Datos!$D$15,IF(Evalucion!BP14=Datos!$C$16,Datos!$D$16,IF(Evalucion!BP14=Datos!$C$17,Datos!$D$17,IF(Evalucion!BP14=Datos!$C$18,Datos!$D$18,IF(Evalucion!BP14=Datos!$C$19,Datos!$D$19,"=")))))</f>
        <v>5</v>
      </c>
      <c r="BP16">
        <f>IF(Evalucion!BQ14=Datos!$C$15,Datos!$D$15,IF(Evalucion!BQ14=Datos!$C$16,Datos!$D$16,IF(Evalucion!BQ14=Datos!$C$17,Datos!$D$17,IF(Evalucion!BQ14=Datos!$C$18,Datos!$D$18,IF(Evalucion!BQ14=Datos!$C$19,Datos!$D$19,"=")))))</f>
        <v>5</v>
      </c>
      <c r="BQ16">
        <f>IF(Evalucion!BR14=Datos!$C$15,Datos!$D$15,IF(Evalucion!BR14=Datos!$C$16,Datos!$D$16,IF(Evalucion!BR14=Datos!$C$17,Datos!$D$17,IF(Evalucion!BR14=Datos!$C$18,Datos!$D$18,IF(Evalucion!BR14=Datos!$C$19,Datos!$D$19,"=")))))</f>
        <v>3</v>
      </c>
      <c r="BR16">
        <f>IF(Evalucion!BS14=Datos!$C$15,Datos!$D$15,IF(Evalucion!BS14=Datos!$C$16,Datos!$D$16,IF(Evalucion!BS14=Datos!$C$17,Datos!$D$17,IF(Evalucion!BS14=Datos!$C$18,Datos!$D$18,IF(Evalucion!BS14=Datos!$C$19,Datos!$D$19,"=")))))</f>
        <v>5</v>
      </c>
      <c r="BS16">
        <f>IF(Evalucion!BT14=Datos!$C$15,Datos!$D$15,IF(Evalucion!BT14=Datos!$C$16,Datos!$D$16,IF(Evalucion!BT14=Datos!$C$17,Datos!$D$17,IF(Evalucion!BT14=Datos!$C$18,Datos!$D$18,IF(Evalucion!BT14=Datos!$C$19,Datos!$D$19,"=")))))</f>
        <v>3</v>
      </c>
      <c r="BT16">
        <f>IF(Evalucion!BU14=Datos!$C$15,Datos!$D$15,IF(Evalucion!BU14=Datos!$C$16,Datos!$D$16,IF(Evalucion!BU14=Datos!$C$17,Datos!$D$17,IF(Evalucion!BU14=Datos!$C$18,Datos!$D$18,IF(Evalucion!BU14=Datos!$C$19,Datos!$D$19,"=")))))</f>
        <v>5</v>
      </c>
      <c r="BU16">
        <f>IF(Evalucion!BV14=Datos!$C$15,Datos!$D$15,IF(Evalucion!BV14=Datos!$C$16,Datos!$D$16,IF(Evalucion!BV14=Datos!$C$17,Datos!$D$17,IF(Evalucion!BV14=Datos!$C$18,Datos!$D$18,IF(Evalucion!BV14=Datos!$C$19,Datos!$D$19,"=")))))</f>
        <v>3</v>
      </c>
      <c r="BV16">
        <f>IF(Evalucion!BW14=Datos!$C$15,Datos!$D$15,IF(Evalucion!BW14=Datos!$C$16,Datos!$D$16,IF(Evalucion!BW14=Datos!$C$17,Datos!$D$17,IF(Evalucion!BW14=Datos!$C$18,Datos!$D$18,IF(Evalucion!BW14=Datos!$C$19,Datos!$D$19,"=")))))</f>
        <v>5</v>
      </c>
      <c r="BW16">
        <f>IF(Evalucion!BX14=Datos!$C$15,Datos!$D$15,IF(Evalucion!BX14=Datos!$C$16,Datos!$D$16,IF(Evalucion!BX14=Datos!$C$17,Datos!$D$17,IF(Evalucion!BX14=Datos!$C$18,Datos!$D$18,IF(Evalucion!BX14=Datos!$C$19,Datos!$D$19,"=")))))</f>
        <v>5</v>
      </c>
      <c r="BX16">
        <f>IF(Evalucion!BY14=Datos!$C$15,Datos!$D$15,IF(Evalucion!BY14=Datos!$C$16,Datos!$D$16,IF(Evalucion!BY14=Datos!$C$17,Datos!$D$17,IF(Evalucion!BY14=Datos!$C$18,Datos!$D$18,IF(Evalucion!BY14=Datos!$C$19,Datos!$D$19,"=")))))</f>
        <v>5</v>
      </c>
      <c r="BY16">
        <f>IF(Evalucion!BZ14=Datos!$C$15,Datos!$D$15,IF(Evalucion!BZ14=Datos!$C$16,Datos!$D$16,IF(Evalucion!BZ14=Datos!$C$17,Datos!$D$17,IF(Evalucion!BZ14=Datos!$C$18,Datos!$D$18,IF(Evalucion!BZ14=Datos!$C$19,Datos!$D$19,"=")))))</f>
        <v>5</v>
      </c>
      <c r="BZ16">
        <f>IF(Evalucion!CA14=Datos!$C$15,Datos!$D$15,IF(Evalucion!CA14=Datos!$C$16,Datos!$D$16,IF(Evalucion!CA14=Datos!$C$17,Datos!$D$17,IF(Evalucion!CA14=Datos!$C$18,Datos!$D$18,IF(Evalucion!CA14=Datos!$C$19,Datos!$D$19,"=")))))</f>
        <v>5</v>
      </c>
      <c r="CA16">
        <f>IF(Evalucion!CB14=Datos!$C$15,Datos!$D$15,IF(Evalucion!CB14=Datos!$C$16,Datos!$D$16,IF(Evalucion!CB14=Datos!$C$17,Datos!$D$17,IF(Evalucion!CB14=Datos!$C$18,Datos!$D$18,IF(Evalucion!CB14=Datos!$C$19,Datos!$D$19,"=")))))</f>
        <v>5</v>
      </c>
      <c r="CB16">
        <f>IF(Evalucion!CC14=Datos!$C$15,Datos!$D$15,IF(Evalucion!CC14=Datos!$C$16,Datos!$D$16,IF(Evalucion!CC14=Datos!$C$17,Datos!$D$17,IF(Evalucion!CC14=Datos!$C$18,Datos!$D$18,IF(Evalucion!CC14=Datos!$C$19,Datos!$D$19,"=")))))</f>
        <v>5</v>
      </c>
      <c r="CC16">
        <f>IF(Evalucion!CD14=Datos!$C$15,Datos!$D$15,IF(Evalucion!CD14=Datos!$C$16,Datos!$D$16,IF(Evalucion!CD14=Datos!$C$17,Datos!$D$17,IF(Evalucion!CD14=Datos!$C$18,Datos!$D$18,IF(Evalucion!CD14=Datos!$C$19,Datos!$D$19,"=")))))</f>
        <v>5</v>
      </c>
      <c r="CD16">
        <f>IF(Evalucion!CE14=Datos!$C$15,Datos!$D$15,IF(Evalucion!CE14=Datos!$C$16,Datos!$D$16,IF(Evalucion!CE14=Datos!$C$17,Datos!$D$17,IF(Evalucion!CE14=Datos!$C$18,Datos!$D$18,IF(Evalucion!CE14=Datos!$C$19,Datos!$D$19,"=")))))</f>
        <v>5</v>
      </c>
      <c r="CE16">
        <f>IF(Evalucion!CF14=Datos!$C$15,Datos!$D$15,IF(Evalucion!CF14=Datos!$C$16,Datos!$D$16,IF(Evalucion!CF14=Datos!$C$17,Datos!$D$17,IF(Evalucion!CF14=Datos!$C$18,Datos!$D$18,IF(Evalucion!CF14=Datos!$C$19,Datos!$D$19,"=")))))</f>
        <v>3</v>
      </c>
      <c r="CF16">
        <f>IF(Evalucion!CG14=Datos!$C$15,Datos!$D$15,IF(Evalucion!CG14=Datos!$C$16,Datos!$D$16,IF(Evalucion!CG14=Datos!$C$17,Datos!$D$17,IF(Evalucion!CG14=Datos!$C$18,Datos!$D$18,IF(Evalucion!CG14=Datos!$C$19,Datos!$D$19,"=")))))</f>
        <v>5</v>
      </c>
      <c r="CG16">
        <f>IF(Evalucion!CH14=Datos!$C$15,Datos!$D$15,IF(Evalucion!CH14=Datos!$C$16,Datos!$D$16,IF(Evalucion!CH14=Datos!$C$17,Datos!$D$17,IF(Evalucion!CH14=Datos!$C$18,Datos!$D$18,IF(Evalucion!CH14=Datos!$C$19,Datos!$D$19,"=")))))</f>
        <v>3</v>
      </c>
      <c r="CH16">
        <f>IF(Evalucion!CI14=Datos!$C$15,Datos!$D$15,IF(Evalucion!CI14=Datos!$C$16,Datos!$D$16,IF(Evalucion!CI14=Datos!$C$17,Datos!$D$17,IF(Evalucion!CI14=Datos!$C$18,Datos!$D$18,IF(Evalucion!CI14=Datos!$C$19,Datos!$D$19,"=")))))</f>
        <v>5</v>
      </c>
      <c r="CI16">
        <f>IF(Evalucion!CJ14=Datos!$C$15,Datos!$D$15,IF(Evalucion!CJ14=Datos!$C$16,Datos!$D$16,IF(Evalucion!CJ14=Datos!$C$17,Datos!$D$17,IF(Evalucion!CJ14=Datos!$C$18,Datos!$D$18,IF(Evalucion!CJ14=Datos!$C$19,Datos!$D$19,"=")))))</f>
        <v>3</v>
      </c>
      <c r="CJ16">
        <f>IF(Evalucion!CK14=Datos!$C$15,Datos!$D$15,IF(Evalucion!CK14=Datos!$C$16,Datos!$D$16,IF(Evalucion!CK14=Datos!$C$17,Datos!$D$17,IF(Evalucion!CK14=Datos!$C$18,Datos!$D$18,IF(Evalucion!CK14=Datos!$C$19,Datos!$D$19,"=")))))</f>
        <v>5</v>
      </c>
      <c r="CK16">
        <f>IF(Evalucion!CL14=Datos!$C$15,Datos!$D$15,IF(Evalucion!CL14=Datos!$C$16,Datos!$D$16,IF(Evalucion!CL14=Datos!$C$17,Datos!$D$17,IF(Evalucion!CL14=Datos!$C$18,Datos!$D$18,IF(Evalucion!CL14=Datos!$C$19,Datos!$D$19,"=")))))</f>
        <v>5</v>
      </c>
      <c r="CL16">
        <f>IF(Evalucion!CM14=Datos!$C$15,Datos!$D$15,IF(Evalucion!CM14=Datos!$C$16,Datos!$D$16,IF(Evalucion!CM14=Datos!$C$17,Datos!$D$17,IF(Evalucion!CM14=Datos!$C$18,Datos!$D$18,IF(Evalucion!CM14=Datos!$C$19,Datos!$D$19,"=")))))</f>
        <v>5</v>
      </c>
      <c r="CM16">
        <f>IF(Evalucion!CN14=Datos!$C$15,Datos!$D$15,IF(Evalucion!CN14=Datos!$C$16,Datos!$D$16,IF(Evalucion!CN14=Datos!$C$17,Datos!$D$17,IF(Evalucion!CN14=Datos!$C$18,Datos!$D$18,IF(Evalucion!CN14=Datos!$C$19,Datos!$D$19,"=")))))</f>
        <v>5</v>
      </c>
      <c r="CN16">
        <f>IF(Evalucion!CO14=Datos!$C$15,Datos!$D$15,IF(Evalucion!CO14=Datos!$C$16,Datos!$D$16,IF(Evalucion!CO14=Datos!$C$17,Datos!$D$17,IF(Evalucion!CO14=Datos!$C$18,Datos!$D$18,IF(Evalucion!CO14=Datos!$C$19,Datos!$D$19,"=")))))</f>
        <v>5</v>
      </c>
      <c r="CO16">
        <f>IF(Evalucion!CP14=Datos!$C$15,Datos!$D$15,IF(Evalucion!CP14=Datos!$C$16,Datos!$D$16,IF(Evalucion!CP14=Datos!$C$17,Datos!$D$17,IF(Evalucion!CP14=Datos!$C$18,Datos!$D$18,IF(Evalucion!CP14=Datos!$C$19,Datos!$D$19,"=")))))</f>
        <v>5</v>
      </c>
      <c r="CP16">
        <f>IF(Evalucion!CQ14=Datos!$C$15,Datos!$D$15,IF(Evalucion!CQ14=Datos!$C$16,Datos!$D$16,IF(Evalucion!CQ14=Datos!$C$17,Datos!$D$17,IF(Evalucion!CQ14=Datos!$C$18,Datos!$D$18,IF(Evalucion!CQ14=Datos!$C$19,Datos!$D$19,"=")))))</f>
        <v>5</v>
      </c>
      <c r="CQ16">
        <f>IF(Evalucion!CR14=Datos!$C$15,Datos!$D$15,IF(Evalucion!CR14=Datos!$C$16,Datos!$D$16,IF(Evalucion!CR14=Datos!$C$17,Datos!$D$17,IF(Evalucion!CR14=Datos!$C$18,Datos!$D$18,IF(Evalucion!CR14=Datos!$C$19,Datos!$D$19,"=")))))</f>
        <v>3</v>
      </c>
      <c r="CR16">
        <f>IF(Evalucion!CS14=Datos!$C$15,Datos!$D$15,IF(Evalucion!CS14=Datos!$C$16,Datos!$D$16,IF(Evalucion!CS14=Datos!$C$17,Datos!$D$17,IF(Evalucion!CS14=Datos!$C$18,Datos!$D$18,IF(Evalucion!CS14=Datos!$C$19,Datos!$D$19,"=")))))</f>
        <v>5</v>
      </c>
      <c r="CS16">
        <f>IF(Evalucion!CT14=Datos!$C$15,Datos!$D$15,IF(Evalucion!CT14=Datos!$C$16,Datos!$D$16,IF(Evalucion!CT14=Datos!$C$17,Datos!$D$17,IF(Evalucion!CT14=Datos!$C$18,Datos!$D$18,IF(Evalucion!CT14=Datos!$C$19,Datos!$D$19,"=")))))</f>
        <v>5</v>
      </c>
      <c r="CT16">
        <f>IF(Evalucion!CU14=Datos!$C$15,Datos!$D$15,IF(Evalucion!CU14=Datos!$C$16,Datos!$D$16,IF(Evalucion!CU14=Datos!$C$17,Datos!$D$17,IF(Evalucion!CU14=Datos!$C$18,Datos!$D$18,IF(Evalucion!CU14=Datos!$C$19,Datos!$D$19,"=")))))</f>
        <v>5</v>
      </c>
      <c r="CU16">
        <f>IF(Evalucion!CV14=Datos!$C$15,Datos!$D$15,IF(Evalucion!CV14=Datos!$C$16,Datos!$D$16,IF(Evalucion!CV14=Datos!$C$17,Datos!$D$17,IF(Evalucion!CV14=Datos!$C$18,Datos!$D$18,IF(Evalucion!CV14=Datos!$C$19,Datos!$D$19,"=")))))</f>
        <v>5</v>
      </c>
      <c r="CV16">
        <f>IF(Evalucion!CW14=Datos!$C$15,Datos!$D$15,IF(Evalucion!CW14=Datos!$C$16,Datos!$D$16,IF(Evalucion!CW14=Datos!$C$17,Datos!$D$17,IF(Evalucion!CW14=Datos!$C$18,Datos!$D$18,IF(Evalucion!CW14=Datos!$C$19,Datos!$D$19,"=")))))</f>
        <v>5</v>
      </c>
      <c r="CW16">
        <f>IF(Evalucion!CX14=Datos!$C$15,Datos!$D$15,IF(Evalucion!CX14=Datos!$C$16,Datos!$D$16,IF(Evalucion!CX14=Datos!$C$17,Datos!$D$17,IF(Evalucion!CX14=Datos!$C$18,Datos!$D$18,IF(Evalucion!CX14=Datos!$C$19,Datos!$D$19,"=")))))</f>
        <v>5</v>
      </c>
      <c r="CX16">
        <f>IF(Evalucion!CY14=Datos!$C$15,Datos!$D$15,IF(Evalucion!CY14=Datos!$C$16,Datos!$D$16,IF(Evalucion!CY14=Datos!$C$17,Datos!$D$17,IF(Evalucion!CY14=Datos!$C$18,Datos!$D$18,IF(Evalucion!CY14=Datos!$C$19,Datos!$D$19,"=")))))</f>
        <v>5</v>
      </c>
      <c r="CY16">
        <f>IF(Evalucion!CZ14=Datos!$C$15,Datos!$D$15,IF(Evalucion!CZ14=Datos!$C$16,Datos!$D$16,IF(Evalucion!CZ14=Datos!$C$17,Datos!$D$17,IF(Evalucion!CZ14=Datos!$C$18,Datos!$D$18,IF(Evalucion!CZ14=Datos!$C$19,Datos!$D$19,"=")))))</f>
        <v>5</v>
      </c>
      <c r="CZ16">
        <f>IF(Evalucion!DA14=Datos!$C$15,Datos!$D$15,IF(Evalucion!DA14=Datos!$C$16,Datos!$D$16,IF(Evalucion!DA14=Datos!$C$17,Datos!$D$17,IF(Evalucion!DA14=Datos!$C$18,Datos!$D$18,IF(Evalucion!DA14=Datos!$C$19,Datos!$D$19,"=")))))</f>
        <v>5</v>
      </c>
      <c r="DA16">
        <f>IF(Evalucion!DB14=Datos!$C$15,Datos!$D$15,IF(Evalucion!DB14=Datos!$C$16,Datos!$D$16,IF(Evalucion!DB14=Datos!$C$17,Datos!$D$17,IF(Evalucion!DB14=Datos!$C$18,Datos!$D$18,IF(Evalucion!DB14=Datos!$C$19,Datos!$D$19,"=")))))</f>
        <v>3</v>
      </c>
      <c r="DB16">
        <f>IF(Evalucion!DC14=Datos!$C$15,Datos!$D$15,IF(Evalucion!DC14=Datos!$C$16,Datos!$D$16,IF(Evalucion!DC14=Datos!$C$17,Datos!$D$17,IF(Evalucion!DC14=Datos!$C$18,Datos!$D$18,IF(Evalucion!DC14=Datos!$C$19,Datos!$D$19,"=")))))</f>
        <v>5</v>
      </c>
      <c r="DC16">
        <f>IF(Evalucion!DD14=Datos!$C$15,Datos!$D$15,IF(Evalucion!DD14=Datos!$C$16,Datos!$D$16,IF(Evalucion!DD14=Datos!$C$17,Datos!$D$17,IF(Evalucion!DD14=Datos!$C$18,Datos!$D$18,IF(Evalucion!DD14=Datos!$C$19,Datos!$D$19,"=")))))</f>
        <v>5</v>
      </c>
      <c r="DD16">
        <f>IF(Evalucion!DE14=Datos!$C$15,Datos!$D$15,IF(Evalucion!DE14=Datos!$C$16,Datos!$D$16,IF(Evalucion!DE14=Datos!$C$17,Datos!$D$17,IF(Evalucion!DE14=Datos!$C$18,Datos!$D$18,IF(Evalucion!DE14=Datos!$C$19,Datos!$D$19,"=")))))</f>
        <v>1</v>
      </c>
      <c r="DE16">
        <f>IF(Evalucion!DF14=Datos!$C$15,Datos!$D$15,IF(Evalucion!DF14=Datos!$C$16,Datos!$D$16,IF(Evalucion!DF14=Datos!$C$17,Datos!$D$17,IF(Evalucion!DF14=Datos!$C$18,Datos!$D$18,IF(Evalucion!DF14=Datos!$C$19,Datos!$D$19,"=")))))</f>
        <v>1</v>
      </c>
      <c r="DF16">
        <f>IF(Evalucion!DG14=Datos!$C$15,Datos!$D$15,IF(Evalucion!DG14=Datos!$C$16,Datos!$D$16,IF(Evalucion!DG14=Datos!$C$17,Datos!$D$17,IF(Evalucion!DG14=Datos!$C$18,Datos!$D$18,IF(Evalucion!DG14=Datos!$C$19,Datos!$D$19,"=")))))</f>
        <v>5</v>
      </c>
      <c r="DG16">
        <f>IF(Evalucion!DH14=Datos!$C$15,Datos!$D$15,IF(Evalucion!DH14=Datos!$C$16,Datos!$D$16,IF(Evalucion!DH14=Datos!$C$17,Datos!$D$17,IF(Evalucion!DH14=Datos!$C$18,Datos!$D$18,IF(Evalucion!DH14=Datos!$C$19,Datos!$D$19,"=")))))</f>
        <v>5</v>
      </c>
      <c r="DH16">
        <f>IF(Evalucion!DI14=Datos!$C$15,Datos!$D$15,IF(Evalucion!DI14=Datos!$C$16,Datos!$D$16,IF(Evalucion!DI14=Datos!$C$17,Datos!$D$17,IF(Evalucion!DI14=Datos!$C$18,Datos!$D$18,IF(Evalucion!DI14=Datos!$C$19,Datos!$D$19,"=")))))</f>
        <v>1</v>
      </c>
      <c r="DI16">
        <f>IF(Evalucion!DJ14=Datos!$C$15,Datos!$D$15,IF(Evalucion!DJ14=Datos!$C$16,Datos!$D$16,IF(Evalucion!DJ14=Datos!$C$17,Datos!$D$17,IF(Evalucion!DJ14=Datos!$C$18,Datos!$D$18,IF(Evalucion!DJ14=Datos!$C$19,Datos!$D$19,"=")))))</f>
        <v>1</v>
      </c>
      <c r="DJ16">
        <f>IF(Evalucion!DK14=Datos!$C$15,Datos!$D$15,IF(Evalucion!DK14=Datos!$C$16,Datos!$D$16,IF(Evalucion!DK14=Datos!$C$17,Datos!$D$17,IF(Evalucion!DK14=Datos!$C$18,Datos!$D$18,IF(Evalucion!DK14=Datos!$C$19,Datos!$D$19,"=")))))</f>
        <v>1</v>
      </c>
      <c r="DK16">
        <f>IF(Evalucion!DL14=Datos!$C$15,Datos!$D$15,IF(Evalucion!DL14=Datos!$C$16,Datos!$D$16,IF(Evalucion!DL14=Datos!$C$17,Datos!$D$17,IF(Evalucion!DL14=Datos!$C$18,Datos!$D$18,IF(Evalucion!DL14=Datos!$C$19,Datos!$D$19,"=")))))</f>
        <v>1</v>
      </c>
      <c r="DL16">
        <f>IF(Evalucion!DM14=Datos!$C$15,Datos!$D$15,IF(Evalucion!DM14=Datos!$C$16,Datos!$D$16,IF(Evalucion!DM14=Datos!$C$17,Datos!$D$17,IF(Evalucion!DM14=Datos!$C$18,Datos!$D$18,IF(Evalucion!DM14=Datos!$C$19,Datos!$D$19,"=")))))</f>
        <v>5</v>
      </c>
      <c r="DM16">
        <f>IF(Evalucion!DN14=Datos!$C$15,Datos!$D$15,IF(Evalucion!DN14=Datos!$C$16,Datos!$D$16,IF(Evalucion!DN14=Datos!$C$17,Datos!$D$17,IF(Evalucion!DN14=Datos!$C$18,Datos!$D$18,IF(Evalucion!DN14=Datos!$C$19,Datos!$D$19,"=")))))</f>
        <v>3</v>
      </c>
      <c r="DN16">
        <f>IF(Evalucion!DO14=Datos!$C$15,Datos!$D$15,IF(Evalucion!DO14=Datos!$C$16,Datos!$D$16,IF(Evalucion!DO14=Datos!$C$17,Datos!$D$17,IF(Evalucion!DO14=Datos!$C$18,Datos!$D$18,IF(Evalucion!DO14=Datos!$C$19,Datos!$D$19,"=")))))</f>
        <v>5</v>
      </c>
      <c r="DO16">
        <f>IF(Evalucion!DP14=Datos!$C$15,Datos!$D$15,IF(Evalucion!DP14=Datos!$C$16,Datos!$D$16,IF(Evalucion!DP14=Datos!$C$17,Datos!$D$17,IF(Evalucion!DP14=Datos!$C$18,Datos!$D$18,IF(Evalucion!DP14=Datos!$C$19,Datos!$D$19,"=")))))</f>
        <v>5</v>
      </c>
      <c r="DP16">
        <f>IF(Evalucion!DQ14=Datos!$C$15,Datos!$D$15,IF(Evalucion!DQ14=Datos!$C$16,Datos!$D$16,IF(Evalucion!DQ14=Datos!$C$17,Datos!$D$17,IF(Evalucion!DQ14=Datos!$C$18,Datos!$D$18,IF(Evalucion!DQ14=Datos!$C$19,Datos!$D$19,"=")))))</f>
        <v>5</v>
      </c>
      <c r="DQ16">
        <f>IF(Evalucion!DR14=Datos!$C$15,Datos!$D$15,IF(Evalucion!DR14=Datos!$C$16,Datos!$D$16,IF(Evalucion!DR14=Datos!$C$17,Datos!$D$17,IF(Evalucion!DR14=Datos!$C$18,Datos!$D$18,IF(Evalucion!DR14=Datos!$C$19,Datos!$D$19,"=")))))</f>
        <v>3</v>
      </c>
      <c r="DR16">
        <f>IF(Evalucion!DS14=Datos!$C$15,Datos!$D$15,IF(Evalucion!DS14=Datos!$C$16,Datos!$D$16,IF(Evalucion!DS14=Datos!$C$17,Datos!$D$17,IF(Evalucion!DS14=Datos!$C$18,Datos!$D$18,IF(Evalucion!DS14=Datos!$C$19,Datos!$D$19,"=")))))</f>
        <v>5</v>
      </c>
      <c r="DS16">
        <f>IF(Evalucion!DT14=Datos!$C$15,Datos!$D$15,IF(Evalucion!DT14=Datos!$C$16,Datos!$D$16,IF(Evalucion!DT14=Datos!$C$17,Datos!$D$17,IF(Evalucion!DT14=Datos!$C$18,Datos!$D$18,IF(Evalucion!DT14=Datos!$C$19,Datos!$D$19,"=")))))</f>
        <v>3</v>
      </c>
      <c r="DT16">
        <f>IF(Evalucion!DU14=Datos!$C$15,Datos!$D$15,IF(Evalucion!DU14=Datos!$C$16,Datos!$D$16,IF(Evalucion!DU14=Datos!$C$17,Datos!$D$17,IF(Evalucion!DU14=Datos!$C$18,Datos!$D$18,IF(Evalucion!DU14=Datos!$C$19,Datos!$D$19,"=")))))</f>
        <v>5</v>
      </c>
      <c r="DU16">
        <f>IF(Evalucion!DV14=Datos!$C$15,Datos!$D$15,IF(Evalucion!DV14=Datos!$C$16,Datos!$D$16,IF(Evalucion!DV14=Datos!$C$17,Datos!$D$17,IF(Evalucion!DV14=Datos!$C$18,Datos!$D$18,IF(Evalucion!DV14=Datos!$C$19,Datos!$D$19,"=")))))</f>
        <v>3</v>
      </c>
      <c r="DV16">
        <f>IF(Evalucion!DW14=Datos!$C$15,Datos!$D$15,IF(Evalucion!DW14=Datos!$C$16,Datos!$D$16,IF(Evalucion!DW14=Datos!$C$17,Datos!$D$17,IF(Evalucion!DW14=Datos!$C$18,Datos!$D$18,IF(Evalucion!DW14=Datos!$C$19,Datos!$D$19,"=")))))</f>
        <v>5</v>
      </c>
      <c r="DW16">
        <f>IF(Evalucion!DX14=Datos!$C$15,Datos!$D$15,IF(Evalucion!DX14=Datos!$C$16,Datos!$D$16,IF(Evalucion!DX14=Datos!$C$17,Datos!$D$17,IF(Evalucion!DX14=Datos!$C$18,Datos!$D$18,IF(Evalucion!DX14=Datos!$C$19,Datos!$D$19,"=")))))</f>
        <v>3</v>
      </c>
      <c r="DX16">
        <f>IF(Evalucion!DY14=Datos!$C$15,Datos!$D$15,IF(Evalucion!DY14=Datos!$C$16,Datos!$D$16,IF(Evalucion!DY14=Datos!$C$17,Datos!$D$17,IF(Evalucion!DY14=Datos!$C$18,Datos!$D$18,IF(Evalucion!DY14=Datos!$C$19,Datos!$D$19,"=")))))</f>
        <v>5</v>
      </c>
      <c r="DY16">
        <f>IF(Evalucion!DZ14=Datos!$C$15,Datos!$D$15,IF(Evalucion!DZ14=Datos!$C$16,Datos!$D$16,IF(Evalucion!DZ14=Datos!$C$17,Datos!$D$17,IF(Evalucion!DZ14=Datos!$C$18,Datos!$D$18,IF(Evalucion!DZ14=Datos!$C$19,Datos!$D$19,"=")))))</f>
        <v>3</v>
      </c>
      <c r="DZ16">
        <f>IF(Evalucion!EA14=Datos!$C$15,Datos!$D$15,IF(Evalucion!EA14=Datos!$C$16,Datos!$D$16,IF(Evalucion!EA14=Datos!$C$17,Datos!$D$17,IF(Evalucion!EA14=Datos!$C$18,Datos!$D$18,IF(Evalucion!EA14=Datos!$C$19,Datos!$D$19,"=")))))</f>
        <v>5</v>
      </c>
      <c r="EA16">
        <f>IF(Evalucion!EB14=Datos!$C$15,Datos!$D$15,IF(Evalucion!EB14=Datos!$C$16,Datos!$D$16,IF(Evalucion!EB14=Datos!$C$17,Datos!$D$17,IF(Evalucion!EB14=Datos!$C$18,Datos!$D$18,IF(Evalucion!EB14=Datos!$C$19,Datos!$D$19,"=")))))</f>
        <v>5</v>
      </c>
      <c r="EB16">
        <f>IF(Evalucion!EC14=Datos!$C$15,Datos!$D$15,IF(Evalucion!EC14=Datos!$C$16,Datos!$D$16,IF(Evalucion!EC14=Datos!$C$17,Datos!$D$17,IF(Evalucion!EC14=Datos!$C$18,Datos!$D$18,IF(Evalucion!EC14=Datos!$C$19,Datos!$D$19,"=")))))</f>
        <v>5</v>
      </c>
      <c r="EC16">
        <f>IF(Evalucion!ED14=Datos!$C$15,Datos!$D$15,IF(Evalucion!ED14=Datos!$C$16,Datos!$D$16,IF(Evalucion!ED14=Datos!$C$17,Datos!$D$17,IF(Evalucion!ED14=Datos!$C$18,Datos!$D$18,IF(Evalucion!ED14=Datos!$C$19,Datos!$D$19,"=")))))</f>
        <v>3</v>
      </c>
      <c r="ED16">
        <f>IF(Evalucion!EE14=Datos!$C$15,Datos!$D$15,IF(Evalucion!EE14=Datos!$C$16,Datos!$D$16,IF(Evalucion!EE14=Datos!$C$17,Datos!$D$17,IF(Evalucion!EE14=Datos!$C$18,Datos!$D$18,IF(Evalucion!EE14=Datos!$C$19,Datos!$D$19,"=")))))</f>
        <v>5</v>
      </c>
      <c r="EE16">
        <f>IF(Evalucion!EF14=Datos!$C$15,Datos!$D$15,IF(Evalucion!EF14=Datos!$C$16,Datos!$D$16,IF(Evalucion!EF14=Datos!$C$17,Datos!$D$17,IF(Evalucion!EF14=Datos!$C$18,Datos!$D$18,IF(Evalucion!EF14=Datos!$C$19,Datos!$D$19,"=")))))</f>
        <v>5</v>
      </c>
      <c r="EF16">
        <f>IF(Evalucion!EG14=Datos!$C$15,Datos!$D$15,IF(Evalucion!EG14=Datos!$C$16,Datos!$D$16,IF(Evalucion!EG14=Datos!$C$17,Datos!$D$17,IF(Evalucion!EG14=Datos!$C$18,Datos!$D$18,IF(Evalucion!EG14=Datos!$C$19,Datos!$D$19,"=")))))</f>
        <v>1</v>
      </c>
      <c r="EG16">
        <f>IF(Evalucion!EH14=Datos!$C$15,Datos!$D$15,IF(Evalucion!EH14=Datos!$C$16,Datos!$D$16,IF(Evalucion!EH14=Datos!$C$17,Datos!$D$17,IF(Evalucion!EH14=Datos!$C$18,Datos!$D$18,IF(Evalucion!EH14=Datos!$C$19,Datos!$D$19,"=")))))</f>
        <v>1</v>
      </c>
      <c r="EH16">
        <f>IF(Evalucion!EI14=Datos!$C$15,Datos!$D$15,IF(Evalucion!EI14=Datos!$C$16,Datos!$D$16,IF(Evalucion!EI14=Datos!$C$17,Datos!$D$17,IF(Evalucion!EI14=Datos!$C$18,Datos!$D$18,IF(Evalucion!EI14=Datos!$C$19,Datos!$D$19,"=")))))</f>
        <v>1</v>
      </c>
      <c r="EI16">
        <f>IF(Evalucion!EJ14=Datos!$C$15,Datos!$D$15,IF(Evalucion!EJ14=Datos!$C$16,Datos!$D$16,IF(Evalucion!EJ14=Datos!$C$17,Datos!$D$17,IF(Evalucion!EJ14=Datos!$C$18,Datos!$D$18,IF(Evalucion!EJ14=Datos!$C$19,Datos!$D$19,"=")))))</f>
        <v>1</v>
      </c>
      <c r="EJ16">
        <f>IF(Evalucion!EK14=Datos!$C$15,Datos!$D$15,IF(Evalucion!EK14=Datos!$C$16,Datos!$D$16,IF(Evalucion!EK14=Datos!$C$17,Datos!$D$17,IF(Evalucion!EK14=Datos!$C$18,Datos!$D$18,IF(Evalucion!EK14=Datos!$C$19,Datos!$D$19,"=")))))</f>
        <v>1</v>
      </c>
      <c r="EK16">
        <f>IF(Evalucion!EL14=Datos!$C$15,Datos!$D$15,IF(Evalucion!EL14=Datos!$C$16,Datos!$D$16,IF(Evalucion!EL14=Datos!$C$17,Datos!$D$17,IF(Evalucion!EL14=Datos!$C$18,Datos!$D$18,IF(Evalucion!EL14=Datos!$C$19,Datos!$D$19,"=")))))</f>
        <v>1</v>
      </c>
      <c r="EL16">
        <f>IF(Evalucion!EM14=Datos!$C$15,Datos!$D$15,IF(Evalucion!EM14=Datos!$C$16,Datos!$D$16,IF(Evalucion!EM14=Datos!$C$17,Datos!$D$17,IF(Evalucion!EM14=Datos!$C$18,Datos!$D$18,IF(Evalucion!EM14=Datos!$C$19,Datos!$D$19,"=")))))</f>
        <v>1</v>
      </c>
      <c r="EM16">
        <f>IF(Evalucion!EN14=Datos!$C$15,Datos!$D$15,IF(Evalucion!EN14=Datos!$C$16,Datos!$D$16,IF(Evalucion!EN14=Datos!$C$17,Datos!$D$17,IF(Evalucion!EN14=Datos!$C$18,Datos!$D$18,IF(Evalucion!EN14=Datos!$C$19,Datos!$D$19,"=")))))</f>
        <v>1</v>
      </c>
      <c r="EN16">
        <f>IF(Evalucion!EO14=Datos!$C$15,Datos!$D$15,IF(Evalucion!EO14=Datos!$C$16,Datos!$D$16,IF(Evalucion!EO14=Datos!$C$17,Datos!$D$17,IF(Evalucion!EO14=Datos!$C$18,Datos!$D$18,IF(Evalucion!EO14=Datos!$C$19,Datos!$D$19,"=")))))</f>
        <v>1</v>
      </c>
      <c r="EO16">
        <f>IF(Evalucion!EP14=Datos!$C$15,Datos!$D$15,IF(Evalucion!EP14=Datos!$C$16,Datos!$D$16,IF(Evalucion!EP14=Datos!$C$17,Datos!$D$17,IF(Evalucion!EP14=Datos!$C$18,Datos!$D$18,IF(Evalucion!EP14=Datos!$C$19,Datos!$D$19,"=")))))</f>
        <v>1</v>
      </c>
      <c r="EP16">
        <f>IF(Evalucion!EQ14=Datos!$C$15,Datos!$D$15,IF(Evalucion!EQ14=Datos!$C$16,Datos!$D$16,IF(Evalucion!EQ14=Datos!$C$17,Datos!$D$17,IF(Evalucion!EQ14=Datos!$C$18,Datos!$D$18,IF(Evalucion!EQ14=Datos!$C$19,Datos!$D$19,"=")))))</f>
        <v>1</v>
      </c>
      <c r="EQ16">
        <f>IF(Evalucion!ER14=Datos!$C$15,Datos!$D$15,IF(Evalucion!ER14=Datos!$C$16,Datos!$D$16,IF(Evalucion!ER14=Datos!$C$17,Datos!$D$17,IF(Evalucion!ER14=Datos!$C$18,Datos!$D$18,IF(Evalucion!ER14=Datos!$C$19,Datos!$D$19,"=")))))</f>
        <v>1</v>
      </c>
      <c r="ER16">
        <f>IF(Evalucion!ES14=Datos!$C$15,Datos!$D$15,IF(Evalucion!ES14=Datos!$C$16,Datos!$D$16,IF(Evalucion!ES14=Datos!$C$17,Datos!$D$17,IF(Evalucion!ES14=Datos!$C$18,Datos!$D$18,IF(Evalucion!ES14=Datos!$C$19,Datos!$D$19,"=")))))</f>
        <v>5</v>
      </c>
      <c r="ES16">
        <f>IF(Evalucion!ET14=Datos!$C$15,Datos!$D$15,IF(Evalucion!ET14=Datos!$C$16,Datos!$D$16,IF(Evalucion!ET14=Datos!$C$17,Datos!$D$17,IF(Evalucion!ET14=Datos!$C$18,Datos!$D$18,IF(Evalucion!ET14=Datos!$C$19,Datos!$D$19,"=")))))</f>
        <v>5</v>
      </c>
      <c r="ET16">
        <f>IF(Evalucion!EU14=Datos!$C$15,Datos!$D$15,IF(Evalucion!EU14=Datos!$C$16,Datos!$D$16,IF(Evalucion!EU14=Datos!$C$17,Datos!$D$17,IF(Evalucion!EU14=Datos!$C$18,Datos!$D$18,IF(Evalucion!EU14=Datos!$C$19,Datos!$D$19,"=")))))</f>
        <v>5</v>
      </c>
      <c r="EU16">
        <f>IF(Evalucion!EV14=Datos!$C$15,Datos!$D$15,IF(Evalucion!EV14=Datos!$C$16,Datos!$D$16,IF(Evalucion!EV14=Datos!$C$17,Datos!$D$17,IF(Evalucion!EV14=Datos!$C$18,Datos!$D$18,IF(Evalucion!EV14=Datos!$C$19,Datos!$D$19,"=")))))</f>
        <v>3</v>
      </c>
      <c r="EV16">
        <f>IF(Evalucion!EW14=Datos!$C$15,Datos!$D$15,IF(Evalucion!EW14=Datos!$C$16,Datos!$D$16,IF(Evalucion!EW14=Datos!$C$17,Datos!$D$17,IF(Evalucion!EW14=Datos!$C$18,Datos!$D$18,IF(Evalucion!EW14=Datos!$C$19,Datos!$D$19,"=")))))</f>
        <v>5</v>
      </c>
      <c r="EW16">
        <f>IF(Evalucion!EX14=Datos!$C$15,Datos!$D$15,IF(Evalucion!EX14=Datos!$C$16,Datos!$D$16,IF(Evalucion!EX14=Datos!$C$17,Datos!$D$17,IF(Evalucion!EX14=Datos!$C$18,Datos!$D$18,IF(Evalucion!EX14=Datos!$C$19,Datos!$D$19,"=")))))</f>
        <v>5</v>
      </c>
      <c r="EX16">
        <f>IF(Evalucion!EY14=Datos!$C$15,Datos!$D$15,IF(Evalucion!EY14=Datos!$C$16,Datos!$D$16,IF(Evalucion!EY14=Datos!$C$17,Datos!$D$17,IF(Evalucion!EY14=Datos!$C$18,Datos!$D$18,IF(Evalucion!EY14=Datos!$C$19,Datos!$D$19,"=")))))</f>
        <v>5</v>
      </c>
      <c r="EY16">
        <f>IF(Evalucion!EZ14=Datos!$C$15,Datos!$D$15,IF(Evalucion!EZ14=Datos!$C$16,Datos!$D$16,IF(Evalucion!EZ14=Datos!$C$17,Datos!$D$17,IF(Evalucion!EZ14=Datos!$C$18,Datos!$D$18,IF(Evalucion!EZ14=Datos!$C$19,Datos!$D$19,"=")))))</f>
        <v>3</v>
      </c>
      <c r="FA16">
        <f t="shared" si="3"/>
        <v>291</v>
      </c>
      <c r="FB16">
        <f t="shared" si="3"/>
        <v>241</v>
      </c>
      <c r="FC16" s="3">
        <f t="shared" si="4"/>
        <v>0.64266666666666672</v>
      </c>
      <c r="FD16" t="str">
        <f t="shared" si="0"/>
        <v>Conf_CR</v>
      </c>
      <c r="FF16">
        <f t="shared" si="5"/>
        <v>532</v>
      </c>
      <c r="FG16">
        <f t="shared" si="6"/>
        <v>0</v>
      </c>
    </row>
    <row r="17" spans="1:163" x14ac:dyDescent="0.2">
      <c r="A17">
        <f t="shared" si="7"/>
        <v>14</v>
      </c>
      <c r="B17" t="s">
        <v>258</v>
      </c>
      <c r="C17" t="s">
        <v>194</v>
      </c>
      <c r="D17" s="1">
        <v>43246</v>
      </c>
      <c r="E17">
        <f>IF(Evalucion!F15=Datos!$C$15,Datos!$D$15,IF(Evalucion!F15=Datos!$C$16,Datos!$D$16,IF(Evalucion!F15=Datos!$C$17,Datos!$D$17,IF(Evalucion!F15=Datos!$C$18,Datos!$D$18,IF(Evalucion!F15=Datos!$C$19,Datos!$D$19,"=")))))</f>
        <v>5</v>
      </c>
      <c r="F17">
        <f>IF(Evalucion!G15=Datos!$C$15,Datos!$D$15,IF(Evalucion!G15=Datos!$C$16,Datos!$D$16,IF(Evalucion!G15=Datos!$C$17,Datos!$D$17,IF(Evalucion!G15=Datos!$C$18,Datos!$D$18,IF(Evalucion!G15=Datos!$C$19,Datos!$D$19,"=")))))</f>
        <v>5</v>
      </c>
      <c r="G17">
        <f>IF(Evalucion!H15=Datos!$C$15,Datos!$D$15,IF(Evalucion!H15=Datos!$C$16,Datos!$D$16,IF(Evalucion!H15=Datos!$C$17,Datos!$D$17,IF(Evalucion!H15=Datos!$C$18,Datos!$D$18,IF(Evalucion!H15=Datos!$C$19,Datos!$D$19,"=")))))</f>
        <v>5</v>
      </c>
      <c r="H17">
        <f>IF(Evalucion!I15=Datos!$C$15,Datos!$D$15,IF(Evalucion!I15=Datos!$C$16,Datos!$D$16,IF(Evalucion!I15=Datos!$C$17,Datos!$D$17,IF(Evalucion!I15=Datos!$C$18,Datos!$D$18,IF(Evalucion!I15=Datos!$C$19,Datos!$D$19,"=")))))</f>
        <v>1</v>
      </c>
      <c r="I17">
        <f>IF(Evalucion!J15=Datos!$C$15,Datos!$D$15,IF(Evalucion!J15=Datos!$C$16,Datos!$D$16,IF(Evalucion!J15=Datos!$C$17,Datos!$D$17,IF(Evalucion!J15=Datos!$C$18,Datos!$D$18,IF(Evalucion!J15=Datos!$C$19,Datos!$D$19,"=")))))</f>
        <v>1</v>
      </c>
      <c r="J17">
        <f>IF(Evalucion!K15=Datos!$C$15,Datos!$D$15,IF(Evalucion!K15=Datos!$C$16,Datos!$D$16,IF(Evalucion!K15=Datos!$C$17,Datos!$D$17,IF(Evalucion!K15=Datos!$C$18,Datos!$D$18,IF(Evalucion!K15=Datos!$C$19,Datos!$D$19,"=")))))</f>
        <v>1</v>
      </c>
      <c r="K17">
        <f>IF(Evalucion!L15=Datos!$C$15,Datos!$D$15,IF(Evalucion!L15=Datos!$C$16,Datos!$D$16,IF(Evalucion!L15=Datos!$C$17,Datos!$D$17,IF(Evalucion!L15=Datos!$C$18,Datos!$D$18,IF(Evalucion!L15=Datos!$C$19,Datos!$D$19,"=")))))</f>
        <v>5</v>
      </c>
      <c r="L17">
        <f>IF(Evalucion!M15=Datos!$C$15,Datos!$D$15,IF(Evalucion!M15=Datos!$C$16,Datos!$D$16,IF(Evalucion!M15=Datos!$C$17,Datos!$D$17,IF(Evalucion!M15=Datos!$C$18,Datos!$D$18,IF(Evalucion!M15=Datos!$C$19,Datos!$D$19,"=")))))</f>
        <v>5</v>
      </c>
      <c r="M17">
        <f>IF(Evalucion!N15=Datos!$C$15,Datos!$D$15,IF(Evalucion!N15=Datos!$C$16,Datos!$D$16,IF(Evalucion!N15=Datos!$C$17,Datos!$D$17,IF(Evalucion!N15=Datos!$C$18,Datos!$D$18,IF(Evalucion!N15=Datos!$C$19,Datos!$D$19,"=")))))</f>
        <v>5</v>
      </c>
      <c r="N17">
        <f>IF(Evalucion!O15=Datos!$C$15,Datos!$D$15,IF(Evalucion!O15=Datos!$C$16,Datos!$D$16,IF(Evalucion!O15=Datos!$C$17,Datos!$D$17,IF(Evalucion!O15=Datos!$C$18,Datos!$D$18,IF(Evalucion!O15=Datos!$C$19,Datos!$D$19,"=")))))</f>
        <v>5</v>
      </c>
      <c r="O17">
        <f>IF(Evalucion!P15=Datos!$C$15,Datos!$D$15,IF(Evalucion!P15=Datos!$C$16,Datos!$D$16,IF(Evalucion!P15=Datos!$C$17,Datos!$D$17,IF(Evalucion!P15=Datos!$C$18,Datos!$D$18,IF(Evalucion!P15=Datos!$C$19,Datos!$D$19,"=")))))</f>
        <v>5</v>
      </c>
      <c r="P17">
        <f>IF(Evalucion!Q15=Datos!$C$15,Datos!$D$15,IF(Evalucion!Q15=Datos!$C$16,Datos!$D$16,IF(Evalucion!Q15=Datos!$C$17,Datos!$D$17,IF(Evalucion!Q15=Datos!$C$18,Datos!$D$18,IF(Evalucion!Q15=Datos!$C$19,Datos!$D$19,"=")))))</f>
        <v>5</v>
      </c>
      <c r="Q17">
        <f>IF(Evalucion!R15=Datos!$C$15,Datos!$D$15,IF(Evalucion!R15=Datos!$C$16,Datos!$D$16,IF(Evalucion!R15=Datos!$C$17,Datos!$D$17,IF(Evalucion!R15=Datos!$C$18,Datos!$D$18,IF(Evalucion!R15=Datos!$C$19,Datos!$D$19,"=")))))</f>
        <v>5</v>
      </c>
      <c r="R17">
        <f>IF(Evalucion!S15=Datos!$C$15,Datos!$D$15,IF(Evalucion!S15=Datos!$C$16,Datos!$D$16,IF(Evalucion!S15=Datos!$C$17,Datos!$D$17,IF(Evalucion!S15=Datos!$C$18,Datos!$D$18,IF(Evalucion!S15=Datos!$C$19,Datos!$D$19,"=")))))</f>
        <v>5</v>
      </c>
      <c r="S17">
        <f>IF(Evalucion!T15=Datos!$C$15,Datos!$D$15,IF(Evalucion!T15=Datos!$C$16,Datos!$D$16,IF(Evalucion!T15=Datos!$C$17,Datos!$D$17,IF(Evalucion!T15=Datos!$C$18,Datos!$D$18,IF(Evalucion!T15=Datos!$C$19,Datos!$D$19,"=")))))</f>
        <v>5</v>
      </c>
      <c r="T17">
        <f>IF(Evalucion!U15=Datos!$C$15,Datos!$D$15,IF(Evalucion!U15=Datos!$C$16,Datos!$D$16,IF(Evalucion!U15=Datos!$C$17,Datos!$D$17,IF(Evalucion!U15=Datos!$C$18,Datos!$D$18,IF(Evalucion!U15=Datos!$C$19,Datos!$D$19,"=")))))</f>
        <v>5</v>
      </c>
      <c r="U17">
        <f>IF(Evalucion!V15=Datos!$C$15,Datos!$D$15,IF(Evalucion!V15=Datos!$C$16,Datos!$D$16,IF(Evalucion!V15=Datos!$C$17,Datos!$D$17,IF(Evalucion!V15=Datos!$C$18,Datos!$D$18,IF(Evalucion!V15=Datos!$C$19,Datos!$D$19,"=")))))</f>
        <v>5</v>
      </c>
      <c r="V17">
        <f>IF(Evalucion!W15=Datos!$C$15,Datos!$D$15,IF(Evalucion!W15=Datos!$C$16,Datos!$D$16,IF(Evalucion!W15=Datos!$C$17,Datos!$D$17,IF(Evalucion!W15=Datos!$C$18,Datos!$D$18,IF(Evalucion!W15=Datos!$C$19,Datos!$D$19,"=")))))</f>
        <v>5</v>
      </c>
      <c r="W17">
        <f>IF(Evalucion!X15=Datos!$C$15,Datos!$D$15,IF(Evalucion!X15=Datos!$C$16,Datos!$D$16,IF(Evalucion!X15=Datos!$C$17,Datos!$D$17,IF(Evalucion!X15=Datos!$C$18,Datos!$D$18,IF(Evalucion!X15=Datos!$C$19,Datos!$D$19,"=")))))</f>
        <v>5</v>
      </c>
      <c r="X17">
        <f>IF(Evalucion!Y15=Datos!$C$15,Datos!$D$15,IF(Evalucion!Y15=Datos!$C$16,Datos!$D$16,IF(Evalucion!Y15=Datos!$C$17,Datos!$D$17,IF(Evalucion!Y15=Datos!$C$18,Datos!$D$18,IF(Evalucion!Y15=Datos!$C$19,Datos!$D$19,"=")))))</f>
        <v>5</v>
      </c>
      <c r="Y17">
        <f>IF(Evalucion!Z15=Datos!$C$15,Datos!$D$15,IF(Evalucion!Z15=Datos!$C$16,Datos!$D$16,IF(Evalucion!Z15=Datos!$C$17,Datos!$D$17,IF(Evalucion!Z15=Datos!$C$18,Datos!$D$18,IF(Evalucion!Z15=Datos!$C$19,Datos!$D$19,"=")))))</f>
        <v>5</v>
      </c>
      <c r="Z17">
        <f>IF(Evalucion!AA15=Datos!$C$15,Datos!$D$15,IF(Evalucion!AA15=Datos!$C$16,Datos!$D$16,IF(Evalucion!AA15=Datos!$C$17,Datos!$D$17,IF(Evalucion!AA15=Datos!$C$18,Datos!$D$18,IF(Evalucion!AA15=Datos!$C$19,Datos!$D$19,"=")))))</f>
        <v>5</v>
      </c>
      <c r="AA17">
        <f>IF(Evalucion!AB15=Datos!$C$15,Datos!$D$15,IF(Evalucion!AB15=Datos!$C$16,Datos!$D$16,IF(Evalucion!AB15=Datos!$C$17,Datos!$D$17,IF(Evalucion!AB15=Datos!$C$18,Datos!$D$18,IF(Evalucion!AB15=Datos!$C$19,Datos!$D$19,"=")))))</f>
        <v>5</v>
      </c>
      <c r="AB17">
        <f>IF(Evalucion!AC15=Datos!$C$15,Datos!$D$15,IF(Evalucion!AC15=Datos!$C$16,Datos!$D$16,IF(Evalucion!AC15=Datos!$C$17,Datos!$D$17,IF(Evalucion!AC15=Datos!$C$18,Datos!$D$18,IF(Evalucion!AC15=Datos!$C$19,Datos!$D$19,"=")))))</f>
        <v>5</v>
      </c>
      <c r="AC17">
        <f>IF(Evalucion!AD15=Datos!$C$15,Datos!$D$15,IF(Evalucion!AD15=Datos!$C$16,Datos!$D$16,IF(Evalucion!AD15=Datos!$C$17,Datos!$D$17,IF(Evalucion!AD15=Datos!$C$18,Datos!$D$18,IF(Evalucion!AD15=Datos!$C$19,Datos!$D$19,"=")))))</f>
        <v>5</v>
      </c>
      <c r="AD17">
        <f>IF(Evalucion!AE15=Datos!$C$15,Datos!$D$15,IF(Evalucion!AE15=Datos!$C$16,Datos!$D$16,IF(Evalucion!AE15=Datos!$C$17,Datos!$D$17,IF(Evalucion!AE15=Datos!$C$18,Datos!$D$18,IF(Evalucion!AE15=Datos!$C$19,Datos!$D$19,"=")))))</f>
        <v>3</v>
      </c>
      <c r="AE17">
        <f>IF(Evalucion!AF15=Datos!$C$15,Datos!$D$15,IF(Evalucion!AF15=Datos!$C$16,Datos!$D$16,IF(Evalucion!AF15=Datos!$C$17,Datos!$D$17,IF(Evalucion!AF15=Datos!$C$18,Datos!$D$18,IF(Evalucion!AF15=Datos!$C$19,Datos!$D$19,"=")))))</f>
        <v>5</v>
      </c>
      <c r="AF17">
        <f>IF(Evalucion!AG15=Datos!$C$15,Datos!$D$15,IF(Evalucion!AG15=Datos!$C$16,Datos!$D$16,IF(Evalucion!AG15=Datos!$C$17,Datos!$D$17,IF(Evalucion!AG15=Datos!$C$18,Datos!$D$18,IF(Evalucion!AG15=Datos!$C$19,Datos!$D$19,"=")))))</f>
        <v>5</v>
      </c>
      <c r="AO17">
        <f>IF(Evalucion!AP15=Datos!$C$15,Datos!$D$15,IF(Evalucion!AP15=Datos!$C$16,Datos!$D$16,IF(Evalucion!AP15=Datos!$C$17,Datos!$D$17,IF(Evalucion!AP15=Datos!$C$18,Datos!$D$18,IF(Evalucion!AP15=Datos!$C$19,Datos!$D$19,"=")))))</f>
        <v>5</v>
      </c>
      <c r="AP17">
        <f>IF(Evalucion!AQ15=Datos!$C$15,Datos!$D$15,IF(Evalucion!AQ15=Datos!$C$16,Datos!$D$16,IF(Evalucion!AQ15=Datos!$C$17,Datos!$D$17,IF(Evalucion!AQ15=Datos!$C$18,Datos!$D$18,IF(Evalucion!AQ15=Datos!$C$19,Datos!$D$19,"=")))))</f>
        <v>3</v>
      </c>
      <c r="AQ17">
        <f>IF(Evalucion!AR15=Datos!$C$15,Datos!$D$15,IF(Evalucion!AR15=Datos!$C$16,Datos!$D$16,IF(Evalucion!AR15=Datos!$C$17,Datos!$D$17,IF(Evalucion!AR15=Datos!$C$18,Datos!$D$18,IF(Evalucion!AR15=Datos!$C$19,Datos!$D$19,"=")))))</f>
        <v>1</v>
      </c>
      <c r="AR17">
        <f>IF(Evalucion!AS15=Datos!$C$15,Datos!$D$15,IF(Evalucion!AS15=Datos!$C$16,Datos!$D$16,IF(Evalucion!AS15=Datos!$C$17,Datos!$D$17,IF(Evalucion!AS15=Datos!$C$18,Datos!$D$18,IF(Evalucion!AS15=Datos!$C$19,Datos!$D$19,"=")))))</f>
        <v>1</v>
      </c>
      <c r="AS17">
        <f>IF(Evalucion!AT15=Datos!$C$15,Datos!$D$15,IF(Evalucion!AT15=Datos!$C$16,Datos!$D$16,IF(Evalucion!AT15=Datos!$C$17,Datos!$D$17,IF(Evalucion!AT15=Datos!$C$18,Datos!$D$18,IF(Evalucion!AT15=Datos!$C$19,Datos!$D$19,"=")))))</f>
        <v>5</v>
      </c>
      <c r="AT17">
        <f>IF(Evalucion!AU15=Datos!$C$15,Datos!$D$15,IF(Evalucion!AU15=Datos!$C$16,Datos!$D$16,IF(Evalucion!AU15=Datos!$C$17,Datos!$D$17,IF(Evalucion!AU15=Datos!$C$18,Datos!$D$18,IF(Evalucion!AU15=Datos!$C$19,Datos!$D$19,"=")))))</f>
        <v>3</v>
      </c>
      <c r="AV17">
        <f>IF(Evalucion!AW15=Datos!$C$15,Datos!$D$15,IF(Evalucion!AW15=Datos!$C$16,Datos!$D$16,IF(Evalucion!AW15=Datos!$C$17,Datos!$D$17,IF(Evalucion!AW15=Datos!$C$18,Datos!$D$18,IF(Evalucion!AW15=Datos!$C$19,Datos!$D$19,"=")))))</f>
        <v>5</v>
      </c>
      <c r="AW17">
        <f>IF(Evalucion!AX15=Datos!$C$15,Datos!$D$15,IF(Evalucion!AX15=Datos!$C$16,Datos!$D$16,IF(Evalucion!AX15=Datos!$C$17,Datos!$D$17,IF(Evalucion!AX15=Datos!$C$18,Datos!$D$18,IF(Evalucion!AX15=Datos!$C$19,Datos!$D$19,"=")))))</f>
        <v>1</v>
      </c>
      <c r="AX17">
        <f>IF(Evalucion!AY15=Datos!$C$15,Datos!$D$15,IF(Evalucion!AY15=Datos!$C$16,Datos!$D$16,IF(Evalucion!AY15=Datos!$C$17,Datos!$D$17,IF(Evalucion!AY15=Datos!$C$18,Datos!$D$18,IF(Evalucion!AY15=Datos!$C$19,Datos!$D$19,"=")))))</f>
        <v>5</v>
      </c>
      <c r="AY17">
        <f>IF(Evalucion!AZ15=Datos!$C$15,Datos!$D$15,IF(Evalucion!AZ15=Datos!$C$16,Datos!$D$16,IF(Evalucion!AZ15=Datos!$C$17,Datos!$D$17,IF(Evalucion!AZ15=Datos!$C$18,Datos!$D$18,IF(Evalucion!AZ15=Datos!$C$19,Datos!$D$19,"=")))))</f>
        <v>5</v>
      </c>
      <c r="AZ17">
        <f>IF(Evalucion!BA15=Datos!$C$15,Datos!$D$15,IF(Evalucion!BA15=Datos!$C$16,Datos!$D$16,IF(Evalucion!BA15=Datos!$C$17,Datos!$D$17,IF(Evalucion!BA15=Datos!$C$18,Datos!$D$18,IF(Evalucion!BA15=Datos!$C$19,Datos!$D$19,"=")))))</f>
        <v>5</v>
      </c>
      <c r="BA17">
        <f>IF(Evalucion!BB15=Datos!$C$15,Datos!$D$15,IF(Evalucion!BB15=Datos!$C$16,Datos!$D$16,IF(Evalucion!BB15=Datos!$C$17,Datos!$D$17,IF(Evalucion!BB15=Datos!$C$18,Datos!$D$18,IF(Evalucion!BB15=Datos!$C$19,Datos!$D$19,"=")))))</f>
        <v>5</v>
      </c>
      <c r="BB17">
        <f>IF(Evalucion!BC15=Datos!$C$15,Datos!$D$15,IF(Evalucion!BC15=Datos!$C$16,Datos!$D$16,IF(Evalucion!BC15=Datos!$C$17,Datos!$D$17,IF(Evalucion!BC15=Datos!$C$18,Datos!$D$18,IF(Evalucion!BC15=Datos!$C$19,Datos!$D$19,"=")))))</f>
        <v>5</v>
      </c>
      <c r="BC17">
        <f>IF(Evalucion!BD15=Datos!$C$15,Datos!$D$15,IF(Evalucion!BD15=Datos!$C$16,Datos!$D$16,IF(Evalucion!BD15=Datos!$C$17,Datos!$D$17,IF(Evalucion!BD15=Datos!$C$18,Datos!$D$18,IF(Evalucion!BD15=Datos!$C$19,Datos!$D$19,"=")))))</f>
        <v>1</v>
      </c>
      <c r="BD17">
        <f>IF(Evalucion!BE15=Datos!$C$15,Datos!$D$15,IF(Evalucion!BE15=Datos!$C$16,Datos!$D$16,IF(Evalucion!BE15=Datos!$C$17,Datos!$D$17,IF(Evalucion!BE15=Datos!$C$18,Datos!$D$18,IF(Evalucion!BE15=Datos!$C$19,Datos!$D$19,"=")))))</f>
        <v>5</v>
      </c>
      <c r="BE17">
        <f>IF(Evalucion!BF15=Datos!$C$15,Datos!$D$15,IF(Evalucion!BF15=Datos!$C$16,Datos!$D$16,IF(Evalucion!BF15=Datos!$C$17,Datos!$D$17,IF(Evalucion!BF15=Datos!$C$18,Datos!$D$18,IF(Evalucion!BF15=Datos!$C$19,Datos!$D$19,"=")))))</f>
        <v>3</v>
      </c>
      <c r="BF17">
        <f>IF(Evalucion!BG15=Datos!$C$15,Datos!$D$15,IF(Evalucion!BG15=Datos!$C$16,Datos!$D$16,IF(Evalucion!BG15=Datos!$C$17,Datos!$D$17,IF(Evalucion!BG15=Datos!$C$18,Datos!$D$18,IF(Evalucion!BG15=Datos!$C$19,Datos!$D$19,"=")))))</f>
        <v>5</v>
      </c>
      <c r="BG17">
        <f>IF(Evalucion!BH15=Datos!$C$15,Datos!$D$15,IF(Evalucion!BH15=Datos!$C$16,Datos!$D$16,IF(Evalucion!BH15=Datos!$C$17,Datos!$D$17,IF(Evalucion!BH15=Datos!$C$18,Datos!$D$18,IF(Evalucion!BH15=Datos!$C$19,Datos!$D$19,"=")))))</f>
        <v>5</v>
      </c>
      <c r="BH17">
        <f>IF(Evalucion!BI15=Datos!$C$15,Datos!$D$15,IF(Evalucion!BI15=Datos!$C$16,Datos!$D$16,IF(Evalucion!BI15=Datos!$C$17,Datos!$D$17,IF(Evalucion!BI15=Datos!$C$18,Datos!$D$18,IF(Evalucion!BI15=Datos!$C$19,Datos!$D$19,"=")))))</f>
        <v>5</v>
      </c>
      <c r="BI17">
        <f>IF(Evalucion!BJ15=Datos!$C$15,Datos!$D$15,IF(Evalucion!BJ15=Datos!$C$16,Datos!$D$16,IF(Evalucion!BJ15=Datos!$C$17,Datos!$D$17,IF(Evalucion!BJ15=Datos!$C$18,Datos!$D$18,IF(Evalucion!BJ15=Datos!$C$19,Datos!$D$19,"=")))))</f>
        <v>5</v>
      </c>
      <c r="BJ17">
        <f>IF(Evalucion!BK15=Datos!$C$15,Datos!$D$15,IF(Evalucion!BK15=Datos!$C$16,Datos!$D$16,IF(Evalucion!BK15=Datos!$C$17,Datos!$D$17,IF(Evalucion!BK15=Datos!$C$18,Datos!$D$18,IF(Evalucion!BK15=Datos!$C$19,Datos!$D$19,"=")))))</f>
        <v>5</v>
      </c>
      <c r="BK17">
        <f>IF(Evalucion!BL15=Datos!$C$15,Datos!$D$15,IF(Evalucion!BL15=Datos!$C$16,Datos!$D$16,IF(Evalucion!BL15=Datos!$C$17,Datos!$D$17,IF(Evalucion!BL15=Datos!$C$18,Datos!$D$18,IF(Evalucion!BL15=Datos!$C$19,Datos!$D$19,"=")))))</f>
        <v>5</v>
      </c>
      <c r="BL17">
        <f>IF(Evalucion!BM15=Datos!$C$15,Datos!$D$15,IF(Evalucion!BM15=Datos!$C$16,Datos!$D$16,IF(Evalucion!BM15=Datos!$C$17,Datos!$D$17,IF(Evalucion!BM15=Datos!$C$18,Datos!$D$18,IF(Evalucion!BM15=Datos!$C$19,Datos!$D$19,"=")))))</f>
        <v>5</v>
      </c>
      <c r="BM17">
        <f>IF(Evalucion!BN15=Datos!$C$15,Datos!$D$15,IF(Evalucion!BN15=Datos!$C$16,Datos!$D$16,IF(Evalucion!BN15=Datos!$C$17,Datos!$D$17,IF(Evalucion!BN15=Datos!$C$18,Datos!$D$18,IF(Evalucion!BN15=Datos!$C$19,Datos!$D$19,"=")))))</f>
        <v>5</v>
      </c>
      <c r="BN17">
        <f>IF(Evalucion!BO15=Datos!$C$15,Datos!$D$15,IF(Evalucion!BO15=Datos!$C$16,Datos!$D$16,IF(Evalucion!BO15=Datos!$C$17,Datos!$D$17,IF(Evalucion!BO15=Datos!$C$18,Datos!$D$18,IF(Evalucion!BO15=Datos!$C$19,Datos!$D$19,"=")))))</f>
        <v>5</v>
      </c>
      <c r="BO17">
        <f>IF(Evalucion!BP15=Datos!$C$15,Datos!$D$15,IF(Evalucion!BP15=Datos!$C$16,Datos!$D$16,IF(Evalucion!BP15=Datos!$C$17,Datos!$D$17,IF(Evalucion!BP15=Datos!$C$18,Datos!$D$18,IF(Evalucion!BP15=Datos!$C$19,Datos!$D$19,"=")))))</f>
        <v>5</v>
      </c>
      <c r="BP17">
        <f>IF(Evalucion!BQ15=Datos!$C$15,Datos!$D$15,IF(Evalucion!BQ15=Datos!$C$16,Datos!$D$16,IF(Evalucion!BQ15=Datos!$C$17,Datos!$D$17,IF(Evalucion!BQ15=Datos!$C$18,Datos!$D$18,IF(Evalucion!BQ15=Datos!$C$19,Datos!$D$19,"=")))))</f>
        <v>5</v>
      </c>
      <c r="BQ17">
        <f>IF(Evalucion!BR15=Datos!$C$15,Datos!$D$15,IF(Evalucion!BR15=Datos!$C$16,Datos!$D$16,IF(Evalucion!BR15=Datos!$C$17,Datos!$D$17,IF(Evalucion!BR15=Datos!$C$18,Datos!$D$18,IF(Evalucion!BR15=Datos!$C$19,Datos!$D$19,"=")))))</f>
        <v>3</v>
      </c>
      <c r="BR17">
        <f>IF(Evalucion!BS15=Datos!$C$15,Datos!$D$15,IF(Evalucion!BS15=Datos!$C$16,Datos!$D$16,IF(Evalucion!BS15=Datos!$C$17,Datos!$D$17,IF(Evalucion!BS15=Datos!$C$18,Datos!$D$18,IF(Evalucion!BS15=Datos!$C$19,Datos!$D$19,"=")))))</f>
        <v>5</v>
      </c>
      <c r="BS17">
        <f>IF(Evalucion!BT15=Datos!$C$15,Datos!$D$15,IF(Evalucion!BT15=Datos!$C$16,Datos!$D$16,IF(Evalucion!BT15=Datos!$C$17,Datos!$D$17,IF(Evalucion!BT15=Datos!$C$18,Datos!$D$18,IF(Evalucion!BT15=Datos!$C$19,Datos!$D$19,"=")))))</f>
        <v>3</v>
      </c>
      <c r="BT17">
        <f>IF(Evalucion!BU15=Datos!$C$15,Datos!$D$15,IF(Evalucion!BU15=Datos!$C$16,Datos!$D$16,IF(Evalucion!BU15=Datos!$C$17,Datos!$D$17,IF(Evalucion!BU15=Datos!$C$18,Datos!$D$18,IF(Evalucion!BU15=Datos!$C$19,Datos!$D$19,"=")))))</f>
        <v>5</v>
      </c>
      <c r="BU17">
        <f>IF(Evalucion!BV15=Datos!$C$15,Datos!$D$15,IF(Evalucion!BV15=Datos!$C$16,Datos!$D$16,IF(Evalucion!BV15=Datos!$C$17,Datos!$D$17,IF(Evalucion!BV15=Datos!$C$18,Datos!$D$18,IF(Evalucion!BV15=Datos!$C$19,Datos!$D$19,"=")))))</f>
        <v>3</v>
      </c>
      <c r="BV17">
        <f>IF(Evalucion!BW15=Datos!$C$15,Datos!$D$15,IF(Evalucion!BW15=Datos!$C$16,Datos!$D$16,IF(Evalucion!BW15=Datos!$C$17,Datos!$D$17,IF(Evalucion!BW15=Datos!$C$18,Datos!$D$18,IF(Evalucion!BW15=Datos!$C$19,Datos!$D$19,"=")))))</f>
        <v>5</v>
      </c>
      <c r="BW17">
        <f>IF(Evalucion!BX15=Datos!$C$15,Datos!$D$15,IF(Evalucion!BX15=Datos!$C$16,Datos!$D$16,IF(Evalucion!BX15=Datos!$C$17,Datos!$D$17,IF(Evalucion!BX15=Datos!$C$18,Datos!$D$18,IF(Evalucion!BX15=Datos!$C$19,Datos!$D$19,"=")))))</f>
        <v>5</v>
      </c>
      <c r="BX17">
        <f>IF(Evalucion!BY15=Datos!$C$15,Datos!$D$15,IF(Evalucion!BY15=Datos!$C$16,Datos!$D$16,IF(Evalucion!BY15=Datos!$C$17,Datos!$D$17,IF(Evalucion!BY15=Datos!$C$18,Datos!$D$18,IF(Evalucion!BY15=Datos!$C$19,Datos!$D$19,"=")))))</f>
        <v>5</v>
      </c>
      <c r="BY17">
        <f>IF(Evalucion!BZ15=Datos!$C$15,Datos!$D$15,IF(Evalucion!BZ15=Datos!$C$16,Datos!$D$16,IF(Evalucion!BZ15=Datos!$C$17,Datos!$D$17,IF(Evalucion!BZ15=Datos!$C$18,Datos!$D$18,IF(Evalucion!BZ15=Datos!$C$19,Datos!$D$19,"=")))))</f>
        <v>5</v>
      </c>
      <c r="BZ17">
        <f>IF(Evalucion!CA15=Datos!$C$15,Datos!$D$15,IF(Evalucion!CA15=Datos!$C$16,Datos!$D$16,IF(Evalucion!CA15=Datos!$C$17,Datos!$D$17,IF(Evalucion!CA15=Datos!$C$18,Datos!$D$18,IF(Evalucion!CA15=Datos!$C$19,Datos!$D$19,"=")))))</f>
        <v>5</v>
      </c>
      <c r="CA17">
        <f>IF(Evalucion!CB15=Datos!$C$15,Datos!$D$15,IF(Evalucion!CB15=Datos!$C$16,Datos!$D$16,IF(Evalucion!CB15=Datos!$C$17,Datos!$D$17,IF(Evalucion!CB15=Datos!$C$18,Datos!$D$18,IF(Evalucion!CB15=Datos!$C$19,Datos!$D$19,"=")))))</f>
        <v>5</v>
      </c>
      <c r="CB17">
        <f>IF(Evalucion!CC15=Datos!$C$15,Datos!$D$15,IF(Evalucion!CC15=Datos!$C$16,Datos!$D$16,IF(Evalucion!CC15=Datos!$C$17,Datos!$D$17,IF(Evalucion!CC15=Datos!$C$18,Datos!$D$18,IF(Evalucion!CC15=Datos!$C$19,Datos!$D$19,"=")))))</f>
        <v>5</v>
      </c>
      <c r="CC17">
        <f>IF(Evalucion!CD15=Datos!$C$15,Datos!$D$15,IF(Evalucion!CD15=Datos!$C$16,Datos!$D$16,IF(Evalucion!CD15=Datos!$C$17,Datos!$D$17,IF(Evalucion!CD15=Datos!$C$18,Datos!$D$18,IF(Evalucion!CD15=Datos!$C$19,Datos!$D$19,"=")))))</f>
        <v>5</v>
      </c>
      <c r="CD17">
        <f>IF(Evalucion!CE15=Datos!$C$15,Datos!$D$15,IF(Evalucion!CE15=Datos!$C$16,Datos!$D$16,IF(Evalucion!CE15=Datos!$C$17,Datos!$D$17,IF(Evalucion!CE15=Datos!$C$18,Datos!$D$18,IF(Evalucion!CE15=Datos!$C$19,Datos!$D$19,"=")))))</f>
        <v>5</v>
      </c>
      <c r="CE17">
        <f>IF(Evalucion!CF15=Datos!$C$15,Datos!$D$15,IF(Evalucion!CF15=Datos!$C$16,Datos!$D$16,IF(Evalucion!CF15=Datos!$C$17,Datos!$D$17,IF(Evalucion!CF15=Datos!$C$18,Datos!$D$18,IF(Evalucion!CF15=Datos!$C$19,Datos!$D$19,"=")))))</f>
        <v>3</v>
      </c>
      <c r="CF17">
        <f>IF(Evalucion!CG15=Datos!$C$15,Datos!$D$15,IF(Evalucion!CG15=Datos!$C$16,Datos!$D$16,IF(Evalucion!CG15=Datos!$C$17,Datos!$D$17,IF(Evalucion!CG15=Datos!$C$18,Datos!$D$18,IF(Evalucion!CG15=Datos!$C$19,Datos!$D$19,"=")))))</f>
        <v>5</v>
      </c>
      <c r="CG17">
        <f>IF(Evalucion!CH15=Datos!$C$15,Datos!$D$15,IF(Evalucion!CH15=Datos!$C$16,Datos!$D$16,IF(Evalucion!CH15=Datos!$C$17,Datos!$D$17,IF(Evalucion!CH15=Datos!$C$18,Datos!$D$18,IF(Evalucion!CH15=Datos!$C$19,Datos!$D$19,"=")))))</f>
        <v>3</v>
      </c>
      <c r="CH17">
        <f>IF(Evalucion!CI15=Datos!$C$15,Datos!$D$15,IF(Evalucion!CI15=Datos!$C$16,Datos!$D$16,IF(Evalucion!CI15=Datos!$C$17,Datos!$D$17,IF(Evalucion!CI15=Datos!$C$18,Datos!$D$18,IF(Evalucion!CI15=Datos!$C$19,Datos!$D$19,"=")))))</f>
        <v>5</v>
      </c>
      <c r="CI17">
        <f>IF(Evalucion!CJ15=Datos!$C$15,Datos!$D$15,IF(Evalucion!CJ15=Datos!$C$16,Datos!$D$16,IF(Evalucion!CJ15=Datos!$C$17,Datos!$D$17,IF(Evalucion!CJ15=Datos!$C$18,Datos!$D$18,IF(Evalucion!CJ15=Datos!$C$19,Datos!$D$19,"=")))))</f>
        <v>3</v>
      </c>
      <c r="CJ17">
        <f>IF(Evalucion!CK15=Datos!$C$15,Datos!$D$15,IF(Evalucion!CK15=Datos!$C$16,Datos!$D$16,IF(Evalucion!CK15=Datos!$C$17,Datos!$D$17,IF(Evalucion!CK15=Datos!$C$18,Datos!$D$18,IF(Evalucion!CK15=Datos!$C$19,Datos!$D$19,"=")))))</f>
        <v>5</v>
      </c>
      <c r="CK17">
        <f>IF(Evalucion!CL15=Datos!$C$15,Datos!$D$15,IF(Evalucion!CL15=Datos!$C$16,Datos!$D$16,IF(Evalucion!CL15=Datos!$C$17,Datos!$D$17,IF(Evalucion!CL15=Datos!$C$18,Datos!$D$18,IF(Evalucion!CL15=Datos!$C$19,Datos!$D$19,"=")))))</f>
        <v>5</v>
      </c>
      <c r="CL17">
        <f>IF(Evalucion!CM15=Datos!$C$15,Datos!$D$15,IF(Evalucion!CM15=Datos!$C$16,Datos!$D$16,IF(Evalucion!CM15=Datos!$C$17,Datos!$D$17,IF(Evalucion!CM15=Datos!$C$18,Datos!$D$18,IF(Evalucion!CM15=Datos!$C$19,Datos!$D$19,"=")))))</f>
        <v>5</v>
      </c>
      <c r="CM17">
        <f>IF(Evalucion!CN15=Datos!$C$15,Datos!$D$15,IF(Evalucion!CN15=Datos!$C$16,Datos!$D$16,IF(Evalucion!CN15=Datos!$C$17,Datos!$D$17,IF(Evalucion!CN15=Datos!$C$18,Datos!$D$18,IF(Evalucion!CN15=Datos!$C$19,Datos!$D$19,"=")))))</f>
        <v>5</v>
      </c>
      <c r="CN17">
        <f>IF(Evalucion!CO15=Datos!$C$15,Datos!$D$15,IF(Evalucion!CO15=Datos!$C$16,Datos!$D$16,IF(Evalucion!CO15=Datos!$C$17,Datos!$D$17,IF(Evalucion!CO15=Datos!$C$18,Datos!$D$18,IF(Evalucion!CO15=Datos!$C$19,Datos!$D$19,"=")))))</f>
        <v>5</v>
      </c>
      <c r="CO17">
        <f>IF(Evalucion!CP15=Datos!$C$15,Datos!$D$15,IF(Evalucion!CP15=Datos!$C$16,Datos!$D$16,IF(Evalucion!CP15=Datos!$C$17,Datos!$D$17,IF(Evalucion!CP15=Datos!$C$18,Datos!$D$18,IF(Evalucion!CP15=Datos!$C$19,Datos!$D$19,"=")))))</f>
        <v>5</v>
      </c>
      <c r="CP17">
        <f>IF(Evalucion!CQ15=Datos!$C$15,Datos!$D$15,IF(Evalucion!CQ15=Datos!$C$16,Datos!$D$16,IF(Evalucion!CQ15=Datos!$C$17,Datos!$D$17,IF(Evalucion!CQ15=Datos!$C$18,Datos!$D$18,IF(Evalucion!CQ15=Datos!$C$19,Datos!$D$19,"=")))))</f>
        <v>5</v>
      </c>
      <c r="CQ17">
        <f>IF(Evalucion!CR15=Datos!$C$15,Datos!$D$15,IF(Evalucion!CR15=Datos!$C$16,Datos!$D$16,IF(Evalucion!CR15=Datos!$C$17,Datos!$D$17,IF(Evalucion!CR15=Datos!$C$18,Datos!$D$18,IF(Evalucion!CR15=Datos!$C$19,Datos!$D$19,"=")))))</f>
        <v>3</v>
      </c>
      <c r="CR17">
        <f>IF(Evalucion!CS15=Datos!$C$15,Datos!$D$15,IF(Evalucion!CS15=Datos!$C$16,Datos!$D$16,IF(Evalucion!CS15=Datos!$C$17,Datos!$D$17,IF(Evalucion!CS15=Datos!$C$18,Datos!$D$18,IF(Evalucion!CS15=Datos!$C$19,Datos!$D$19,"=")))))</f>
        <v>5</v>
      </c>
      <c r="CS17">
        <f>IF(Evalucion!CT15=Datos!$C$15,Datos!$D$15,IF(Evalucion!CT15=Datos!$C$16,Datos!$D$16,IF(Evalucion!CT15=Datos!$C$17,Datos!$D$17,IF(Evalucion!CT15=Datos!$C$18,Datos!$D$18,IF(Evalucion!CT15=Datos!$C$19,Datos!$D$19,"=")))))</f>
        <v>5</v>
      </c>
      <c r="CT17">
        <f>IF(Evalucion!CU15=Datos!$C$15,Datos!$D$15,IF(Evalucion!CU15=Datos!$C$16,Datos!$D$16,IF(Evalucion!CU15=Datos!$C$17,Datos!$D$17,IF(Evalucion!CU15=Datos!$C$18,Datos!$D$18,IF(Evalucion!CU15=Datos!$C$19,Datos!$D$19,"=")))))</f>
        <v>5</v>
      </c>
      <c r="CU17">
        <f>IF(Evalucion!CV15=Datos!$C$15,Datos!$D$15,IF(Evalucion!CV15=Datos!$C$16,Datos!$D$16,IF(Evalucion!CV15=Datos!$C$17,Datos!$D$17,IF(Evalucion!CV15=Datos!$C$18,Datos!$D$18,IF(Evalucion!CV15=Datos!$C$19,Datos!$D$19,"=")))))</f>
        <v>5</v>
      </c>
      <c r="CV17">
        <f>IF(Evalucion!CW15=Datos!$C$15,Datos!$D$15,IF(Evalucion!CW15=Datos!$C$16,Datos!$D$16,IF(Evalucion!CW15=Datos!$C$17,Datos!$D$17,IF(Evalucion!CW15=Datos!$C$18,Datos!$D$18,IF(Evalucion!CW15=Datos!$C$19,Datos!$D$19,"=")))))</f>
        <v>5</v>
      </c>
      <c r="CW17">
        <f>IF(Evalucion!CX15=Datos!$C$15,Datos!$D$15,IF(Evalucion!CX15=Datos!$C$16,Datos!$D$16,IF(Evalucion!CX15=Datos!$C$17,Datos!$D$17,IF(Evalucion!CX15=Datos!$C$18,Datos!$D$18,IF(Evalucion!CX15=Datos!$C$19,Datos!$D$19,"=")))))</f>
        <v>5</v>
      </c>
      <c r="CX17">
        <f>IF(Evalucion!CY15=Datos!$C$15,Datos!$D$15,IF(Evalucion!CY15=Datos!$C$16,Datos!$D$16,IF(Evalucion!CY15=Datos!$C$17,Datos!$D$17,IF(Evalucion!CY15=Datos!$C$18,Datos!$D$18,IF(Evalucion!CY15=Datos!$C$19,Datos!$D$19,"=")))))</f>
        <v>5</v>
      </c>
      <c r="CY17">
        <f>IF(Evalucion!CZ15=Datos!$C$15,Datos!$D$15,IF(Evalucion!CZ15=Datos!$C$16,Datos!$D$16,IF(Evalucion!CZ15=Datos!$C$17,Datos!$D$17,IF(Evalucion!CZ15=Datos!$C$18,Datos!$D$18,IF(Evalucion!CZ15=Datos!$C$19,Datos!$D$19,"=")))))</f>
        <v>5</v>
      </c>
      <c r="CZ17">
        <f>IF(Evalucion!DA15=Datos!$C$15,Datos!$D$15,IF(Evalucion!DA15=Datos!$C$16,Datos!$D$16,IF(Evalucion!DA15=Datos!$C$17,Datos!$D$17,IF(Evalucion!DA15=Datos!$C$18,Datos!$D$18,IF(Evalucion!DA15=Datos!$C$19,Datos!$D$19,"=")))))</f>
        <v>5</v>
      </c>
      <c r="DA17">
        <f>IF(Evalucion!DB15=Datos!$C$15,Datos!$D$15,IF(Evalucion!DB15=Datos!$C$16,Datos!$D$16,IF(Evalucion!DB15=Datos!$C$17,Datos!$D$17,IF(Evalucion!DB15=Datos!$C$18,Datos!$D$18,IF(Evalucion!DB15=Datos!$C$19,Datos!$D$19,"=")))))</f>
        <v>3</v>
      </c>
      <c r="DB17">
        <f>IF(Evalucion!DC15=Datos!$C$15,Datos!$D$15,IF(Evalucion!DC15=Datos!$C$16,Datos!$D$16,IF(Evalucion!DC15=Datos!$C$17,Datos!$D$17,IF(Evalucion!DC15=Datos!$C$18,Datos!$D$18,IF(Evalucion!DC15=Datos!$C$19,Datos!$D$19,"=")))))</f>
        <v>5</v>
      </c>
      <c r="DC17">
        <f>IF(Evalucion!DD15=Datos!$C$15,Datos!$D$15,IF(Evalucion!DD15=Datos!$C$16,Datos!$D$16,IF(Evalucion!DD15=Datos!$C$17,Datos!$D$17,IF(Evalucion!DD15=Datos!$C$18,Datos!$D$18,IF(Evalucion!DD15=Datos!$C$19,Datos!$D$19,"=")))))</f>
        <v>5</v>
      </c>
      <c r="DD17">
        <f>IF(Evalucion!DE15=Datos!$C$15,Datos!$D$15,IF(Evalucion!DE15=Datos!$C$16,Datos!$D$16,IF(Evalucion!DE15=Datos!$C$17,Datos!$D$17,IF(Evalucion!DE15=Datos!$C$18,Datos!$D$18,IF(Evalucion!DE15=Datos!$C$19,Datos!$D$19,"=")))))</f>
        <v>1</v>
      </c>
      <c r="DE17">
        <f>IF(Evalucion!DF15=Datos!$C$15,Datos!$D$15,IF(Evalucion!DF15=Datos!$C$16,Datos!$D$16,IF(Evalucion!DF15=Datos!$C$17,Datos!$D$17,IF(Evalucion!DF15=Datos!$C$18,Datos!$D$18,IF(Evalucion!DF15=Datos!$C$19,Datos!$D$19,"=")))))</f>
        <v>1</v>
      </c>
      <c r="DF17">
        <f>IF(Evalucion!DG15=Datos!$C$15,Datos!$D$15,IF(Evalucion!DG15=Datos!$C$16,Datos!$D$16,IF(Evalucion!DG15=Datos!$C$17,Datos!$D$17,IF(Evalucion!DG15=Datos!$C$18,Datos!$D$18,IF(Evalucion!DG15=Datos!$C$19,Datos!$D$19,"=")))))</f>
        <v>5</v>
      </c>
      <c r="DG17">
        <f>IF(Evalucion!DH15=Datos!$C$15,Datos!$D$15,IF(Evalucion!DH15=Datos!$C$16,Datos!$D$16,IF(Evalucion!DH15=Datos!$C$17,Datos!$D$17,IF(Evalucion!DH15=Datos!$C$18,Datos!$D$18,IF(Evalucion!DH15=Datos!$C$19,Datos!$D$19,"=")))))</f>
        <v>5</v>
      </c>
      <c r="DH17">
        <f>IF(Evalucion!DI15=Datos!$C$15,Datos!$D$15,IF(Evalucion!DI15=Datos!$C$16,Datos!$D$16,IF(Evalucion!DI15=Datos!$C$17,Datos!$D$17,IF(Evalucion!DI15=Datos!$C$18,Datos!$D$18,IF(Evalucion!DI15=Datos!$C$19,Datos!$D$19,"=")))))</f>
        <v>1</v>
      </c>
      <c r="DI17">
        <f>IF(Evalucion!DJ15=Datos!$C$15,Datos!$D$15,IF(Evalucion!DJ15=Datos!$C$16,Datos!$D$16,IF(Evalucion!DJ15=Datos!$C$17,Datos!$D$17,IF(Evalucion!DJ15=Datos!$C$18,Datos!$D$18,IF(Evalucion!DJ15=Datos!$C$19,Datos!$D$19,"=")))))</f>
        <v>1</v>
      </c>
      <c r="DJ17">
        <f>IF(Evalucion!DK15=Datos!$C$15,Datos!$D$15,IF(Evalucion!DK15=Datos!$C$16,Datos!$D$16,IF(Evalucion!DK15=Datos!$C$17,Datos!$D$17,IF(Evalucion!DK15=Datos!$C$18,Datos!$D$18,IF(Evalucion!DK15=Datos!$C$19,Datos!$D$19,"=")))))</f>
        <v>1</v>
      </c>
      <c r="DK17">
        <f>IF(Evalucion!DL15=Datos!$C$15,Datos!$D$15,IF(Evalucion!DL15=Datos!$C$16,Datos!$D$16,IF(Evalucion!DL15=Datos!$C$17,Datos!$D$17,IF(Evalucion!DL15=Datos!$C$18,Datos!$D$18,IF(Evalucion!DL15=Datos!$C$19,Datos!$D$19,"=")))))</f>
        <v>1</v>
      </c>
      <c r="DL17">
        <f>IF(Evalucion!DM15=Datos!$C$15,Datos!$D$15,IF(Evalucion!DM15=Datos!$C$16,Datos!$D$16,IF(Evalucion!DM15=Datos!$C$17,Datos!$D$17,IF(Evalucion!DM15=Datos!$C$18,Datos!$D$18,IF(Evalucion!DM15=Datos!$C$19,Datos!$D$19,"=")))))</f>
        <v>5</v>
      </c>
      <c r="DM17">
        <f>IF(Evalucion!DN15=Datos!$C$15,Datos!$D$15,IF(Evalucion!DN15=Datos!$C$16,Datos!$D$16,IF(Evalucion!DN15=Datos!$C$17,Datos!$D$17,IF(Evalucion!DN15=Datos!$C$18,Datos!$D$18,IF(Evalucion!DN15=Datos!$C$19,Datos!$D$19,"=")))))</f>
        <v>3</v>
      </c>
      <c r="DN17">
        <f>IF(Evalucion!DO15=Datos!$C$15,Datos!$D$15,IF(Evalucion!DO15=Datos!$C$16,Datos!$D$16,IF(Evalucion!DO15=Datos!$C$17,Datos!$D$17,IF(Evalucion!DO15=Datos!$C$18,Datos!$D$18,IF(Evalucion!DO15=Datos!$C$19,Datos!$D$19,"=")))))</f>
        <v>5</v>
      </c>
      <c r="DO17">
        <f>IF(Evalucion!DP15=Datos!$C$15,Datos!$D$15,IF(Evalucion!DP15=Datos!$C$16,Datos!$D$16,IF(Evalucion!DP15=Datos!$C$17,Datos!$D$17,IF(Evalucion!DP15=Datos!$C$18,Datos!$D$18,IF(Evalucion!DP15=Datos!$C$19,Datos!$D$19,"=")))))</f>
        <v>5</v>
      </c>
      <c r="DP17">
        <f>IF(Evalucion!DQ15=Datos!$C$15,Datos!$D$15,IF(Evalucion!DQ15=Datos!$C$16,Datos!$D$16,IF(Evalucion!DQ15=Datos!$C$17,Datos!$D$17,IF(Evalucion!DQ15=Datos!$C$18,Datos!$D$18,IF(Evalucion!DQ15=Datos!$C$19,Datos!$D$19,"=")))))</f>
        <v>5</v>
      </c>
      <c r="DQ17">
        <f>IF(Evalucion!DR15=Datos!$C$15,Datos!$D$15,IF(Evalucion!DR15=Datos!$C$16,Datos!$D$16,IF(Evalucion!DR15=Datos!$C$17,Datos!$D$17,IF(Evalucion!DR15=Datos!$C$18,Datos!$D$18,IF(Evalucion!DR15=Datos!$C$19,Datos!$D$19,"=")))))</f>
        <v>3</v>
      </c>
      <c r="DR17">
        <f>IF(Evalucion!DS15=Datos!$C$15,Datos!$D$15,IF(Evalucion!DS15=Datos!$C$16,Datos!$D$16,IF(Evalucion!DS15=Datos!$C$17,Datos!$D$17,IF(Evalucion!DS15=Datos!$C$18,Datos!$D$18,IF(Evalucion!DS15=Datos!$C$19,Datos!$D$19,"=")))))</f>
        <v>5</v>
      </c>
      <c r="DS17">
        <f>IF(Evalucion!DT15=Datos!$C$15,Datos!$D$15,IF(Evalucion!DT15=Datos!$C$16,Datos!$D$16,IF(Evalucion!DT15=Datos!$C$17,Datos!$D$17,IF(Evalucion!DT15=Datos!$C$18,Datos!$D$18,IF(Evalucion!DT15=Datos!$C$19,Datos!$D$19,"=")))))</f>
        <v>3</v>
      </c>
      <c r="DT17">
        <f>IF(Evalucion!DU15=Datos!$C$15,Datos!$D$15,IF(Evalucion!DU15=Datos!$C$16,Datos!$D$16,IF(Evalucion!DU15=Datos!$C$17,Datos!$D$17,IF(Evalucion!DU15=Datos!$C$18,Datos!$D$18,IF(Evalucion!DU15=Datos!$C$19,Datos!$D$19,"=")))))</f>
        <v>5</v>
      </c>
      <c r="DU17">
        <f>IF(Evalucion!DV15=Datos!$C$15,Datos!$D$15,IF(Evalucion!DV15=Datos!$C$16,Datos!$D$16,IF(Evalucion!DV15=Datos!$C$17,Datos!$D$17,IF(Evalucion!DV15=Datos!$C$18,Datos!$D$18,IF(Evalucion!DV15=Datos!$C$19,Datos!$D$19,"=")))))</f>
        <v>3</v>
      </c>
      <c r="DV17">
        <f>IF(Evalucion!DW15=Datos!$C$15,Datos!$D$15,IF(Evalucion!DW15=Datos!$C$16,Datos!$D$16,IF(Evalucion!DW15=Datos!$C$17,Datos!$D$17,IF(Evalucion!DW15=Datos!$C$18,Datos!$D$18,IF(Evalucion!DW15=Datos!$C$19,Datos!$D$19,"=")))))</f>
        <v>5</v>
      </c>
      <c r="DW17">
        <f>IF(Evalucion!DX15=Datos!$C$15,Datos!$D$15,IF(Evalucion!DX15=Datos!$C$16,Datos!$D$16,IF(Evalucion!DX15=Datos!$C$17,Datos!$D$17,IF(Evalucion!DX15=Datos!$C$18,Datos!$D$18,IF(Evalucion!DX15=Datos!$C$19,Datos!$D$19,"=")))))</f>
        <v>3</v>
      </c>
      <c r="DX17">
        <f>IF(Evalucion!DY15=Datos!$C$15,Datos!$D$15,IF(Evalucion!DY15=Datos!$C$16,Datos!$D$16,IF(Evalucion!DY15=Datos!$C$17,Datos!$D$17,IF(Evalucion!DY15=Datos!$C$18,Datos!$D$18,IF(Evalucion!DY15=Datos!$C$19,Datos!$D$19,"=")))))</f>
        <v>5</v>
      </c>
      <c r="DY17">
        <f>IF(Evalucion!DZ15=Datos!$C$15,Datos!$D$15,IF(Evalucion!DZ15=Datos!$C$16,Datos!$D$16,IF(Evalucion!DZ15=Datos!$C$17,Datos!$D$17,IF(Evalucion!DZ15=Datos!$C$18,Datos!$D$18,IF(Evalucion!DZ15=Datos!$C$19,Datos!$D$19,"=")))))</f>
        <v>3</v>
      </c>
      <c r="DZ17">
        <f>IF(Evalucion!EA15=Datos!$C$15,Datos!$D$15,IF(Evalucion!EA15=Datos!$C$16,Datos!$D$16,IF(Evalucion!EA15=Datos!$C$17,Datos!$D$17,IF(Evalucion!EA15=Datos!$C$18,Datos!$D$18,IF(Evalucion!EA15=Datos!$C$19,Datos!$D$19,"=")))))</f>
        <v>5</v>
      </c>
      <c r="EA17">
        <f>IF(Evalucion!EB15=Datos!$C$15,Datos!$D$15,IF(Evalucion!EB15=Datos!$C$16,Datos!$D$16,IF(Evalucion!EB15=Datos!$C$17,Datos!$D$17,IF(Evalucion!EB15=Datos!$C$18,Datos!$D$18,IF(Evalucion!EB15=Datos!$C$19,Datos!$D$19,"=")))))</f>
        <v>5</v>
      </c>
      <c r="EB17">
        <f>IF(Evalucion!EC15=Datos!$C$15,Datos!$D$15,IF(Evalucion!EC15=Datos!$C$16,Datos!$D$16,IF(Evalucion!EC15=Datos!$C$17,Datos!$D$17,IF(Evalucion!EC15=Datos!$C$18,Datos!$D$18,IF(Evalucion!EC15=Datos!$C$19,Datos!$D$19,"=")))))</f>
        <v>5</v>
      </c>
      <c r="EC17">
        <f>IF(Evalucion!ED15=Datos!$C$15,Datos!$D$15,IF(Evalucion!ED15=Datos!$C$16,Datos!$D$16,IF(Evalucion!ED15=Datos!$C$17,Datos!$D$17,IF(Evalucion!ED15=Datos!$C$18,Datos!$D$18,IF(Evalucion!ED15=Datos!$C$19,Datos!$D$19,"=")))))</f>
        <v>3</v>
      </c>
      <c r="ED17">
        <f>IF(Evalucion!EE15=Datos!$C$15,Datos!$D$15,IF(Evalucion!EE15=Datos!$C$16,Datos!$D$16,IF(Evalucion!EE15=Datos!$C$17,Datos!$D$17,IF(Evalucion!EE15=Datos!$C$18,Datos!$D$18,IF(Evalucion!EE15=Datos!$C$19,Datos!$D$19,"=")))))</f>
        <v>5</v>
      </c>
      <c r="EE17">
        <f>IF(Evalucion!EF15=Datos!$C$15,Datos!$D$15,IF(Evalucion!EF15=Datos!$C$16,Datos!$D$16,IF(Evalucion!EF15=Datos!$C$17,Datos!$D$17,IF(Evalucion!EF15=Datos!$C$18,Datos!$D$18,IF(Evalucion!EF15=Datos!$C$19,Datos!$D$19,"=")))))</f>
        <v>5</v>
      </c>
      <c r="EF17">
        <f>IF(Evalucion!EG15=Datos!$C$15,Datos!$D$15,IF(Evalucion!EG15=Datos!$C$16,Datos!$D$16,IF(Evalucion!EG15=Datos!$C$17,Datos!$D$17,IF(Evalucion!EG15=Datos!$C$18,Datos!$D$18,IF(Evalucion!EG15=Datos!$C$19,Datos!$D$19,"=")))))</f>
        <v>1</v>
      </c>
      <c r="EG17">
        <f>IF(Evalucion!EH15=Datos!$C$15,Datos!$D$15,IF(Evalucion!EH15=Datos!$C$16,Datos!$D$16,IF(Evalucion!EH15=Datos!$C$17,Datos!$D$17,IF(Evalucion!EH15=Datos!$C$18,Datos!$D$18,IF(Evalucion!EH15=Datos!$C$19,Datos!$D$19,"=")))))</f>
        <v>1</v>
      </c>
      <c r="EH17">
        <f>IF(Evalucion!EI15=Datos!$C$15,Datos!$D$15,IF(Evalucion!EI15=Datos!$C$16,Datos!$D$16,IF(Evalucion!EI15=Datos!$C$17,Datos!$D$17,IF(Evalucion!EI15=Datos!$C$18,Datos!$D$18,IF(Evalucion!EI15=Datos!$C$19,Datos!$D$19,"=")))))</f>
        <v>1</v>
      </c>
      <c r="EI17">
        <f>IF(Evalucion!EJ15=Datos!$C$15,Datos!$D$15,IF(Evalucion!EJ15=Datos!$C$16,Datos!$D$16,IF(Evalucion!EJ15=Datos!$C$17,Datos!$D$17,IF(Evalucion!EJ15=Datos!$C$18,Datos!$D$18,IF(Evalucion!EJ15=Datos!$C$19,Datos!$D$19,"=")))))</f>
        <v>1</v>
      </c>
      <c r="EJ17">
        <f>IF(Evalucion!EK15=Datos!$C$15,Datos!$D$15,IF(Evalucion!EK15=Datos!$C$16,Datos!$D$16,IF(Evalucion!EK15=Datos!$C$17,Datos!$D$17,IF(Evalucion!EK15=Datos!$C$18,Datos!$D$18,IF(Evalucion!EK15=Datos!$C$19,Datos!$D$19,"=")))))</f>
        <v>1</v>
      </c>
      <c r="EK17">
        <f>IF(Evalucion!EL15=Datos!$C$15,Datos!$D$15,IF(Evalucion!EL15=Datos!$C$16,Datos!$D$16,IF(Evalucion!EL15=Datos!$C$17,Datos!$D$17,IF(Evalucion!EL15=Datos!$C$18,Datos!$D$18,IF(Evalucion!EL15=Datos!$C$19,Datos!$D$19,"=")))))</f>
        <v>1</v>
      </c>
      <c r="EL17">
        <f>IF(Evalucion!EM15=Datos!$C$15,Datos!$D$15,IF(Evalucion!EM15=Datos!$C$16,Datos!$D$16,IF(Evalucion!EM15=Datos!$C$17,Datos!$D$17,IF(Evalucion!EM15=Datos!$C$18,Datos!$D$18,IF(Evalucion!EM15=Datos!$C$19,Datos!$D$19,"=")))))</f>
        <v>1</v>
      </c>
      <c r="EM17">
        <f>IF(Evalucion!EN15=Datos!$C$15,Datos!$D$15,IF(Evalucion!EN15=Datos!$C$16,Datos!$D$16,IF(Evalucion!EN15=Datos!$C$17,Datos!$D$17,IF(Evalucion!EN15=Datos!$C$18,Datos!$D$18,IF(Evalucion!EN15=Datos!$C$19,Datos!$D$19,"=")))))</f>
        <v>1</v>
      </c>
      <c r="EN17">
        <f>IF(Evalucion!EO15=Datos!$C$15,Datos!$D$15,IF(Evalucion!EO15=Datos!$C$16,Datos!$D$16,IF(Evalucion!EO15=Datos!$C$17,Datos!$D$17,IF(Evalucion!EO15=Datos!$C$18,Datos!$D$18,IF(Evalucion!EO15=Datos!$C$19,Datos!$D$19,"=")))))</f>
        <v>1</v>
      </c>
      <c r="EO17">
        <f>IF(Evalucion!EP15=Datos!$C$15,Datos!$D$15,IF(Evalucion!EP15=Datos!$C$16,Datos!$D$16,IF(Evalucion!EP15=Datos!$C$17,Datos!$D$17,IF(Evalucion!EP15=Datos!$C$18,Datos!$D$18,IF(Evalucion!EP15=Datos!$C$19,Datos!$D$19,"=")))))</f>
        <v>1</v>
      </c>
      <c r="EP17">
        <f>IF(Evalucion!EQ15=Datos!$C$15,Datos!$D$15,IF(Evalucion!EQ15=Datos!$C$16,Datos!$D$16,IF(Evalucion!EQ15=Datos!$C$17,Datos!$D$17,IF(Evalucion!EQ15=Datos!$C$18,Datos!$D$18,IF(Evalucion!EQ15=Datos!$C$19,Datos!$D$19,"=")))))</f>
        <v>1</v>
      </c>
      <c r="EQ17">
        <f>IF(Evalucion!ER15=Datos!$C$15,Datos!$D$15,IF(Evalucion!ER15=Datos!$C$16,Datos!$D$16,IF(Evalucion!ER15=Datos!$C$17,Datos!$D$17,IF(Evalucion!ER15=Datos!$C$18,Datos!$D$18,IF(Evalucion!ER15=Datos!$C$19,Datos!$D$19,"=")))))</f>
        <v>1</v>
      </c>
      <c r="ER17">
        <f>IF(Evalucion!ES15=Datos!$C$15,Datos!$D$15,IF(Evalucion!ES15=Datos!$C$16,Datos!$D$16,IF(Evalucion!ES15=Datos!$C$17,Datos!$D$17,IF(Evalucion!ES15=Datos!$C$18,Datos!$D$18,IF(Evalucion!ES15=Datos!$C$19,Datos!$D$19,"=")))))</f>
        <v>5</v>
      </c>
      <c r="ES17">
        <f>IF(Evalucion!ET15=Datos!$C$15,Datos!$D$15,IF(Evalucion!ET15=Datos!$C$16,Datos!$D$16,IF(Evalucion!ET15=Datos!$C$17,Datos!$D$17,IF(Evalucion!ET15=Datos!$C$18,Datos!$D$18,IF(Evalucion!ET15=Datos!$C$19,Datos!$D$19,"=")))))</f>
        <v>5</v>
      </c>
      <c r="ET17">
        <f>IF(Evalucion!EU15=Datos!$C$15,Datos!$D$15,IF(Evalucion!EU15=Datos!$C$16,Datos!$D$16,IF(Evalucion!EU15=Datos!$C$17,Datos!$D$17,IF(Evalucion!EU15=Datos!$C$18,Datos!$D$18,IF(Evalucion!EU15=Datos!$C$19,Datos!$D$19,"=")))))</f>
        <v>5</v>
      </c>
      <c r="EU17">
        <f>IF(Evalucion!EV15=Datos!$C$15,Datos!$D$15,IF(Evalucion!EV15=Datos!$C$16,Datos!$D$16,IF(Evalucion!EV15=Datos!$C$17,Datos!$D$17,IF(Evalucion!EV15=Datos!$C$18,Datos!$D$18,IF(Evalucion!EV15=Datos!$C$19,Datos!$D$19,"=")))))</f>
        <v>3</v>
      </c>
      <c r="EV17">
        <f>IF(Evalucion!EW15=Datos!$C$15,Datos!$D$15,IF(Evalucion!EW15=Datos!$C$16,Datos!$D$16,IF(Evalucion!EW15=Datos!$C$17,Datos!$D$17,IF(Evalucion!EW15=Datos!$C$18,Datos!$D$18,IF(Evalucion!EW15=Datos!$C$19,Datos!$D$19,"=")))))</f>
        <v>5</v>
      </c>
      <c r="EW17">
        <f>IF(Evalucion!EX15=Datos!$C$15,Datos!$D$15,IF(Evalucion!EX15=Datos!$C$16,Datos!$D$16,IF(Evalucion!EX15=Datos!$C$17,Datos!$D$17,IF(Evalucion!EX15=Datos!$C$18,Datos!$D$18,IF(Evalucion!EX15=Datos!$C$19,Datos!$D$19,"=")))))</f>
        <v>5</v>
      </c>
      <c r="EX17">
        <f>IF(Evalucion!EY15=Datos!$C$15,Datos!$D$15,IF(Evalucion!EY15=Datos!$C$16,Datos!$D$16,IF(Evalucion!EY15=Datos!$C$17,Datos!$D$17,IF(Evalucion!EY15=Datos!$C$18,Datos!$D$18,IF(Evalucion!EY15=Datos!$C$19,Datos!$D$19,"=")))))</f>
        <v>5</v>
      </c>
      <c r="EY17">
        <f>IF(Evalucion!EZ15=Datos!$C$15,Datos!$D$15,IF(Evalucion!EZ15=Datos!$C$16,Datos!$D$16,IF(Evalucion!EZ15=Datos!$C$17,Datos!$D$17,IF(Evalucion!EZ15=Datos!$C$18,Datos!$D$18,IF(Evalucion!EZ15=Datos!$C$19,Datos!$D$19,"=")))))</f>
        <v>3</v>
      </c>
      <c r="FA17">
        <f t="shared" si="3"/>
        <v>311</v>
      </c>
      <c r="FB17">
        <f t="shared" si="3"/>
        <v>257</v>
      </c>
      <c r="FC17" s="3">
        <f t="shared" si="4"/>
        <v>0.68533333333333335</v>
      </c>
      <c r="FD17" t="str">
        <f t="shared" si="0"/>
        <v>Conf_CR</v>
      </c>
      <c r="FF17">
        <f t="shared" si="5"/>
        <v>568</v>
      </c>
      <c r="FG17">
        <f t="shared" si="6"/>
        <v>0</v>
      </c>
    </row>
    <row r="18" spans="1:163" x14ac:dyDescent="0.2">
      <c r="A18">
        <f t="shared" si="7"/>
        <v>15</v>
      </c>
      <c r="B18" t="s">
        <v>260</v>
      </c>
      <c r="C18" t="s">
        <v>194</v>
      </c>
      <c r="D18" s="1">
        <v>43101</v>
      </c>
      <c r="E18">
        <f>IF(Evalucion!F16=Datos!$C$15,Datos!$D$15,IF(Evalucion!F16=Datos!$C$16,Datos!$D$16,IF(Evalucion!F16=Datos!$C$17,Datos!$D$17,IF(Evalucion!F16=Datos!$C$18,Datos!$D$18,IF(Evalucion!F16=Datos!$C$19,Datos!$D$19,"=")))))</f>
        <v>5</v>
      </c>
      <c r="F18">
        <f>IF(Evalucion!G16=Datos!$C$15,Datos!$D$15,IF(Evalucion!G16=Datos!$C$16,Datos!$D$16,IF(Evalucion!G16=Datos!$C$17,Datos!$D$17,IF(Evalucion!G16=Datos!$C$18,Datos!$D$18,IF(Evalucion!G16=Datos!$C$19,Datos!$D$19,"=")))))</f>
        <v>5</v>
      </c>
      <c r="G18">
        <f>IF(Evalucion!H16=Datos!$C$15,Datos!$D$15,IF(Evalucion!H16=Datos!$C$16,Datos!$D$16,IF(Evalucion!H16=Datos!$C$17,Datos!$D$17,IF(Evalucion!H16=Datos!$C$18,Datos!$D$18,IF(Evalucion!H16=Datos!$C$19,Datos!$D$19,"=")))))</f>
        <v>5</v>
      </c>
      <c r="H18">
        <f>IF(Evalucion!I16=Datos!$C$15,Datos!$D$15,IF(Evalucion!I16=Datos!$C$16,Datos!$D$16,IF(Evalucion!I16=Datos!$C$17,Datos!$D$17,IF(Evalucion!I16=Datos!$C$18,Datos!$D$18,IF(Evalucion!I16=Datos!$C$19,Datos!$D$19,"=")))))</f>
        <v>1</v>
      </c>
      <c r="I18">
        <f>IF(Evalucion!J16=Datos!$C$15,Datos!$D$15,IF(Evalucion!J16=Datos!$C$16,Datos!$D$16,IF(Evalucion!J16=Datos!$C$17,Datos!$D$17,IF(Evalucion!J16=Datos!$C$18,Datos!$D$18,IF(Evalucion!J16=Datos!$C$19,Datos!$D$19,"=")))))</f>
        <v>1</v>
      </c>
      <c r="J18">
        <f>IF(Evalucion!K16=Datos!$C$15,Datos!$D$15,IF(Evalucion!K16=Datos!$C$16,Datos!$D$16,IF(Evalucion!K16=Datos!$C$17,Datos!$D$17,IF(Evalucion!K16=Datos!$C$18,Datos!$D$18,IF(Evalucion!K16=Datos!$C$19,Datos!$D$19,"=")))))</f>
        <v>1</v>
      </c>
      <c r="K18">
        <f>IF(Evalucion!L16=Datos!$C$15,Datos!$D$15,IF(Evalucion!L16=Datos!$C$16,Datos!$D$16,IF(Evalucion!L16=Datos!$C$17,Datos!$D$17,IF(Evalucion!L16=Datos!$C$18,Datos!$D$18,IF(Evalucion!L16=Datos!$C$19,Datos!$D$19,"=")))))</f>
        <v>5</v>
      </c>
      <c r="L18">
        <f>IF(Evalucion!M16=Datos!$C$15,Datos!$D$15,IF(Evalucion!M16=Datos!$C$16,Datos!$D$16,IF(Evalucion!M16=Datos!$C$17,Datos!$D$17,IF(Evalucion!M16=Datos!$C$18,Datos!$D$18,IF(Evalucion!M16=Datos!$C$19,Datos!$D$19,"=")))))</f>
        <v>5</v>
      </c>
      <c r="M18">
        <f>IF(Evalucion!N16=Datos!$C$15,Datos!$D$15,IF(Evalucion!N16=Datos!$C$16,Datos!$D$16,IF(Evalucion!N16=Datos!$C$17,Datos!$D$17,IF(Evalucion!N16=Datos!$C$18,Datos!$D$18,IF(Evalucion!N16=Datos!$C$19,Datos!$D$19,"=")))))</f>
        <v>5</v>
      </c>
      <c r="N18">
        <f>IF(Evalucion!O16=Datos!$C$15,Datos!$D$15,IF(Evalucion!O16=Datos!$C$16,Datos!$D$16,IF(Evalucion!O16=Datos!$C$17,Datos!$D$17,IF(Evalucion!O16=Datos!$C$18,Datos!$D$18,IF(Evalucion!O16=Datos!$C$19,Datos!$D$19,"=")))))</f>
        <v>5</v>
      </c>
      <c r="O18">
        <f>IF(Evalucion!P16=Datos!$C$15,Datos!$D$15,IF(Evalucion!P16=Datos!$C$16,Datos!$D$16,IF(Evalucion!P16=Datos!$C$17,Datos!$D$17,IF(Evalucion!P16=Datos!$C$18,Datos!$D$18,IF(Evalucion!P16=Datos!$C$19,Datos!$D$19,"=")))))</f>
        <v>5</v>
      </c>
      <c r="P18">
        <f>IF(Evalucion!Q16=Datos!$C$15,Datos!$D$15,IF(Evalucion!Q16=Datos!$C$16,Datos!$D$16,IF(Evalucion!Q16=Datos!$C$17,Datos!$D$17,IF(Evalucion!Q16=Datos!$C$18,Datos!$D$18,IF(Evalucion!Q16=Datos!$C$19,Datos!$D$19,"=")))))</f>
        <v>5</v>
      </c>
      <c r="Q18">
        <f>IF(Evalucion!R16=Datos!$C$15,Datos!$D$15,IF(Evalucion!R16=Datos!$C$16,Datos!$D$16,IF(Evalucion!R16=Datos!$C$17,Datos!$D$17,IF(Evalucion!R16=Datos!$C$18,Datos!$D$18,IF(Evalucion!R16=Datos!$C$19,Datos!$D$19,"=")))))</f>
        <v>5</v>
      </c>
      <c r="R18">
        <f>IF(Evalucion!S16=Datos!$C$15,Datos!$D$15,IF(Evalucion!S16=Datos!$C$16,Datos!$D$16,IF(Evalucion!S16=Datos!$C$17,Datos!$D$17,IF(Evalucion!S16=Datos!$C$18,Datos!$D$18,IF(Evalucion!S16=Datos!$C$19,Datos!$D$19,"=")))))</f>
        <v>5</v>
      </c>
      <c r="S18">
        <f>IF(Evalucion!T16=Datos!$C$15,Datos!$D$15,IF(Evalucion!T16=Datos!$C$16,Datos!$D$16,IF(Evalucion!T16=Datos!$C$17,Datos!$D$17,IF(Evalucion!T16=Datos!$C$18,Datos!$D$18,IF(Evalucion!T16=Datos!$C$19,Datos!$D$19,"=")))))</f>
        <v>5</v>
      </c>
      <c r="T18">
        <f>IF(Evalucion!U16=Datos!$C$15,Datos!$D$15,IF(Evalucion!U16=Datos!$C$16,Datos!$D$16,IF(Evalucion!U16=Datos!$C$17,Datos!$D$17,IF(Evalucion!U16=Datos!$C$18,Datos!$D$18,IF(Evalucion!U16=Datos!$C$19,Datos!$D$19,"=")))))</f>
        <v>5</v>
      </c>
      <c r="U18">
        <f>IF(Evalucion!V16=Datos!$C$15,Datos!$D$15,IF(Evalucion!V16=Datos!$C$16,Datos!$D$16,IF(Evalucion!V16=Datos!$C$17,Datos!$D$17,IF(Evalucion!V16=Datos!$C$18,Datos!$D$18,IF(Evalucion!V16=Datos!$C$19,Datos!$D$19,"=")))))</f>
        <v>5</v>
      </c>
      <c r="V18">
        <f>IF(Evalucion!W16=Datos!$C$15,Datos!$D$15,IF(Evalucion!W16=Datos!$C$16,Datos!$D$16,IF(Evalucion!W16=Datos!$C$17,Datos!$D$17,IF(Evalucion!W16=Datos!$C$18,Datos!$D$18,IF(Evalucion!W16=Datos!$C$19,Datos!$D$19,"=")))))</f>
        <v>5</v>
      </c>
      <c r="W18">
        <f>IF(Evalucion!X16=Datos!$C$15,Datos!$D$15,IF(Evalucion!X16=Datos!$C$16,Datos!$D$16,IF(Evalucion!X16=Datos!$C$17,Datos!$D$17,IF(Evalucion!X16=Datos!$C$18,Datos!$D$18,IF(Evalucion!X16=Datos!$C$19,Datos!$D$19,"=")))))</f>
        <v>5</v>
      </c>
      <c r="X18">
        <f>IF(Evalucion!Y16=Datos!$C$15,Datos!$D$15,IF(Evalucion!Y16=Datos!$C$16,Datos!$D$16,IF(Evalucion!Y16=Datos!$C$17,Datos!$D$17,IF(Evalucion!Y16=Datos!$C$18,Datos!$D$18,IF(Evalucion!Y16=Datos!$C$19,Datos!$D$19,"=")))))</f>
        <v>5</v>
      </c>
      <c r="Y18">
        <f>IF(Evalucion!Z16=Datos!$C$15,Datos!$D$15,IF(Evalucion!Z16=Datos!$C$16,Datos!$D$16,IF(Evalucion!Z16=Datos!$C$17,Datos!$D$17,IF(Evalucion!Z16=Datos!$C$18,Datos!$D$18,IF(Evalucion!Z16=Datos!$C$19,Datos!$D$19,"=")))))</f>
        <v>5</v>
      </c>
      <c r="Z18">
        <f>IF(Evalucion!AA16=Datos!$C$15,Datos!$D$15,IF(Evalucion!AA16=Datos!$C$16,Datos!$D$16,IF(Evalucion!AA16=Datos!$C$17,Datos!$D$17,IF(Evalucion!AA16=Datos!$C$18,Datos!$D$18,IF(Evalucion!AA16=Datos!$C$19,Datos!$D$19,"=")))))</f>
        <v>5</v>
      </c>
      <c r="AA18">
        <f>IF(Evalucion!AB16=Datos!$C$15,Datos!$D$15,IF(Evalucion!AB16=Datos!$C$16,Datos!$D$16,IF(Evalucion!AB16=Datos!$C$17,Datos!$D$17,IF(Evalucion!AB16=Datos!$C$18,Datos!$D$18,IF(Evalucion!AB16=Datos!$C$19,Datos!$D$19,"=")))))</f>
        <v>5</v>
      </c>
      <c r="AB18">
        <f>IF(Evalucion!AC16=Datos!$C$15,Datos!$D$15,IF(Evalucion!AC16=Datos!$C$16,Datos!$D$16,IF(Evalucion!AC16=Datos!$C$17,Datos!$D$17,IF(Evalucion!AC16=Datos!$C$18,Datos!$D$18,IF(Evalucion!AC16=Datos!$C$19,Datos!$D$19,"=")))))</f>
        <v>5</v>
      </c>
      <c r="AC18">
        <f>IF(Evalucion!AD16=Datos!$C$15,Datos!$D$15,IF(Evalucion!AD16=Datos!$C$16,Datos!$D$16,IF(Evalucion!AD16=Datos!$C$17,Datos!$D$17,IF(Evalucion!AD16=Datos!$C$18,Datos!$D$18,IF(Evalucion!AD16=Datos!$C$19,Datos!$D$19,"=")))))</f>
        <v>5</v>
      </c>
      <c r="AD18">
        <f>IF(Evalucion!AE16=Datos!$C$15,Datos!$D$15,IF(Evalucion!AE16=Datos!$C$16,Datos!$D$16,IF(Evalucion!AE16=Datos!$C$17,Datos!$D$17,IF(Evalucion!AE16=Datos!$C$18,Datos!$D$18,IF(Evalucion!AE16=Datos!$C$19,Datos!$D$19,"=")))))</f>
        <v>5</v>
      </c>
      <c r="AE18">
        <f>IF(Evalucion!AF16=Datos!$C$15,Datos!$D$15,IF(Evalucion!AF16=Datos!$C$16,Datos!$D$16,IF(Evalucion!AF16=Datos!$C$17,Datos!$D$17,IF(Evalucion!AF16=Datos!$C$18,Datos!$D$18,IF(Evalucion!AF16=Datos!$C$19,Datos!$D$19,"=")))))</f>
        <v>5</v>
      </c>
      <c r="AF18">
        <f>IF(Evalucion!AG16=Datos!$C$15,Datos!$D$15,IF(Evalucion!AG16=Datos!$C$16,Datos!$D$16,IF(Evalucion!AG16=Datos!$C$17,Datos!$D$17,IF(Evalucion!AG16=Datos!$C$18,Datos!$D$18,IF(Evalucion!AG16=Datos!$C$19,Datos!$D$19,"=")))))</f>
        <v>5</v>
      </c>
      <c r="AO18">
        <f>IF(Evalucion!AP16=Datos!$C$15,Datos!$D$15,IF(Evalucion!AP16=Datos!$C$16,Datos!$D$16,IF(Evalucion!AP16=Datos!$C$17,Datos!$D$17,IF(Evalucion!AP16=Datos!$C$18,Datos!$D$18,IF(Evalucion!AP16=Datos!$C$19,Datos!$D$19,"=")))))</f>
        <v>5</v>
      </c>
      <c r="AP18">
        <f>IF(Evalucion!AQ16=Datos!$C$15,Datos!$D$15,IF(Evalucion!AQ16=Datos!$C$16,Datos!$D$16,IF(Evalucion!AQ16=Datos!$C$17,Datos!$D$17,IF(Evalucion!AQ16=Datos!$C$18,Datos!$D$18,IF(Evalucion!AQ16=Datos!$C$19,Datos!$D$19,"=")))))</f>
        <v>3</v>
      </c>
      <c r="AQ18">
        <f>IF(Evalucion!AR16=Datos!$C$15,Datos!$D$15,IF(Evalucion!AR16=Datos!$C$16,Datos!$D$16,IF(Evalucion!AR16=Datos!$C$17,Datos!$D$17,IF(Evalucion!AR16=Datos!$C$18,Datos!$D$18,IF(Evalucion!AR16=Datos!$C$19,Datos!$D$19,"=")))))</f>
        <v>1</v>
      </c>
      <c r="AR18">
        <f>IF(Evalucion!AS16=Datos!$C$15,Datos!$D$15,IF(Evalucion!AS16=Datos!$C$16,Datos!$D$16,IF(Evalucion!AS16=Datos!$C$17,Datos!$D$17,IF(Evalucion!AS16=Datos!$C$18,Datos!$D$18,IF(Evalucion!AS16=Datos!$C$19,Datos!$D$19,"=")))))</f>
        <v>1</v>
      </c>
      <c r="AS18">
        <f>IF(Evalucion!AT16=Datos!$C$15,Datos!$D$15,IF(Evalucion!AT16=Datos!$C$16,Datos!$D$16,IF(Evalucion!AT16=Datos!$C$17,Datos!$D$17,IF(Evalucion!AT16=Datos!$C$18,Datos!$D$18,IF(Evalucion!AT16=Datos!$C$19,Datos!$D$19,"=")))))</f>
        <v>5</v>
      </c>
      <c r="AT18">
        <f>IF(Evalucion!AU16=Datos!$C$15,Datos!$D$15,IF(Evalucion!AU16=Datos!$C$16,Datos!$D$16,IF(Evalucion!AU16=Datos!$C$17,Datos!$D$17,IF(Evalucion!AU16=Datos!$C$18,Datos!$D$18,IF(Evalucion!AU16=Datos!$C$19,Datos!$D$19,"=")))))</f>
        <v>3</v>
      </c>
      <c r="AV18">
        <f>IF(Evalucion!AW16=Datos!$C$15,Datos!$D$15,IF(Evalucion!AW16=Datos!$C$16,Datos!$D$16,IF(Evalucion!AW16=Datos!$C$17,Datos!$D$17,IF(Evalucion!AW16=Datos!$C$18,Datos!$D$18,IF(Evalucion!AW16=Datos!$C$19,Datos!$D$19,"=")))))</f>
        <v>5</v>
      </c>
      <c r="AW18">
        <f>IF(Evalucion!AX16=Datos!$C$15,Datos!$D$15,IF(Evalucion!AX16=Datos!$C$16,Datos!$D$16,IF(Evalucion!AX16=Datos!$C$17,Datos!$D$17,IF(Evalucion!AX16=Datos!$C$18,Datos!$D$18,IF(Evalucion!AX16=Datos!$C$19,Datos!$D$19,"=")))))</f>
        <v>1</v>
      </c>
      <c r="AX18">
        <f>IF(Evalucion!AY16=Datos!$C$15,Datos!$D$15,IF(Evalucion!AY16=Datos!$C$16,Datos!$D$16,IF(Evalucion!AY16=Datos!$C$17,Datos!$D$17,IF(Evalucion!AY16=Datos!$C$18,Datos!$D$18,IF(Evalucion!AY16=Datos!$C$19,Datos!$D$19,"=")))))</f>
        <v>5</v>
      </c>
      <c r="AY18">
        <f>IF(Evalucion!AZ16=Datos!$C$15,Datos!$D$15,IF(Evalucion!AZ16=Datos!$C$16,Datos!$D$16,IF(Evalucion!AZ16=Datos!$C$17,Datos!$D$17,IF(Evalucion!AZ16=Datos!$C$18,Datos!$D$18,IF(Evalucion!AZ16=Datos!$C$19,Datos!$D$19,"=")))))</f>
        <v>5</v>
      </c>
      <c r="AZ18">
        <f>IF(Evalucion!BA16=Datos!$C$15,Datos!$D$15,IF(Evalucion!BA16=Datos!$C$16,Datos!$D$16,IF(Evalucion!BA16=Datos!$C$17,Datos!$D$17,IF(Evalucion!BA16=Datos!$C$18,Datos!$D$18,IF(Evalucion!BA16=Datos!$C$19,Datos!$D$19,"=")))))</f>
        <v>5</v>
      </c>
      <c r="BA18">
        <f>IF(Evalucion!BB16=Datos!$C$15,Datos!$D$15,IF(Evalucion!BB16=Datos!$C$16,Datos!$D$16,IF(Evalucion!BB16=Datos!$C$17,Datos!$D$17,IF(Evalucion!BB16=Datos!$C$18,Datos!$D$18,IF(Evalucion!BB16=Datos!$C$19,Datos!$D$19,"=")))))</f>
        <v>5</v>
      </c>
      <c r="BB18">
        <f>IF(Evalucion!BC16=Datos!$C$15,Datos!$D$15,IF(Evalucion!BC16=Datos!$C$16,Datos!$D$16,IF(Evalucion!BC16=Datos!$C$17,Datos!$D$17,IF(Evalucion!BC16=Datos!$C$18,Datos!$D$18,IF(Evalucion!BC16=Datos!$C$19,Datos!$D$19,"=")))))</f>
        <v>5</v>
      </c>
      <c r="BC18">
        <f>IF(Evalucion!BD16=Datos!$C$15,Datos!$D$15,IF(Evalucion!BD16=Datos!$C$16,Datos!$D$16,IF(Evalucion!BD16=Datos!$C$17,Datos!$D$17,IF(Evalucion!BD16=Datos!$C$18,Datos!$D$18,IF(Evalucion!BD16=Datos!$C$19,Datos!$D$19,"=")))))</f>
        <v>1</v>
      </c>
      <c r="BD18">
        <f>IF(Evalucion!BE16=Datos!$C$15,Datos!$D$15,IF(Evalucion!BE16=Datos!$C$16,Datos!$D$16,IF(Evalucion!BE16=Datos!$C$17,Datos!$D$17,IF(Evalucion!BE16=Datos!$C$18,Datos!$D$18,IF(Evalucion!BE16=Datos!$C$19,Datos!$D$19,"=")))))</f>
        <v>5</v>
      </c>
      <c r="BE18">
        <f>IF(Evalucion!BF16=Datos!$C$15,Datos!$D$15,IF(Evalucion!BF16=Datos!$C$16,Datos!$D$16,IF(Evalucion!BF16=Datos!$C$17,Datos!$D$17,IF(Evalucion!BF16=Datos!$C$18,Datos!$D$18,IF(Evalucion!BF16=Datos!$C$19,Datos!$D$19,"=")))))</f>
        <v>3</v>
      </c>
      <c r="BF18">
        <f>IF(Evalucion!BG16=Datos!$C$15,Datos!$D$15,IF(Evalucion!BG16=Datos!$C$16,Datos!$D$16,IF(Evalucion!BG16=Datos!$C$17,Datos!$D$17,IF(Evalucion!BG16=Datos!$C$18,Datos!$D$18,IF(Evalucion!BG16=Datos!$C$19,Datos!$D$19,"=")))))</f>
        <v>5</v>
      </c>
      <c r="BG18">
        <f>IF(Evalucion!BH16=Datos!$C$15,Datos!$D$15,IF(Evalucion!BH16=Datos!$C$16,Datos!$D$16,IF(Evalucion!BH16=Datos!$C$17,Datos!$D$17,IF(Evalucion!BH16=Datos!$C$18,Datos!$D$18,IF(Evalucion!BH16=Datos!$C$19,Datos!$D$19,"=")))))</f>
        <v>5</v>
      </c>
      <c r="BH18">
        <f>IF(Evalucion!BI16=Datos!$C$15,Datos!$D$15,IF(Evalucion!BI16=Datos!$C$16,Datos!$D$16,IF(Evalucion!BI16=Datos!$C$17,Datos!$D$17,IF(Evalucion!BI16=Datos!$C$18,Datos!$D$18,IF(Evalucion!BI16=Datos!$C$19,Datos!$D$19,"=")))))</f>
        <v>5</v>
      </c>
      <c r="BI18">
        <f>IF(Evalucion!BJ16=Datos!$C$15,Datos!$D$15,IF(Evalucion!BJ16=Datos!$C$16,Datos!$D$16,IF(Evalucion!BJ16=Datos!$C$17,Datos!$D$17,IF(Evalucion!BJ16=Datos!$C$18,Datos!$D$18,IF(Evalucion!BJ16=Datos!$C$19,Datos!$D$19,"=")))))</f>
        <v>5</v>
      </c>
      <c r="BJ18">
        <f>IF(Evalucion!BK16=Datos!$C$15,Datos!$D$15,IF(Evalucion!BK16=Datos!$C$16,Datos!$D$16,IF(Evalucion!BK16=Datos!$C$17,Datos!$D$17,IF(Evalucion!BK16=Datos!$C$18,Datos!$D$18,IF(Evalucion!BK16=Datos!$C$19,Datos!$D$19,"=")))))</f>
        <v>5</v>
      </c>
      <c r="BK18">
        <f>IF(Evalucion!BL16=Datos!$C$15,Datos!$D$15,IF(Evalucion!BL16=Datos!$C$16,Datos!$D$16,IF(Evalucion!BL16=Datos!$C$17,Datos!$D$17,IF(Evalucion!BL16=Datos!$C$18,Datos!$D$18,IF(Evalucion!BL16=Datos!$C$19,Datos!$D$19,"=")))))</f>
        <v>3</v>
      </c>
      <c r="BL18">
        <f>IF(Evalucion!BM16=Datos!$C$15,Datos!$D$15,IF(Evalucion!BM16=Datos!$C$16,Datos!$D$16,IF(Evalucion!BM16=Datos!$C$17,Datos!$D$17,IF(Evalucion!BM16=Datos!$C$18,Datos!$D$18,IF(Evalucion!BM16=Datos!$C$19,Datos!$D$19,"=")))))</f>
        <v>5</v>
      </c>
      <c r="BM18">
        <f>IF(Evalucion!BN16=Datos!$C$15,Datos!$D$15,IF(Evalucion!BN16=Datos!$C$16,Datos!$D$16,IF(Evalucion!BN16=Datos!$C$17,Datos!$D$17,IF(Evalucion!BN16=Datos!$C$18,Datos!$D$18,IF(Evalucion!BN16=Datos!$C$19,Datos!$D$19,"=")))))</f>
        <v>5</v>
      </c>
      <c r="BN18">
        <f>IF(Evalucion!BO16=Datos!$C$15,Datos!$D$15,IF(Evalucion!BO16=Datos!$C$16,Datos!$D$16,IF(Evalucion!BO16=Datos!$C$17,Datos!$D$17,IF(Evalucion!BO16=Datos!$C$18,Datos!$D$18,IF(Evalucion!BO16=Datos!$C$19,Datos!$D$19,"=")))))</f>
        <v>5</v>
      </c>
      <c r="BO18">
        <f>IF(Evalucion!BP16=Datos!$C$15,Datos!$D$15,IF(Evalucion!BP16=Datos!$C$16,Datos!$D$16,IF(Evalucion!BP16=Datos!$C$17,Datos!$D$17,IF(Evalucion!BP16=Datos!$C$18,Datos!$D$18,IF(Evalucion!BP16=Datos!$C$19,Datos!$D$19,"=")))))</f>
        <v>5</v>
      </c>
      <c r="BP18">
        <f>IF(Evalucion!BQ16=Datos!$C$15,Datos!$D$15,IF(Evalucion!BQ16=Datos!$C$16,Datos!$D$16,IF(Evalucion!BQ16=Datos!$C$17,Datos!$D$17,IF(Evalucion!BQ16=Datos!$C$18,Datos!$D$18,IF(Evalucion!BQ16=Datos!$C$19,Datos!$D$19,"=")))))</f>
        <v>5</v>
      </c>
      <c r="BQ18">
        <f>IF(Evalucion!BR16=Datos!$C$15,Datos!$D$15,IF(Evalucion!BR16=Datos!$C$16,Datos!$D$16,IF(Evalucion!BR16=Datos!$C$17,Datos!$D$17,IF(Evalucion!BR16=Datos!$C$18,Datos!$D$18,IF(Evalucion!BR16=Datos!$C$19,Datos!$D$19,"=")))))</f>
        <v>1</v>
      </c>
      <c r="BR18">
        <f>IF(Evalucion!BS16=Datos!$C$15,Datos!$D$15,IF(Evalucion!BS16=Datos!$C$16,Datos!$D$16,IF(Evalucion!BS16=Datos!$C$17,Datos!$D$17,IF(Evalucion!BS16=Datos!$C$18,Datos!$D$18,IF(Evalucion!BS16=Datos!$C$19,Datos!$D$19,"=")))))</f>
        <v>5</v>
      </c>
      <c r="BS18">
        <f>IF(Evalucion!BT16=Datos!$C$15,Datos!$D$15,IF(Evalucion!BT16=Datos!$C$16,Datos!$D$16,IF(Evalucion!BT16=Datos!$C$17,Datos!$D$17,IF(Evalucion!BT16=Datos!$C$18,Datos!$D$18,IF(Evalucion!BT16=Datos!$C$19,Datos!$D$19,"=")))))</f>
        <v>1</v>
      </c>
      <c r="BT18">
        <f>IF(Evalucion!BU16=Datos!$C$15,Datos!$D$15,IF(Evalucion!BU16=Datos!$C$16,Datos!$D$16,IF(Evalucion!BU16=Datos!$C$17,Datos!$D$17,IF(Evalucion!BU16=Datos!$C$18,Datos!$D$18,IF(Evalucion!BU16=Datos!$C$19,Datos!$D$19,"=")))))</f>
        <v>5</v>
      </c>
      <c r="BU18">
        <f>IF(Evalucion!BV16=Datos!$C$15,Datos!$D$15,IF(Evalucion!BV16=Datos!$C$16,Datos!$D$16,IF(Evalucion!BV16=Datos!$C$17,Datos!$D$17,IF(Evalucion!BV16=Datos!$C$18,Datos!$D$18,IF(Evalucion!BV16=Datos!$C$19,Datos!$D$19,"=")))))</f>
        <v>3</v>
      </c>
      <c r="BV18">
        <f>IF(Evalucion!BW16=Datos!$C$15,Datos!$D$15,IF(Evalucion!BW16=Datos!$C$16,Datos!$D$16,IF(Evalucion!BW16=Datos!$C$17,Datos!$D$17,IF(Evalucion!BW16=Datos!$C$18,Datos!$D$18,IF(Evalucion!BW16=Datos!$C$19,Datos!$D$19,"=")))))</f>
        <v>5</v>
      </c>
      <c r="BW18">
        <f>IF(Evalucion!BX16=Datos!$C$15,Datos!$D$15,IF(Evalucion!BX16=Datos!$C$16,Datos!$D$16,IF(Evalucion!BX16=Datos!$C$17,Datos!$D$17,IF(Evalucion!BX16=Datos!$C$18,Datos!$D$18,IF(Evalucion!BX16=Datos!$C$19,Datos!$D$19,"=")))))</f>
        <v>5</v>
      </c>
      <c r="BX18">
        <f>IF(Evalucion!BY16=Datos!$C$15,Datos!$D$15,IF(Evalucion!BY16=Datos!$C$16,Datos!$D$16,IF(Evalucion!BY16=Datos!$C$17,Datos!$D$17,IF(Evalucion!BY16=Datos!$C$18,Datos!$D$18,IF(Evalucion!BY16=Datos!$C$19,Datos!$D$19,"=")))))</f>
        <v>5</v>
      </c>
      <c r="BY18">
        <f>IF(Evalucion!BZ16=Datos!$C$15,Datos!$D$15,IF(Evalucion!BZ16=Datos!$C$16,Datos!$D$16,IF(Evalucion!BZ16=Datos!$C$17,Datos!$D$17,IF(Evalucion!BZ16=Datos!$C$18,Datos!$D$18,IF(Evalucion!BZ16=Datos!$C$19,Datos!$D$19,"=")))))</f>
        <v>5</v>
      </c>
      <c r="BZ18">
        <f>IF(Evalucion!CA16=Datos!$C$15,Datos!$D$15,IF(Evalucion!CA16=Datos!$C$16,Datos!$D$16,IF(Evalucion!CA16=Datos!$C$17,Datos!$D$17,IF(Evalucion!CA16=Datos!$C$18,Datos!$D$18,IF(Evalucion!CA16=Datos!$C$19,Datos!$D$19,"=")))))</f>
        <v>5</v>
      </c>
      <c r="CA18">
        <f>IF(Evalucion!CB16=Datos!$C$15,Datos!$D$15,IF(Evalucion!CB16=Datos!$C$16,Datos!$D$16,IF(Evalucion!CB16=Datos!$C$17,Datos!$D$17,IF(Evalucion!CB16=Datos!$C$18,Datos!$D$18,IF(Evalucion!CB16=Datos!$C$19,Datos!$D$19,"=")))))</f>
        <v>5</v>
      </c>
      <c r="CB18">
        <f>IF(Evalucion!CC16=Datos!$C$15,Datos!$D$15,IF(Evalucion!CC16=Datos!$C$16,Datos!$D$16,IF(Evalucion!CC16=Datos!$C$17,Datos!$D$17,IF(Evalucion!CC16=Datos!$C$18,Datos!$D$18,IF(Evalucion!CC16=Datos!$C$19,Datos!$D$19,"=")))))</f>
        <v>5</v>
      </c>
      <c r="CC18">
        <f>IF(Evalucion!CD16=Datos!$C$15,Datos!$D$15,IF(Evalucion!CD16=Datos!$C$16,Datos!$D$16,IF(Evalucion!CD16=Datos!$C$17,Datos!$D$17,IF(Evalucion!CD16=Datos!$C$18,Datos!$D$18,IF(Evalucion!CD16=Datos!$C$19,Datos!$D$19,"=")))))</f>
        <v>5</v>
      </c>
      <c r="CD18">
        <f>IF(Evalucion!CE16=Datos!$C$15,Datos!$D$15,IF(Evalucion!CE16=Datos!$C$16,Datos!$D$16,IF(Evalucion!CE16=Datos!$C$17,Datos!$D$17,IF(Evalucion!CE16=Datos!$C$18,Datos!$D$18,IF(Evalucion!CE16=Datos!$C$19,Datos!$D$19,"=")))))</f>
        <v>5</v>
      </c>
      <c r="CE18">
        <f>IF(Evalucion!CF16=Datos!$C$15,Datos!$D$15,IF(Evalucion!CF16=Datos!$C$16,Datos!$D$16,IF(Evalucion!CF16=Datos!$C$17,Datos!$D$17,IF(Evalucion!CF16=Datos!$C$18,Datos!$D$18,IF(Evalucion!CF16=Datos!$C$19,Datos!$D$19,"=")))))</f>
        <v>3</v>
      </c>
      <c r="CF18">
        <f>IF(Evalucion!CG16=Datos!$C$15,Datos!$D$15,IF(Evalucion!CG16=Datos!$C$16,Datos!$D$16,IF(Evalucion!CG16=Datos!$C$17,Datos!$D$17,IF(Evalucion!CG16=Datos!$C$18,Datos!$D$18,IF(Evalucion!CG16=Datos!$C$19,Datos!$D$19,"=")))))</f>
        <v>5</v>
      </c>
      <c r="CG18">
        <f>IF(Evalucion!CH16=Datos!$C$15,Datos!$D$15,IF(Evalucion!CH16=Datos!$C$16,Datos!$D$16,IF(Evalucion!CH16=Datos!$C$17,Datos!$D$17,IF(Evalucion!CH16=Datos!$C$18,Datos!$D$18,IF(Evalucion!CH16=Datos!$C$19,Datos!$D$19,"=")))))</f>
        <v>1</v>
      </c>
      <c r="CH18">
        <f>IF(Evalucion!CI16=Datos!$C$15,Datos!$D$15,IF(Evalucion!CI16=Datos!$C$16,Datos!$D$16,IF(Evalucion!CI16=Datos!$C$17,Datos!$D$17,IF(Evalucion!CI16=Datos!$C$18,Datos!$D$18,IF(Evalucion!CI16=Datos!$C$19,Datos!$D$19,"=")))))</f>
        <v>5</v>
      </c>
      <c r="CI18">
        <f>IF(Evalucion!CJ16=Datos!$C$15,Datos!$D$15,IF(Evalucion!CJ16=Datos!$C$16,Datos!$D$16,IF(Evalucion!CJ16=Datos!$C$17,Datos!$D$17,IF(Evalucion!CJ16=Datos!$C$18,Datos!$D$18,IF(Evalucion!CJ16=Datos!$C$19,Datos!$D$19,"=")))))</f>
        <v>3</v>
      </c>
      <c r="CJ18">
        <f>IF(Evalucion!CK16=Datos!$C$15,Datos!$D$15,IF(Evalucion!CK16=Datos!$C$16,Datos!$D$16,IF(Evalucion!CK16=Datos!$C$17,Datos!$D$17,IF(Evalucion!CK16=Datos!$C$18,Datos!$D$18,IF(Evalucion!CK16=Datos!$C$19,Datos!$D$19,"=")))))</f>
        <v>5</v>
      </c>
      <c r="CK18">
        <f>IF(Evalucion!CL16=Datos!$C$15,Datos!$D$15,IF(Evalucion!CL16=Datos!$C$16,Datos!$D$16,IF(Evalucion!CL16=Datos!$C$17,Datos!$D$17,IF(Evalucion!CL16=Datos!$C$18,Datos!$D$18,IF(Evalucion!CL16=Datos!$C$19,Datos!$D$19,"=")))))</f>
        <v>5</v>
      </c>
      <c r="CL18">
        <f>IF(Evalucion!CM16=Datos!$C$15,Datos!$D$15,IF(Evalucion!CM16=Datos!$C$16,Datos!$D$16,IF(Evalucion!CM16=Datos!$C$17,Datos!$D$17,IF(Evalucion!CM16=Datos!$C$18,Datos!$D$18,IF(Evalucion!CM16=Datos!$C$19,Datos!$D$19,"=")))))</f>
        <v>5</v>
      </c>
      <c r="CM18">
        <f>IF(Evalucion!CN16=Datos!$C$15,Datos!$D$15,IF(Evalucion!CN16=Datos!$C$16,Datos!$D$16,IF(Evalucion!CN16=Datos!$C$17,Datos!$D$17,IF(Evalucion!CN16=Datos!$C$18,Datos!$D$18,IF(Evalucion!CN16=Datos!$C$19,Datos!$D$19,"=")))))</f>
        <v>5</v>
      </c>
      <c r="CN18">
        <f>IF(Evalucion!CO16=Datos!$C$15,Datos!$D$15,IF(Evalucion!CO16=Datos!$C$16,Datos!$D$16,IF(Evalucion!CO16=Datos!$C$17,Datos!$D$17,IF(Evalucion!CO16=Datos!$C$18,Datos!$D$18,IF(Evalucion!CO16=Datos!$C$19,Datos!$D$19,"=")))))</f>
        <v>5</v>
      </c>
      <c r="CO18">
        <f>IF(Evalucion!CP16=Datos!$C$15,Datos!$D$15,IF(Evalucion!CP16=Datos!$C$16,Datos!$D$16,IF(Evalucion!CP16=Datos!$C$17,Datos!$D$17,IF(Evalucion!CP16=Datos!$C$18,Datos!$D$18,IF(Evalucion!CP16=Datos!$C$19,Datos!$D$19,"=")))))</f>
        <v>5</v>
      </c>
      <c r="CP18">
        <f>IF(Evalucion!CQ16=Datos!$C$15,Datos!$D$15,IF(Evalucion!CQ16=Datos!$C$16,Datos!$D$16,IF(Evalucion!CQ16=Datos!$C$17,Datos!$D$17,IF(Evalucion!CQ16=Datos!$C$18,Datos!$D$18,IF(Evalucion!CQ16=Datos!$C$19,Datos!$D$19,"=")))))</f>
        <v>5</v>
      </c>
      <c r="CQ18">
        <f>IF(Evalucion!CR16=Datos!$C$15,Datos!$D$15,IF(Evalucion!CR16=Datos!$C$16,Datos!$D$16,IF(Evalucion!CR16=Datos!$C$17,Datos!$D$17,IF(Evalucion!CR16=Datos!$C$18,Datos!$D$18,IF(Evalucion!CR16=Datos!$C$19,Datos!$D$19,"=")))))</f>
        <v>1</v>
      </c>
      <c r="CR18">
        <f>IF(Evalucion!CS16=Datos!$C$15,Datos!$D$15,IF(Evalucion!CS16=Datos!$C$16,Datos!$D$16,IF(Evalucion!CS16=Datos!$C$17,Datos!$D$17,IF(Evalucion!CS16=Datos!$C$18,Datos!$D$18,IF(Evalucion!CS16=Datos!$C$19,Datos!$D$19,"=")))))</f>
        <v>5</v>
      </c>
      <c r="CS18">
        <f>IF(Evalucion!CT16=Datos!$C$15,Datos!$D$15,IF(Evalucion!CT16=Datos!$C$16,Datos!$D$16,IF(Evalucion!CT16=Datos!$C$17,Datos!$D$17,IF(Evalucion!CT16=Datos!$C$18,Datos!$D$18,IF(Evalucion!CT16=Datos!$C$19,Datos!$D$19,"=")))))</f>
        <v>3</v>
      </c>
      <c r="CT18">
        <f>IF(Evalucion!CU16=Datos!$C$15,Datos!$D$15,IF(Evalucion!CU16=Datos!$C$16,Datos!$D$16,IF(Evalucion!CU16=Datos!$C$17,Datos!$D$17,IF(Evalucion!CU16=Datos!$C$18,Datos!$D$18,IF(Evalucion!CU16=Datos!$C$19,Datos!$D$19,"=")))))</f>
        <v>5</v>
      </c>
      <c r="CU18">
        <f>IF(Evalucion!CV16=Datos!$C$15,Datos!$D$15,IF(Evalucion!CV16=Datos!$C$16,Datos!$D$16,IF(Evalucion!CV16=Datos!$C$17,Datos!$D$17,IF(Evalucion!CV16=Datos!$C$18,Datos!$D$18,IF(Evalucion!CV16=Datos!$C$19,Datos!$D$19,"=")))))</f>
        <v>3</v>
      </c>
      <c r="CV18">
        <f>IF(Evalucion!CW16=Datos!$C$15,Datos!$D$15,IF(Evalucion!CW16=Datos!$C$16,Datos!$D$16,IF(Evalucion!CW16=Datos!$C$17,Datos!$D$17,IF(Evalucion!CW16=Datos!$C$18,Datos!$D$18,IF(Evalucion!CW16=Datos!$C$19,Datos!$D$19,"=")))))</f>
        <v>5</v>
      </c>
      <c r="CW18">
        <f>IF(Evalucion!CX16=Datos!$C$15,Datos!$D$15,IF(Evalucion!CX16=Datos!$C$16,Datos!$D$16,IF(Evalucion!CX16=Datos!$C$17,Datos!$D$17,IF(Evalucion!CX16=Datos!$C$18,Datos!$D$18,IF(Evalucion!CX16=Datos!$C$19,Datos!$D$19,"=")))))</f>
        <v>3</v>
      </c>
      <c r="CX18">
        <f>IF(Evalucion!CY16=Datos!$C$15,Datos!$D$15,IF(Evalucion!CY16=Datos!$C$16,Datos!$D$16,IF(Evalucion!CY16=Datos!$C$17,Datos!$D$17,IF(Evalucion!CY16=Datos!$C$18,Datos!$D$18,IF(Evalucion!CY16=Datos!$C$19,Datos!$D$19,"=")))))</f>
        <v>5</v>
      </c>
      <c r="CY18">
        <f>IF(Evalucion!CZ16=Datos!$C$15,Datos!$D$15,IF(Evalucion!CZ16=Datos!$C$16,Datos!$D$16,IF(Evalucion!CZ16=Datos!$C$17,Datos!$D$17,IF(Evalucion!CZ16=Datos!$C$18,Datos!$D$18,IF(Evalucion!CZ16=Datos!$C$19,Datos!$D$19,"=")))))</f>
        <v>3</v>
      </c>
      <c r="CZ18">
        <f>IF(Evalucion!DA16=Datos!$C$15,Datos!$D$15,IF(Evalucion!DA16=Datos!$C$16,Datos!$D$16,IF(Evalucion!DA16=Datos!$C$17,Datos!$D$17,IF(Evalucion!DA16=Datos!$C$18,Datos!$D$18,IF(Evalucion!DA16=Datos!$C$19,Datos!$D$19,"=")))))</f>
        <v>5</v>
      </c>
      <c r="DA18">
        <f>IF(Evalucion!DB16=Datos!$C$15,Datos!$D$15,IF(Evalucion!DB16=Datos!$C$16,Datos!$D$16,IF(Evalucion!DB16=Datos!$C$17,Datos!$D$17,IF(Evalucion!DB16=Datos!$C$18,Datos!$D$18,IF(Evalucion!DB16=Datos!$C$19,Datos!$D$19,"=")))))</f>
        <v>3</v>
      </c>
      <c r="DB18">
        <f>IF(Evalucion!DC16=Datos!$C$15,Datos!$D$15,IF(Evalucion!DC16=Datos!$C$16,Datos!$D$16,IF(Evalucion!DC16=Datos!$C$17,Datos!$D$17,IF(Evalucion!DC16=Datos!$C$18,Datos!$D$18,IF(Evalucion!DC16=Datos!$C$19,Datos!$D$19,"=")))))</f>
        <v>5</v>
      </c>
      <c r="DC18">
        <f>IF(Evalucion!DD16=Datos!$C$15,Datos!$D$15,IF(Evalucion!DD16=Datos!$C$16,Datos!$D$16,IF(Evalucion!DD16=Datos!$C$17,Datos!$D$17,IF(Evalucion!DD16=Datos!$C$18,Datos!$D$18,IF(Evalucion!DD16=Datos!$C$19,Datos!$D$19,"=")))))</f>
        <v>5</v>
      </c>
      <c r="DD18">
        <f>IF(Evalucion!DE16=Datos!$C$15,Datos!$D$15,IF(Evalucion!DE16=Datos!$C$16,Datos!$D$16,IF(Evalucion!DE16=Datos!$C$17,Datos!$D$17,IF(Evalucion!DE16=Datos!$C$18,Datos!$D$18,IF(Evalucion!DE16=Datos!$C$19,Datos!$D$19,"=")))))</f>
        <v>1</v>
      </c>
      <c r="DE18">
        <f>IF(Evalucion!DF16=Datos!$C$15,Datos!$D$15,IF(Evalucion!DF16=Datos!$C$16,Datos!$D$16,IF(Evalucion!DF16=Datos!$C$17,Datos!$D$17,IF(Evalucion!DF16=Datos!$C$18,Datos!$D$18,IF(Evalucion!DF16=Datos!$C$19,Datos!$D$19,"=")))))</f>
        <v>1</v>
      </c>
      <c r="DF18">
        <f>IF(Evalucion!DG16=Datos!$C$15,Datos!$D$15,IF(Evalucion!DG16=Datos!$C$16,Datos!$D$16,IF(Evalucion!DG16=Datos!$C$17,Datos!$D$17,IF(Evalucion!DG16=Datos!$C$18,Datos!$D$18,IF(Evalucion!DG16=Datos!$C$19,Datos!$D$19,"=")))))</f>
        <v>5</v>
      </c>
      <c r="DG18">
        <f>IF(Evalucion!DH16=Datos!$C$15,Datos!$D$15,IF(Evalucion!DH16=Datos!$C$16,Datos!$D$16,IF(Evalucion!DH16=Datos!$C$17,Datos!$D$17,IF(Evalucion!DH16=Datos!$C$18,Datos!$D$18,IF(Evalucion!DH16=Datos!$C$19,Datos!$D$19,"=")))))</f>
        <v>5</v>
      </c>
      <c r="DH18">
        <f>IF(Evalucion!DI16=Datos!$C$15,Datos!$D$15,IF(Evalucion!DI16=Datos!$C$16,Datos!$D$16,IF(Evalucion!DI16=Datos!$C$17,Datos!$D$17,IF(Evalucion!DI16=Datos!$C$18,Datos!$D$18,IF(Evalucion!DI16=Datos!$C$19,Datos!$D$19,"=")))))</f>
        <v>1</v>
      </c>
      <c r="DI18">
        <f>IF(Evalucion!DJ16=Datos!$C$15,Datos!$D$15,IF(Evalucion!DJ16=Datos!$C$16,Datos!$D$16,IF(Evalucion!DJ16=Datos!$C$17,Datos!$D$17,IF(Evalucion!DJ16=Datos!$C$18,Datos!$D$18,IF(Evalucion!DJ16=Datos!$C$19,Datos!$D$19,"=")))))</f>
        <v>1</v>
      </c>
      <c r="DJ18">
        <f>IF(Evalucion!DK16=Datos!$C$15,Datos!$D$15,IF(Evalucion!DK16=Datos!$C$16,Datos!$D$16,IF(Evalucion!DK16=Datos!$C$17,Datos!$D$17,IF(Evalucion!DK16=Datos!$C$18,Datos!$D$18,IF(Evalucion!DK16=Datos!$C$19,Datos!$D$19,"=")))))</f>
        <v>1</v>
      </c>
      <c r="DK18">
        <f>IF(Evalucion!DL16=Datos!$C$15,Datos!$D$15,IF(Evalucion!DL16=Datos!$C$16,Datos!$D$16,IF(Evalucion!DL16=Datos!$C$17,Datos!$D$17,IF(Evalucion!DL16=Datos!$C$18,Datos!$D$18,IF(Evalucion!DL16=Datos!$C$19,Datos!$D$19,"=")))))</f>
        <v>1</v>
      </c>
      <c r="DL18">
        <f>IF(Evalucion!DM16=Datos!$C$15,Datos!$D$15,IF(Evalucion!DM16=Datos!$C$16,Datos!$D$16,IF(Evalucion!DM16=Datos!$C$17,Datos!$D$17,IF(Evalucion!DM16=Datos!$C$18,Datos!$D$18,IF(Evalucion!DM16=Datos!$C$19,Datos!$D$19,"=")))))</f>
        <v>5</v>
      </c>
      <c r="DM18">
        <f>IF(Evalucion!DN16=Datos!$C$15,Datos!$D$15,IF(Evalucion!DN16=Datos!$C$16,Datos!$D$16,IF(Evalucion!DN16=Datos!$C$17,Datos!$D$17,IF(Evalucion!DN16=Datos!$C$18,Datos!$D$18,IF(Evalucion!DN16=Datos!$C$19,Datos!$D$19,"=")))))</f>
        <v>3</v>
      </c>
      <c r="DN18">
        <f>IF(Evalucion!DO16=Datos!$C$15,Datos!$D$15,IF(Evalucion!DO16=Datos!$C$16,Datos!$D$16,IF(Evalucion!DO16=Datos!$C$17,Datos!$D$17,IF(Evalucion!DO16=Datos!$C$18,Datos!$D$18,IF(Evalucion!DO16=Datos!$C$19,Datos!$D$19,"=")))))</f>
        <v>5</v>
      </c>
      <c r="DO18">
        <f>IF(Evalucion!DP16=Datos!$C$15,Datos!$D$15,IF(Evalucion!DP16=Datos!$C$16,Datos!$D$16,IF(Evalucion!DP16=Datos!$C$17,Datos!$D$17,IF(Evalucion!DP16=Datos!$C$18,Datos!$D$18,IF(Evalucion!DP16=Datos!$C$19,Datos!$D$19,"=")))))</f>
        <v>5</v>
      </c>
      <c r="DP18">
        <f>IF(Evalucion!DQ16=Datos!$C$15,Datos!$D$15,IF(Evalucion!DQ16=Datos!$C$16,Datos!$D$16,IF(Evalucion!DQ16=Datos!$C$17,Datos!$D$17,IF(Evalucion!DQ16=Datos!$C$18,Datos!$D$18,IF(Evalucion!DQ16=Datos!$C$19,Datos!$D$19,"=")))))</f>
        <v>5</v>
      </c>
      <c r="DQ18">
        <f>IF(Evalucion!DR16=Datos!$C$15,Datos!$D$15,IF(Evalucion!DR16=Datos!$C$16,Datos!$D$16,IF(Evalucion!DR16=Datos!$C$17,Datos!$D$17,IF(Evalucion!DR16=Datos!$C$18,Datos!$D$18,IF(Evalucion!DR16=Datos!$C$19,Datos!$D$19,"=")))))</f>
        <v>3</v>
      </c>
      <c r="DR18">
        <f>IF(Evalucion!DS16=Datos!$C$15,Datos!$D$15,IF(Evalucion!DS16=Datos!$C$16,Datos!$D$16,IF(Evalucion!DS16=Datos!$C$17,Datos!$D$17,IF(Evalucion!DS16=Datos!$C$18,Datos!$D$18,IF(Evalucion!DS16=Datos!$C$19,Datos!$D$19,"=")))))</f>
        <v>5</v>
      </c>
      <c r="DS18">
        <f>IF(Evalucion!DT16=Datos!$C$15,Datos!$D$15,IF(Evalucion!DT16=Datos!$C$16,Datos!$D$16,IF(Evalucion!DT16=Datos!$C$17,Datos!$D$17,IF(Evalucion!DT16=Datos!$C$18,Datos!$D$18,IF(Evalucion!DT16=Datos!$C$19,Datos!$D$19,"=")))))</f>
        <v>3</v>
      </c>
      <c r="DT18">
        <f>IF(Evalucion!DU16=Datos!$C$15,Datos!$D$15,IF(Evalucion!DU16=Datos!$C$16,Datos!$D$16,IF(Evalucion!DU16=Datos!$C$17,Datos!$D$17,IF(Evalucion!DU16=Datos!$C$18,Datos!$D$18,IF(Evalucion!DU16=Datos!$C$19,Datos!$D$19,"=")))))</f>
        <v>5</v>
      </c>
      <c r="DU18">
        <f>IF(Evalucion!DV16=Datos!$C$15,Datos!$D$15,IF(Evalucion!DV16=Datos!$C$16,Datos!$D$16,IF(Evalucion!DV16=Datos!$C$17,Datos!$D$17,IF(Evalucion!DV16=Datos!$C$18,Datos!$D$18,IF(Evalucion!DV16=Datos!$C$19,Datos!$D$19,"=")))))</f>
        <v>3</v>
      </c>
      <c r="DV18">
        <f>IF(Evalucion!DW16=Datos!$C$15,Datos!$D$15,IF(Evalucion!DW16=Datos!$C$16,Datos!$D$16,IF(Evalucion!DW16=Datos!$C$17,Datos!$D$17,IF(Evalucion!DW16=Datos!$C$18,Datos!$D$18,IF(Evalucion!DW16=Datos!$C$19,Datos!$D$19,"=")))))</f>
        <v>5</v>
      </c>
      <c r="DW18">
        <f>IF(Evalucion!DX16=Datos!$C$15,Datos!$D$15,IF(Evalucion!DX16=Datos!$C$16,Datos!$D$16,IF(Evalucion!DX16=Datos!$C$17,Datos!$D$17,IF(Evalucion!DX16=Datos!$C$18,Datos!$D$18,IF(Evalucion!DX16=Datos!$C$19,Datos!$D$19,"=")))))</f>
        <v>3</v>
      </c>
      <c r="DX18">
        <f>IF(Evalucion!DY16=Datos!$C$15,Datos!$D$15,IF(Evalucion!DY16=Datos!$C$16,Datos!$D$16,IF(Evalucion!DY16=Datos!$C$17,Datos!$D$17,IF(Evalucion!DY16=Datos!$C$18,Datos!$D$18,IF(Evalucion!DY16=Datos!$C$19,Datos!$D$19,"=")))))</f>
        <v>5</v>
      </c>
      <c r="DY18">
        <f>IF(Evalucion!DZ16=Datos!$C$15,Datos!$D$15,IF(Evalucion!DZ16=Datos!$C$16,Datos!$D$16,IF(Evalucion!DZ16=Datos!$C$17,Datos!$D$17,IF(Evalucion!DZ16=Datos!$C$18,Datos!$D$18,IF(Evalucion!DZ16=Datos!$C$19,Datos!$D$19,"=")))))</f>
        <v>3</v>
      </c>
      <c r="DZ18">
        <f>IF(Evalucion!EA16=Datos!$C$15,Datos!$D$15,IF(Evalucion!EA16=Datos!$C$16,Datos!$D$16,IF(Evalucion!EA16=Datos!$C$17,Datos!$D$17,IF(Evalucion!EA16=Datos!$C$18,Datos!$D$18,IF(Evalucion!EA16=Datos!$C$19,Datos!$D$19,"=")))))</f>
        <v>5</v>
      </c>
      <c r="EA18">
        <f>IF(Evalucion!EB16=Datos!$C$15,Datos!$D$15,IF(Evalucion!EB16=Datos!$C$16,Datos!$D$16,IF(Evalucion!EB16=Datos!$C$17,Datos!$D$17,IF(Evalucion!EB16=Datos!$C$18,Datos!$D$18,IF(Evalucion!EB16=Datos!$C$19,Datos!$D$19,"=")))))</f>
        <v>5</v>
      </c>
      <c r="EB18">
        <f>IF(Evalucion!EC16=Datos!$C$15,Datos!$D$15,IF(Evalucion!EC16=Datos!$C$16,Datos!$D$16,IF(Evalucion!EC16=Datos!$C$17,Datos!$D$17,IF(Evalucion!EC16=Datos!$C$18,Datos!$D$18,IF(Evalucion!EC16=Datos!$C$19,Datos!$D$19,"=")))))</f>
        <v>5</v>
      </c>
      <c r="EC18">
        <f>IF(Evalucion!ED16=Datos!$C$15,Datos!$D$15,IF(Evalucion!ED16=Datos!$C$16,Datos!$D$16,IF(Evalucion!ED16=Datos!$C$17,Datos!$D$17,IF(Evalucion!ED16=Datos!$C$18,Datos!$D$18,IF(Evalucion!ED16=Datos!$C$19,Datos!$D$19,"=")))))</f>
        <v>3</v>
      </c>
      <c r="ED18">
        <f>IF(Evalucion!EE16=Datos!$C$15,Datos!$D$15,IF(Evalucion!EE16=Datos!$C$16,Datos!$D$16,IF(Evalucion!EE16=Datos!$C$17,Datos!$D$17,IF(Evalucion!EE16=Datos!$C$18,Datos!$D$18,IF(Evalucion!EE16=Datos!$C$19,Datos!$D$19,"=")))))</f>
        <v>5</v>
      </c>
      <c r="EE18">
        <f>IF(Evalucion!EF16=Datos!$C$15,Datos!$D$15,IF(Evalucion!EF16=Datos!$C$16,Datos!$D$16,IF(Evalucion!EF16=Datos!$C$17,Datos!$D$17,IF(Evalucion!EF16=Datos!$C$18,Datos!$D$18,IF(Evalucion!EF16=Datos!$C$19,Datos!$D$19,"=")))))</f>
        <v>5</v>
      </c>
      <c r="EF18">
        <f>IF(Evalucion!EG16=Datos!$C$15,Datos!$D$15,IF(Evalucion!EG16=Datos!$C$16,Datos!$D$16,IF(Evalucion!EG16=Datos!$C$17,Datos!$D$17,IF(Evalucion!EG16=Datos!$C$18,Datos!$D$18,IF(Evalucion!EG16=Datos!$C$19,Datos!$D$19,"=")))))</f>
        <v>5</v>
      </c>
      <c r="EG18">
        <f>IF(Evalucion!EH16=Datos!$C$15,Datos!$D$15,IF(Evalucion!EH16=Datos!$C$16,Datos!$D$16,IF(Evalucion!EH16=Datos!$C$17,Datos!$D$17,IF(Evalucion!EH16=Datos!$C$18,Datos!$D$18,IF(Evalucion!EH16=Datos!$C$19,Datos!$D$19,"=")))))</f>
        <v>5</v>
      </c>
      <c r="EH18">
        <f>IF(Evalucion!EI16=Datos!$C$15,Datos!$D$15,IF(Evalucion!EI16=Datos!$C$16,Datos!$D$16,IF(Evalucion!EI16=Datos!$C$17,Datos!$D$17,IF(Evalucion!EI16=Datos!$C$18,Datos!$D$18,IF(Evalucion!EI16=Datos!$C$19,Datos!$D$19,"=")))))</f>
        <v>5</v>
      </c>
      <c r="EI18">
        <f>IF(Evalucion!EJ16=Datos!$C$15,Datos!$D$15,IF(Evalucion!EJ16=Datos!$C$16,Datos!$D$16,IF(Evalucion!EJ16=Datos!$C$17,Datos!$D$17,IF(Evalucion!EJ16=Datos!$C$18,Datos!$D$18,IF(Evalucion!EJ16=Datos!$C$19,Datos!$D$19,"=")))))</f>
        <v>5</v>
      </c>
      <c r="EJ18">
        <f>IF(Evalucion!EK16=Datos!$C$15,Datos!$D$15,IF(Evalucion!EK16=Datos!$C$16,Datos!$D$16,IF(Evalucion!EK16=Datos!$C$17,Datos!$D$17,IF(Evalucion!EK16=Datos!$C$18,Datos!$D$18,IF(Evalucion!EK16=Datos!$C$19,Datos!$D$19,"=")))))</f>
        <v>5</v>
      </c>
      <c r="EK18">
        <f>IF(Evalucion!EL16=Datos!$C$15,Datos!$D$15,IF(Evalucion!EL16=Datos!$C$16,Datos!$D$16,IF(Evalucion!EL16=Datos!$C$17,Datos!$D$17,IF(Evalucion!EL16=Datos!$C$18,Datos!$D$18,IF(Evalucion!EL16=Datos!$C$19,Datos!$D$19,"=")))))</f>
        <v>5</v>
      </c>
      <c r="EL18">
        <f>IF(Evalucion!EM16=Datos!$C$15,Datos!$D$15,IF(Evalucion!EM16=Datos!$C$16,Datos!$D$16,IF(Evalucion!EM16=Datos!$C$17,Datos!$D$17,IF(Evalucion!EM16=Datos!$C$18,Datos!$D$18,IF(Evalucion!EM16=Datos!$C$19,Datos!$D$19,"=")))))</f>
        <v>5</v>
      </c>
      <c r="EM18">
        <f>IF(Evalucion!EN16=Datos!$C$15,Datos!$D$15,IF(Evalucion!EN16=Datos!$C$16,Datos!$D$16,IF(Evalucion!EN16=Datos!$C$17,Datos!$D$17,IF(Evalucion!EN16=Datos!$C$18,Datos!$D$18,IF(Evalucion!EN16=Datos!$C$19,Datos!$D$19,"=")))))</f>
        <v>5</v>
      </c>
      <c r="EN18">
        <f>IF(Evalucion!EO16=Datos!$C$15,Datos!$D$15,IF(Evalucion!EO16=Datos!$C$16,Datos!$D$16,IF(Evalucion!EO16=Datos!$C$17,Datos!$D$17,IF(Evalucion!EO16=Datos!$C$18,Datos!$D$18,IF(Evalucion!EO16=Datos!$C$19,Datos!$D$19,"=")))))</f>
        <v>5</v>
      </c>
      <c r="EO18">
        <f>IF(Evalucion!EP16=Datos!$C$15,Datos!$D$15,IF(Evalucion!EP16=Datos!$C$16,Datos!$D$16,IF(Evalucion!EP16=Datos!$C$17,Datos!$D$17,IF(Evalucion!EP16=Datos!$C$18,Datos!$D$18,IF(Evalucion!EP16=Datos!$C$19,Datos!$D$19,"=")))))</f>
        <v>5</v>
      </c>
      <c r="EP18">
        <f>IF(Evalucion!EQ16=Datos!$C$15,Datos!$D$15,IF(Evalucion!EQ16=Datos!$C$16,Datos!$D$16,IF(Evalucion!EQ16=Datos!$C$17,Datos!$D$17,IF(Evalucion!EQ16=Datos!$C$18,Datos!$D$18,IF(Evalucion!EQ16=Datos!$C$19,Datos!$D$19,"=")))))</f>
        <v>5</v>
      </c>
      <c r="EQ18">
        <f>IF(Evalucion!ER16=Datos!$C$15,Datos!$D$15,IF(Evalucion!ER16=Datos!$C$16,Datos!$D$16,IF(Evalucion!ER16=Datos!$C$17,Datos!$D$17,IF(Evalucion!ER16=Datos!$C$18,Datos!$D$18,IF(Evalucion!ER16=Datos!$C$19,Datos!$D$19,"=")))))</f>
        <v>5</v>
      </c>
      <c r="ER18">
        <f>IF(Evalucion!ES16=Datos!$C$15,Datos!$D$15,IF(Evalucion!ES16=Datos!$C$16,Datos!$D$16,IF(Evalucion!ES16=Datos!$C$17,Datos!$D$17,IF(Evalucion!ES16=Datos!$C$18,Datos!$D$18,IF(Evalucion!ES16=Datos!$C$19,Datos!$D$19,"=")))))</f>
        <v>5</v>
      </c>
      <c r="ES18">
        <f>IF(Evalucion!ET16=Datos!$C$15,Datos!$D$15,IF(Evalucion!ET16=Datos!$C$16,Datos!$D$16,IF(Evalucion!ET16=Datos!$C$17,Datos!$D$17,IF(Evalucion!ET16=Datos!$C$18,Datos!$D$18,IF(Evalucion!ET16=Datos!$C$19,Datos!$D$19,"=")))))</f>
        <v>5</v>
      </c>
      <c r="ET18">
        <f>IF(Evalucion!EU16=Datos!$C$15,Datos!$D$15,IF(Evalucion!EU16=Datos!$C$16,Datos!$D$16,IF(Evalucion!EU16=Datos!$C$17,Datos!$D$17,IF(Evalucion!EU16=Datos!$C$18,Datos!$D$18,IF(Evalucion!EU16=Datos!$C$19,Datos!$D$19,"=")))))</f>
        <v>5</v>
      </c>
      <c r="EU18">
        <f>IF(Evalucion!EV16=Datos!$C$15,Datos!$D$15,IF(Evalucion!EV16=Datos!$C$16,Datos!$D$16,IF(Evalucion!EV16=Datos!$C$17,Datos!$D$17,IF(Evalucion!EV16=Datos!$C$18,Datos!$D$18,IF(Evalucion!EV16=Datos!$C$19,Datos!$D$19,"=")))))</f>
        <v>3</v>
      </c>
      <c r="EV18">
        <f>IF(Evalucion!EW16=Datos!$C$15,Datos!$D$15,IF(Evalucion!EW16=Datos!$C$16,Datos!$D$16,IF(Evalucion!EW16=Datos!$C$17,Datos!$D$17,IF(Evalucion!EW16=Datos!$C$18,Datos!$D$18,IF(Evalucion!EW16=Datos!$C$19,Datos!$D$19,"=")))))</f>
        <v>5</v>
      </c>
      <c r="EW18">
        <f>IF(Evalucion!EX16=Datos!$C$15,Datos!$D$15,IF(Evalucion!EX16=Datos!$C$16,Datos!$D$16,IF(Evalucion!EX16=Datos!$C$17,Datos!$D$17,IF(Evalucion!EX16=Datos!$C$18,Datos!$D$18,IF(Evalucion!EX16=Datos!$C$19,Datos!$D$19,"=")))))</f>
        <v>5</v>
      </c>
      <c r="EX18">
        <f>IF(Evalucion!EY16=Datos!$C$15,Datos!$D$15,IF(Evalucion!EY16=Datos!$C$16,Datos!$D$16,IF(Evalucion!EY16=Datos!$C$17,Datos!$D$17,IF(Evalucion!EY16=Datos!$C$18,Datos!$D$18,IF(Evalucion!EY16=Datos!$C$19,Datos!$D$19,"=")))))</f>
        <v>5</v>
      </c>
      <c r="EY18">
        <f>IF(Evalucion!EZ16=Datos!$C$15,Datos!$D$15,IF(Evalucion!EZ16=Datos!$C$16,Datos!$D$16,IF(Evalucion!EZ16=Datos!$C$17,Datos!$D$17,IF(Evalucion!EZ16=Datos!$C$18,Datos!$D$18,IF(Evalucion!EZ16=Datos!$C$19,Datos!$D$19,"=")))))</f>
        <v>3</v>
      </c>
      <c r="FA18">
        <f t="shared" si="3"/>
        <v>335</v>
      </c>
      <c r="FB18">
        <f t="shared" si="3"/>
        <v>265</v>
      </c>
      <c r="FC18" s="3">
        <f t="shared" si="4"/>
        <v>0.70666666666666667</v>
      </c>
      <c r="FD18" t="str">
        <f t="shared" si="0"/>
        <v>Conf_CR</v>
      </c>
      <c r="FF18">
        <f t="shared" si="5"/>
        <v>600</v>
      </c>
      <c r="FG18">
        <f t="shared" si="6"/>
        <v>0</v>
      </c>
    </row>
    <row r="19" spans="1:163" x14ac:dyDescent="0.2">
      <c r="A19">
        <f t="shared" si="7"/>
        <v>16</v>
      </c>
      <c r="B19" t="s">
        <v>261</v>
      </c>
      <c r="C19" t="s">
        <v>194</v>
      </c>
      <c r="D19" s="1">
        <v>43321</v>
      </c>
      <c r="E19">
        <f>IF(Evalucion!F17=Datos!$C$15,Datos!$D$15,IF(Evalucion!F17=Datos!$C$16,Datos!$D$16,IF(Evalucion!F17=Datos!$C$17,Datos!$D$17,IF(Evalucion!F17=Datos!$C$18,Datos!$D$18,IF(Evalucion!F17=Datos!$C$19,Datos!$D$19,"=")))))</f>
        <v>5</v>
      </c>
      <c r="F19">
        <f>IF(Evalucion!G17=Datos!$C$15,Datos!$D$15,IF(Evalucion!G17=Datos!$C$16,Datos!$D$16,IF(Evalucion!G17=Datos!$C$17,Datos!$D$17,IF(Evalucion!G17=Datos!$C$18,Datos!$D$18,IF(Evalucion!G17=Datos!$C$19,Datos!$D$19,"=")))))</f>
        <v>5</v>
      </c>
      <c r="G19">
        <f>IF(Evalucion!H17=Datos!$C$15,Datos!$D$15,IF(Evalucion!H17=Datos!$C$16,Datos!$D$16,IF(Evalucion!H17=Datos!$C$17,Datos!$D$17,IF(Evalucion!H17=Datos!$C$18,Datos!$D$18,IF(Evalucion!H17=Datos!$C$19,Datos!$D$19,"=")))))</f>
        <v>5</v>
      </c>
      <c r="H19">
        <f>IF(Evalucion!I17=Datos!$C$15,Datos!$D$15,IF(Evalucion!I17=Datos!$C$16,Datos!$D$16,IF(Evalucion!I17=Datos!$C$17,Datos!$D$17,IF(Evalucion!I17=Datos!$C$18,Datos!$D$18,IF(Evalucion!I17=Datos!$C$19,Datos!$D$19,"=")))))</f>
        <v>3</v>
      </c>
      <c r="I19">
        <f>IF(Evalucion!J17=Datos!$C$15,Datos!$D$15,IF(Evalucion!J17=Datos!$C$16,Datos!$D$16,IF(Evalucion!J17=Datos!$C$17,Datos!$D$17,IF(Evalucion!J17=Datos!$C$18,Datos!$D$18,IF(Evalucion!J17=Datos!$C$19,Datos!$D$19,"=")))))</f>
        <v>1</v>
      </c>
      <c r="J19">
        <f>IF(Evalucion!K17=Datos!$C$15,Datos!$D$15,IF(Evalucion!K17=Datos!$C$16,Datos!$D$16,IF(Evalucion!K17=Datos!$C$17,Datos!$D$17,IF(Evalucion!K17=Datos!$C$18,Datos!$D$18,IF(Evalucion!K17=Datos!$C$19,Datos!$D$19,"=")))))</f>
        <v>3</v>
      </c>
      <c r="K19">
        <f>IF(Evalucion!L17=Datos!$C$15,Datos!$D$15,IF(Evalucion!L17=Datos!$C$16,Datos!$D$16,IF(Evalucion!L17=Datos!$C$17,Datos!$D$17,IF(Evalucion!L17=Datos!$C$18,Datos!$D$18,IF(Evalucion!L17=Datos!$C$19,Datos!$D$19,"=")))))</f>
        <v>5</v>
      </c>
      <c r="L19">
        <f>IF(Evalucion!M17=Datos!$C$15,Datos!$D$15,IF(Evalucion!M17=Datos!$C$16,Datos!$D$16,IF(Evalucion!M17=Datos!$C$17,Datos!$D$17,IF(Evalucion!M17=Datos!$C$18,Datos!$D$18,IF(Evalucion!M17=Datos!$C$19,Datos!$D$19,"=")))))</f>
        <v>5</v>
      </c>
      <c r="M19">
        <f>IF(Evalucion!N17=Datos!$C$15,Datos!$D$15,IF(Evalucion!N17=Datos!$C$16,Datos!$D$16,IF(Evalucion!N17=Datos!$C$17,Datos!$D$17,IF(Evalucion!N17=Datos!$C$18,Datos!$D$18,IF(Evalucion!N17=Datos!$C$19,Datos!$D$19,"=")))))</f>
        <v>5</v>
      </c>
      <c r="N19">
        <f>IF(Evalucion!O17=Datos!$C$15,Datos!$D$15,IF(Evalucion!O17=Datos!$C$16,Datos!$D$16,IF(Evalucion!O17=Datos!$C$17,Datos!$D$17,IF(Evalucion!O17=Datos!$C$18,Datos!$D$18,IF(Evalucion!O17=Datos!$C$19,Datos!$D$19,"=")))))</f>
        <v>5</v>
      </c>
      <c r="O19">
        <f>IF(Evalucion!P17=Datos!$C$15,Datos!$D$15,IF(Evalucion!P17=Datos!$C$16,Datos!$D$16,IF(Evalucion!P17=Datos!$C$17,Datos!$D$17,IF(Evalucion!P17=Datos!$C$18,Datos!$D$18,IF(Evalucion!P17=Datos!$C$19,Datos!$D$19,"=")))))</f>
        <v>5</v>
      </c>
      <c r="P19">
        <f>IF(Evalucion!Q17=Datos!$C$15,Datos!$D$15,IF(Evalucion!Q17=Datos!$C$16,Datos!$D$16,IF(Evalucion!Q17=Datos!$C$17,Datos!$D$17,IF(Evalucion!Q17=Datos!$C$18,Datos!$D$18,IF(Evalucion!Q17=Datos!$C$19,Datos!$D$19,"=")))))</f>
        <v>5</v>
      </c>
      <c r="Q19">
        <f>IF(Evalucion!R17=Datos!$C$15,Datos!$D$15,IF(Evalucion!R17=Datos!$C$16,Datos!$D$16,IF(Evalucion!R17=Datos!$C$17,Datos!$D$17,IF(Evalucion!R17=Datos!$C$18,Datos!$D$18,IF(Evalucion!R17=Datos!$C$19,Datos!$D$19,"=")))))</f>
        <v>5</v>
      </c>
      <c r="R19">
        <f>IF(Evalucion!S17=Datos!$C$15,Datos!$D$15,IF(Evalucion!S17=Datos!$C$16,Datos!$D$16,IF(Evalucion!S17=Datos!$C$17,Datos!$D$17,IF(Evalucion!S17=Datos!$C$18,Datos!$D$18,IF(Evalucion!S17=Datos!$C$19,Datos!$D$19,"=")))))</f>
        <v>5</v>
      </c>
      <c r="S19">
        <f>IF(Evalucion!T17=Datos!$C$15,Datos!$D$15,IF(Evalucion!T17=Datos!$C$16,Datos!$D$16,IF(Evalucion!T17=Datos!$C$17,Datos!$D$17,IF(Evalucion!T17=Datos!$C$18,Datos!$D$18,IF(Evalucion!T17=Datos!$C$19,Datos!$D$19,"=")))))</f>
        <v>5</v>
      </c>
      <c r="T19">
        <f>IF(Evalucion!U17=Datos!$C$15,Datos!$D$15,IF(Evalucion!U17=Datos!$C$16,Datos!$D$16,IF(Evalucion!U17=Datos!$C$17,Datos!$D$17,IF(Evalucion!U17=Datos!$C$18,Datos!$D$18,IF(Evalucion!U17=Datos!$C$19,Datos!$D$19,"=")))))</f>
        <v>5</v>
      </c>
      <c r="U19">
        <f>IF(Evalucion!V17=Datos!$C$15,Datos!$D$15,IF(Evalucion!V17=Datos!$C$16,Datos!$D$16,IF(Evalucion!V17=Datos!$C$17,Datos!$D$17,IF(Evalucion!V17=Datos!$C$18,Datos!$D$18,IF(Evalucion!V17=Datos!$C$19,Datos!$D$19,"=")))))</f>
        <v>5</v>
      </c>
      <c r="V19">
        <f>IF(Evalucion!W17=Datos!$C$15,Datos!$D$15,IF(Evalucion!W17=Datos!$C$16,Datos!$D$16,IF(Evalucion!W17=Datos!$C$17,Datos!$D$17,IF(Evalucion!W17=Datos!$C$18,Datos!$D$18,IF(Evalucion!W17=Datos!$C$19,Datos!$D$19,"=")))))</f>
        <v>5</v>
      </c>
      <c r="W19">
        <f>IF(Evalucion!X17=Datos!$C$15,Datos!$D$15,IF(Evalucion!X17=Datos!$C$16,Datos!$D$16,IF(Evalucion!X17=Datos!$C$17,Datos!$D$17,IF(Evalucion!X17=Datos!$C$18,Datos!$D$18,IF(Evalucion!X17=Datos!$C$19,Datos!$D$19,"=")))))</f>
        <v>5</v>
      </c>
      <c r="X19">
        <f>IF(Evalucion!Y17=Datos!$C$15,Datos!$D$15,IF(Evalucion!Y17=Datos!$C$16,Datos!$D$16,IF(Evalucion!Y17=Datos!$C$17,Datos!$D$17,IF(Evalucion!Y17=Datos!$C$18,Datos!$D$18,IF(Evalucion!Y17=Datos!$C$19,Datos!$D$19,"=")))))</f>
        <v>5</v>
      </c>
      <c r="Y19">
        <f>IF(Evalucion!Z17=Datos!$C$15,Datos!$D$15,IF(Evalucion!Z17=Datos!$C$16,Datos!$D$16,IF(Evalucion!Z17=Datos!$C$17,Datos!$D$17,IF(Evalucion!Z17=Datos!$C$18,Datos!$D$18,IF(Evalucion!Z17=Datos!$C$19,Datos!$D$19,"=")))))</f>
        <v>5</v>
      </c>
      <c r="Z19">
        <f>IF(Evalucion!AA17=Datos!$C$15,Datos!$D$15,IF(Evalucion!AA17=Datos!$C$16,Datos!$D$16,IF(Evalucion!AA17=Datos!$C$17,Datos!$D$17,IF(Evalucion!AA17=Datos!$C$18,Datos!$D$18,IF(Evalucion!AA17=Datos!$C$19,Datos!$D$19,"=")))))</f>
        <v>5</v>
      </c>
      <c r="AA19">
        <f>IF(Evalucion!AB17=Datos!$C$15,Datos!$D$15,IF(Evalucion!AB17=Datos!$C$16,Datos!$D$16,IF(Evalucion!AB17=Datos!$C$17,Datos!$D$17,IF(Evalucion!AB17=Datos!$C$18,Datos!$D$18,IF(Evalucion!AB17=Datos!$C$19,Datos!$D$19,"=")))))</f>
        <v>5</v>
      </c>
      <c r="AB19">
        <f>IF(Evalucion!AC17=Datos!$C$15,Datos!$D$15,IF(Evalucion!AC17=Datos!$C$16,Datos!$D$16,IF(Evalucion!AC17=Datos!$C$17,Datos!$D$17,IF(Evalucion!AC17=Datos!$C$18,Datos!$D$18,IF(Evalucion!AC17=Datos!$C$19,Datos!$D$19,"=")))))</f>
        <v>5</v>
      </c>
      <c r="AC19">
        <f>IF(Evalucion!AD17=Datos!$C$15,Datos!$D$15,IF(Evalucion!AD17=Datos!$C$16,Datos!$D$16,IF(Evalucion!AD17=Datos!$C$17,Datos!$D$17,IF(Evalucion!AD17=Datos!$C$18,Datos!$D$18,IF(Evalucion!AD17=Datos!$C$19,Datos!$D$19,"=")))))</f>
        <v>5</v>
      </c>
      <c r="AD19">
        <f>IF(Evalucion!AE17=Datos!$C$15,Datos!$D$15,IF(Evalucion!AE17=Datos!$C$16,Datos!$D$16,IF(Evalucion!AE17=Datos!$C$17,Datos!$D$17,IF(Evalucion!AE17=Datos!$C$18,Datos!$D$18,IF(Evalucion!AE17=Datos!$C$19,Datos!$D$19,"=")))))</f>
        <v>5</v>
      </c>
      <c r="AE19">
        <f>IF(Evalucion!AF17=Datos!$C$15,Datos!$D$15,IF(Evalucion!AF17=Datos!$C$16,Datos!$D$16,IF(Evalucion!AF17=Datos!$C$17,Datos!$D$17,IF(Evalucion!AF17=Datos!$C$18,Datos!$D$18,IF(Evalucion!AF17=Datos!$C$19,Datos!$D$19,"=")))))</f>
        <v>5</v>
      </c>
      <c r="AF19">
        <f>IF(Evalucion!AG17=Datos!$C$15,Datos!$D$15,IF(Evalucion!AG17=Datos!$C$16,Datos!$D$16,IF(Evalucion!AG17=Datos!$C$17,Datos!$D$17,IF(Evalucion!AG17=Datos!$C$18,Datos!$D$18,IF(Evalucion!AG17=Datos!$C$19,Datos!$D$19,"=")))))</f>
        <v>5</v>
      </c>
      <c r="AO19">
        <f>IF(Evalucion!AP17=Datos!$C$15,Datos!$D$15,IF(Evalucion!AP17=Datos!$C$16,Datos!$D$16,IF(Evalucion!AP17=Datos!$C$17,Datos!$D$17,IF(Evalucion!AP17=Datos!$C$18,Datos!$D$18,IF(Evalucion!AP17=Datos!$C$19,Datos!$D$19,"=")))))</f>
        <v>5</v>
      </c>
      <c r="AP19">
        <f>IF(Evalucion!AQ17=Datos!$C$15,Datos!$D$15,IF(Evalucion!AQ17=Datos!$C$16,Datos!$D$16,IF(Evalucion!AQ17=Datos!$C$17,Datos!$D$17,IF(Evalucion!AQ17=Datos!$C$18,Datos!$D$18,IF(Evalucion!AQ17=Datos!$C$19,Datos!$D$19,"=")))))</f>
        <v>3</v>
      </c>
      <c r="AQ19">
        <f>IF(Evalucion!AR17=Datos!$C$15,Datos!$D$15,IF(Evalucion!AR17=Datos!$C$16,Datos!$D$16,IF(Evalucion!AR17=Datos!$C$17,Datos!$D$17,IF(Evalucion!AR17=Datos!$C$18,Datos!$D$18,IF(Evalucion!AR17=Datos!$C$19,Datos!$D$19,"=")))))</f>
        <v>1</v>
      </c>
      <c r="AR19">
        <f>IF(Evalucion!AS17=Datos!$C$15,Datos!$D$15,IF(Evalucion!AS17=Datos!$C$16,Datos!$D$16,IF(Evalucion!AS17=Datos!$C$17,Datos!$D$17,IF(Evalucion!AS17=Datos!$C$18,Datos!$D$18,IF(Evalucion!AS17=Datos!$C$19,Datos!$D$19,"=")))))</f>
        <v>3</v>
      </c>
      <c r="AS19">
        <f>IF(Evalucion!AT17=Datos!$C$15,Datos!$D$15,IF(Evalucion!AT17=Datos!$C$16,Datos!$D$16,IF(Evalucion!AT17=Datos!$C$17,Datos!$D$17,IF(Evalucion!AT17=Datos!$C$18,Datos!$D$18,IF(Evalucion!AT17=Datos!$C$19,Datos!$D$19,"=")))))</f>
        <v>5</v>
      </c>
      <c r="AT19">
        <f>IF(Evalucion!AU17=Datos!$C$15,Datos!$D$15,IF(Evalucion!AU17=Datos!$C$16,Datos!$D$16,IF(Evalucion!AU17=Datos!$C$17,Datos!$D$17,IF(Evalucion!AU17=Datos!$C$18,Datos!$D$18,IF(Evalucion!AU17=Datos!$C$19,Datos!$D$19,"=")))))</f>
        <v>3</v>
      </c>
      <c r="AV19">
        <f>IF(Evalucion!AW17=Datos!$C$15,Datos!$D$15,IF(Evalucion!AW17=Datos!$C$16,Datos!$D$16,IF(Evalucion!AW17=Datos!$C$17,Datos!$D$17,IF(Evalucion!AW17=Datos!$C$18,Datos!$D$18,IF(Evalucion!AW17=Datos!$C$19,Datos!$D$19,"=")))))</f>
        <v>5</v>
      </c>
      <c r="AW19">
        <f>IF(Evalucion!AX17=Datos!$C$15,Datos!$D$15,IF(Evalucion!AX17=Datos!$C$16,Datos!$D$16,IF(Evalucion!AX17=Datos!$C$17,Datos!$D$17,IF(Evalucion!AX17=Datos!$C$18,Datos!$D$18,IF(Evalucion!AX17=Datos!$C$19,Datos!$D$19,"=")))))</f>
        <v>3</v>
      </c>
      <c r="AX19">
        <f>IF(Evalucion!AY17=Datos!$C$15,Datos!$D$15,IF(Evalucion!AY17=Datos!$C$16,Datos!$D$16,IF(Evalucion!AY17=Datos!$C$17,Datos!$D$17,IF(Evalucion!AY17=Datos!$C$18,Datos!$D$18,IF(Evalucion!AY17=Datos!$C$19,Datos!$D$19,"=")))))</f>
        <v>5</v>
      </c>
      <c r="AY19">
        <f>IF(Evalucion!AZ17=Datos!$C$15,Datos!$D$15,IF(Evalucion!AZ17=Datos!$C$16,Datos!$D$16,IF(Evalucion!AZ17=Datos!$C$17,Datos!$D$17,IF(Evalucion!AZ17=Datos!$C$18,Datos!$D$18,IF(Evalucion!AZ17=Datos!$C$19,Datos!$D$19,"=")))))</f>
        <v>5</v>
      </c>
      <c r="AZ19">
        <f>IF(Evalucion!BA17=Datos!$C$15,Datos!$D$15,IF(Evalucion!BA17=Datos!$C$16,Datos!$D$16,IF(Evalucion!BA17=Datos!$C$17,Datos!$D$17,IF(Evalucion!BA17=Datos!$C$18,Datos!$D$18,IF(Evalucion!BA17=Datos!$C$19,Datos!$D$19,"=")))))</f>
        <v>5</v>
      </c>
      <c r="BA19">
        <f>IF(Evalucion!BB17=Datos!$C$15,Datos!$D$15,IF(Evalucion!BB17=Datos!$C$16,Datos!$D$16,IF(Evalucion!BB17=Datos!$C$17,Datos!$D$17,IF(Evalucion!BB17=Datos!$C$18,Datos!$D$18,IF(Evalucion!BB17=Datos!$C$19,Datos!$D$19,"=")))))</f>
        <v>5</v>
      </c>
      <c r="BB19">
        <f>IF(Evalucion!BC17=Datos!$C$15,Datos!$D$15,IF(Evalucion!BC17=Datos!$C$16,Datos!$D$16,IF(Evalucion!BC17=Datos!$C$17,Datos!$D$17,IF(Evalucion!BC17=Datos!$C$18,Datos!$D$18,IF(Evalucion!BC17=Datos!$C$19,Datos!$D$19,"=")))))</f>
        <v>5</v>
      </c>
      <c r="BC19">
        <f>IF(Evalucion!BD17=Datos!$C$15,Datos!$D$15,IF(Evalucion!BD17=Datos!$C$16,Datos!$D$16,IF(Evalucion!BD17=Datos!$C$17,Datos!$D$17,IF(Evalucion!BD17=Datos!$C$18,Datos!$D$18,IF(Evalucion!BD17=Datos!$C$19,Datos!$D$19,"=")))))</f>
        <v>1</v>
      </c>
      <c r="BD19">
        <f>IF(Evalucion!BE17=Datos!$C$15,Datos!$D$15,IF(Evalucion!BE17=Datos!$C$16,Datos!$D$16,IF(Evalucion!BE17=Datos!$C$17,Datos!$D$17,IF(Evalucion!BE17=Datos!$C$18,Datos!$D$18,IF(Evalucion!BE17=Datos!$C$19,Datos!$D$19,"=")))))</f>
        <v>5</v>
      </c>
      <c r="BE19">
        <f>IF(Evalucion!BF17=Datos!$C$15,Datos!$D$15,IF(Evalucion!BF17=Datos!$C$16,Datos!$D$16,IF(Evalucion!BF17=Datos!$C$17,Datos!$D$17,IF(Evalucion!BF17=Datos!$C$18,Datos!$D$18,IF(Evalucion!BF17=Datos!$C$19,Datos!$D$19,"=")))))</f>
        <v>3</v>
      </c>
      <c r="BF19">
        <f>IF(Evalucion!BG17=Datos!$C$15,Datos!$D$15,IF(Evalucion!BG17=Datos!$C$16,Datos!$D$16,IF(Evalucion!BG17=Datos!$C$17,Datos!$D$17,IF(Evalucion!BG17=Datos!$C$18,Datos!$D$18,IF(Evalucion!BG17=Datos!$C$19,Datos!$D$19,"=")))))</f>
        <v>5</v>
      </c>
      <c r="BG19">
        <f>IF(Evalucion!BH17=Datos!$C$15,Datos!$D$15,IF(Evalucion!BH17=Datos!$C$16,Datos!$D$16,IF(Evalucion!BH17=Datos!$C$17,Datos!$D$17,IF(Evalucion!BH17=Datos!$C$18,Datos!$D$18,IF(Evalucion!BH17=Datos!$C$19,Datos!$D$19,"=")))))</f>
        <v>5</v>
      </c>
      <c r="BH19">
        <f>IF(Evalucion!BI17=Datos!$C$15,Datos!$D$15,IF(Evalucion!BI17=Datos!$C$16,Datos!$D$16,IF(Evalucion!BI17=Datos!$C$17,Datos!$D$17,IF(Evalucion!BI17=Datos!$C$18,Datos!$D$18,IF(Evalucion!BI17=Datos!$C$19,Datos!$D$19,"=")))))</f>
        <v>5</v>
      </c>
      <c r="BI19">
        <f>IF(Evalucion!BJ17=Datos!$C$15,Datos!$D$15,IF(Evalucion!BJ17=Datos!$C$16,Datos!$D$16,IF(Evalucion!BJ17=Datos!$C$17,Datos!$D$17,IF(Evalucion!BJ17=Datos!$C$18,Datos!$D$18,IF(Evalucion!BJ17=Datos!$C$19,Datos!$D$19,"=")))))</f>
        <v>5</v>
      </c>
      <c r="BJ19">
        <f>IF(Evalucion!BK17=Datos!$C$15,Datos!$D$15,IF(Evalucion!BK17=Datos!$C$16,Datos!$D$16,IF(Evalucion!BK17=Datos!$C$17,Datos!$D$17,IF(Evalucion!BK17=Datos!$C$18,Datos!$D$18,IF(Evalucion!BK17=Datos!$C$19,Datos!$D$19,"=")))))</f>
        <v>5</v>
      </c>
      <c r="BK19">
        <f>IF(Evalucion!BL17=Datos!$C$15,Datos!$D$15,IF(Evalucion!BL17=Datos!$C$16,Datos!$D$16,IF(Evalucion!BL17=Datos!$C$17,Datos!$D$17,IF(Evalucion!BL17=Datos!$C$18,Datos!$D$18,IF(Evalucion!BL17=Datos!$C$19,Datos!$D$19,"=")))))</f>
        <v>5</v>
      </c>
      <c r="BL19">
        <f>IF(Evalucion!BM17=Datos!$C$15,Datos!$D$15,IF(Evalucion!BM17=Datos!$C$16,Datos!$D$16,IF(Evalucion!BM17=Datos!$C$17,Datos!$D$17,IF(Evalucion!BM17=Datos!$C$18,Datos!$D$18,IF(Evalucion!BM17=Datos!$C$19,Datos!$D$19,"=")))))</f>
        <v>5</v>
      </c>
      <c r="BM19">
        <f>IF(Evalucion!BN17=Datos!$C$15,Datos!$D$15,IF(Evalucion!BN17=Datos!$C$16,Datos!$D$16,IF(Evalucion!BN17=Datos!$C$17,Datos!$D$17,IF(Evalucion!BN17=Datos!$C$18,Datos!$D$18,IF(Evalucion!BN17=Datos!$C$19,Datos!$D$19,"=")))))</f>
        <v>5</v>
      </c>
      <c r="BN19">
        <f>IF(Evalucion!BO17=Datos!$C$15,Datos!$D$15,IF(Evalucion!BO17=Datos!$C$16,Datos!$D$16,IF(Evalucion!BO17=Datos!$C$17,Datos!$D$17,IF(Evalucion!BO17=Datos!$C$18,Datos!$D$18,IF(Evalucion!BO17=Datos!$C$19,Datos!$D$19,"=")))))</f>
        <v>5</v>
      </c>
      <c r="BO19">
        <f>IF(Evalucion!BP17=Datos!$C$15,Datos!$D$15,IF(Evalucion!BP17=Datos!$C$16,Datos!$D$16,IF(Evalucion!BP17=Datos!$C$17,Datos!$D$17,IF(Evalucion!BP17=Datos!$C$18,Datos!$D$18,IF(Evalucion!BP17=Datos!$C$19,Datos!$D$19,"=")))))</f>
        <v>5</v>
      </c>
      <c r="BP19">
        <f>IF(Evalucion!BQ17=Datos!$C$15,Datos!$D$15,IF(Evalucion!BQ17=Datos!$C$16,Datos!$D$16,IF(Evalucion!BQ17=Datos!$C$17,Datos!$D$17,IF(Evalucion!BQ17=Datos!$C$18,Datos!$D$18,IF(Evalucion!BQ17=Datos!$C$19,Datos!$D$19,"=")))))</f>
        <v>5</v>
      </c>
      <c r="BQ19">
        <f>IF(Evalucion!BR17=Datos!$C$15,Datos!$D$15,IF(Evalucion!BR17=Datos!$C$16,Datos!$D$16,IF(Evalucion!BR17=Datos!$C$17,Datos!$D$17,IF(Evalucion!BR17=Datos!$C$18,Datos!$D$18,IF(Evalucion!BR17=Datos!$C$19,Datos!$D$19,"=")))))</f>
        <v>3</v>
      </c>
      <c r="BR19">
        <f>IF(Evalucion!BS17=Datos!$C$15,Datos!$D$15,IF(Evalucion!BS17=Datos!$C$16,Datos!$D$16,IF(Evalucion!BS17=Datos!$C$17,Datos!$D$17,IF(Evalucion!BS17=Datos!$C$18,Datos!$D$18,IF(Evalucion!BS17=Datos!$C$19,Datos!$D$19,"=")))))</f>
        <v>5</v>
      </c>
      <c r="BS19">
        <f>IF(Evalucion!BT17=Datos!$C$15,Datos!$D$15,IF(Evalucion!BT17=Datos!$C$16,Datos!$D$16,IF(Evalucion!BT17=Datos!$C$17,Datos!$D$17,IF(Evalucion!BT17=Datos!$C$18,Datos!$D$18,IF(Evalucion!BT17=Datos!$C$19,Datos!$D$19,"=")))))</f>
        <v>3</v>
      </c>
      <c r="BT19">
        <f>IF(Evalucion!BU17=Datos!$C$15,Datos!$D$15,IF(Evalucion!BU17=Datos!$C$16,Datos!$D$16,IF(Evalucion!BU17=Datos!$C$17,Datos!$D$17,IF(Evalucion!BU17=Datos!$C$18,Datos!$D$18,IF(Evalucion!BU17=Datos!$C$19,Datos!$D$19,"=")))))</f>
        <v>5</v>
      </c>
      <c r="BU19">
        <f>IF(Evalucion!BV17=Datos!$C$15,Datos!$D$15,IF(Evalucion!BV17=Datos!$C$16,Datos!$D$16,IF(Evalucion!BV17=Datos!$C$17,Datos!$D$17,IF(Evalucion!BV17=Datos!$C$18,Datos!$D$18,IF(Evalucion!BV17=Datos!$C$19,Datos!$D$19,"=")))))</f>
        <v>3</v>
      </c>
      <c r="BV19">
        <f>IF(Evalucion!BW17=Datos!$C$15,Datos!$D$15,IF(Evalucion!BW17=Datos!$C$16,Datos!$D$16,IF(Evalucion!BW17=Datos!$C$17,Datos!$D$17,IF(Evalucion!BW17=Datos!$C$18,Datos!$D$18,IF(Evalucion!BW17=Datos!$C$19,Datos!$D$19,"=")))))</f>
        <v>5</v>
      </c>
      <c r="BW19">
        <f>IF(Evalucion!BX17=Datos!$C$15,Datos!$D$15,IF(Evalucion!BX17=Datos!$C$16,Datos!$D$16,IF(Evalucion!BX17=Datos!$C$17,Datos!$D$17,IF(Evalucion!BX17=Datos!$C$18,Datos!$D$18,IF(Evalucion!BX17=Datos!$C$19,Datos!$D$19,"=")))))</f>
        <v>5</v>
      </c>
      <c r="BX19">
        <f>IF(Evalucion!BY17=Datos!$C$15,Datos!$D$15,IF(Evalucion!BY17=Datos!$C$16,Datos!$D$16,IF(Evalucion!BY17=Datos!$C$17,Datos!$D$17,IF(Evalucion!BY17=Datos!$C$18,Datos!$D$18,IF(Evalucion!BY17=Datos!$C$19,Datos!$D$19,"=")))))</f>
        <v>5</v>
      </c>
      <c r="BY19">
        <f>IF(Evalucion!BZ17=Datos!$C$15,Datos!$D$15,IF(Evalucion!BZ17=Datos!$C$16,Datos!$D$16,IF(Evalucion!BZ17=Datos!$C$17,Datos!$D$17,IF(Evalucion!BZ17=Datos!$C$18,Datos!$D$18,IF(Evalucion!BZ17=Datos!$C$19,Datos!$D$19,"=")))))</f>
        <v>5</v>
      </c>
      <c r="BZ19">
        <f>IF(Evalucion!CA17=Datos!$C$15,Datos!$D$15,IF(Evalucion!CA17=Datos!$C$16,Datos!$D$16,IF(Evalucion!CA17=Datos!$C$17,Datos!$D$17,IF(Evalucion!CA17=Datos!$C$18,Datos!$D$18,IF(Evalucion!CA17=Datos!$C$19,Datos!$D$19,"=")))))</f>
        <v>5</v>
      </c>
      <c r="CA19">
        <f>IF(Evalucion!CB17=Datos!$C$15,Datos!$D$15,IF(Evalucion!CB17=Datos!$C$16,Datos!$D$16,IF(Evalucion!CB17=Datos!$C$17,Datos!$D$17,IF(Evalucion!CB17=Datos!$C$18,Datos!$D$18,IF(Evalucion!CB17=Datos!$C$19,Datos!$D$19,"=")))))</f>
        <v>5</v>
      </c>
      <c r="CB19">
        <f>IF(Evalucion!CC17=Datos!$C$15,Datos!$D$15,IF(Evalucion!CC17=Datos!$C$16,Datos!$D$16,IF(Evalucion!CC17=Datos!$C$17,Datos!$D$17,IF(Evalucion!CC17=Datos!$C$18,Datos!$D$18,IF(Evalucion!CC17=Datos!$C$19,Datos!$D$19,"=")))))</f>
        <v>5</v>
      </c>
      <c r="CC19">
        <f>IF(Evalucion!CD17=Datos!$C$15,Datos!$D$15,IF(Evalucion!CD17=Datos!$C$16,Datos!$D$16,IF(Evalucion!CD17=Datos!$C$17,Datos!$D$17,IF(Evalucion!CD17=Datos!$C$18,Datos!$D$18,IF(Evalucion!CD17=Datos!$C$19,Datos!$D$19,"=")))))</f>
        <v>5</v>
      </c>
      <c r="CD19">
        <f>IF(Evalucion!CE17=Datos!$C$15,Datos!$D$15,IF(Evalucion!CE17=Datos!$C$16,Datos!$D$16,IF(Evalucion!CE17=Datos!$C$17,Datos!$D$17,IF(Evalucion!CE17=Datos!$C$18,Datos!$D$18,IF(Evalucion!CE17=Datos!$C$19,Datos!$D$19,"=")))))</f>
        <v>5</v>
      </c>
      <c r="CE19">
        <f>IF(Evalucion!CF17=Datos!$C$15,Datos!$D$15,IF(Evalucion!CF17=Datos!$C$16,Datos!$D$16,IF(Evalucion!CF17=Datos!$C$17,Datos!$D$17,IF(Evalucion!CF17=Datos!$C$18,Datos!$D$18,IF(Evalucion!CF17=Datos!$C$19,Datos!$D$19,"=")))))</f>
        <v>3</v>
      </c>
      <c r="CF19">
        <f>IF(Evalucion!CG17=Datos!$C$15,Datos!$D$15,IF(Evalucion!CG17=Datos!$C$16,Datos!$D$16,IF(Evalucion!CG17=Datos!$C$17,Datos!$D$17,IF(Evalucion!CG17=Datos!$C$18,Datos!$D$18,IF(Evalucion!CG17=Datos!$C$19,Datos!$D$19,"=")))))</f>
        <v>5</v>
      </c>
      <c r="CG19">
        <f>IF(Evalucion!CH17=Datos!$C$15,Datos!$D$15,IF(Evalucion!CH17=Datos!$C$16,Datos!$D$16,IF(Evalucion!CH17=Datos!$C$17,Datos!$D$17,IF(Evalucion!CH17=Datos!$C$18,Datos!$D$18,IF(Evalucion!CH17=Datos!$C$19,Datos!$D$19,"=")))))</f>
        <v>3</v>
      </c>
      <c r="CH19">
        <f>IF(Evalucion!CI17=Datos!$C$15,Datos!$D$15,IF(Evalucion!CI17=Datos!$C$16,Datos!$D$16,IF(Evalucion!CI17=Datos!$C$17,Datos!$D$17,IF(Evalucion!CI17=Datos!$C$18,Datos!$D$18,IF(Evalucion!CI17=Datos!$C$19,Datos!$D$19,"=")))))</f>
        <v>5</v>
      </c>
      <c r="CI19">
        <f>IF(Evalucion!CJ17=Datos!$C$15,Datos!$D$15,IF(Evalucion!CJ17=Datos!$C$16,Datos!$D$16,IF(Evalucion!CJ17=Datos!$C$17,Datos!$D$17,IF(Evalucion!CJ17=Datos!$C$18,Datos!$D$18,IF(Evalucion!CJ17=Datos!$C$19,Datos!$D$19,"=")))))</f>
        <v>3</v>
      </c>
      <c r="CJ19">
        <f>IF(Evalucion!CK17=Datos!$C$15,Datos!$D$15,IF(Evalucion!CK17=Datos!$C$16,Datos!$D$16,IF(Evalucion!CK17=Datos!$C$17,Datos!$D$17,IF(Evalucion!CK17=Datos!$C$18,Datos!$D$18,IF(Evalucion!CK17=Datos!$C$19,Datos!$D$19,"=")))))</f>
        <v>5</v>
      </c>
      <c r="CK19">
        <f>IF(Evalucion!CL17=Datos!$C$15,Datos!$D$15,IF(Evalucion!CL17=Datos!$C$16,Datos!$D$16,IF(Evalucion!CL17=Datos!$C$17,Datos!$D$17,IF(Evalucion!CL17=Datos!$C$18,Datos!$D$18,IF(Evalucion!CL17=Datos!$C$19,Datos!$D$19,"=")))))</f>
        <v>5</v>
      </c>
      <c r="CL19">
        <f>IF(Evalucion!CM17=Datos!$C$15,Datos!$D$15,IF(Evalucion!CM17=Datos!$C$16,Datos!$D$16,IF(Evalucion!CM17=Datos!$C$17,Datos!$D$17,IF(Evalucion!CM17=Datos!$C$18,Datos!$D$18,IF(Evalucion!CM17=Datos!$C$19,Datos!$D$19,"=")))))</f>
        <v>5</v>
      </c>
      <c r="CM19">
        <f>IF(Evalucion!CN17=Datos!$C$15,Datos!$D$15,IF(Evalucion!CN17=Datos!$C$16,Datos!$D$16,IF(Evalucion!CN17=Datos!$C$17,Datos!$D$17,IF(Evalucion!CN17=Datos!$C$18,Datos!$D$18,IF(Evalucion!CN17=Datos!$C$19,Datos!$D$19,"=")))))</f>
        <v>5</v>
      </c>
      <c r="CN19">
        <f>IF(Evalucion!CO17=Datos!$C$15,Datos!$D$15,IF(Evalucion!CO17=Datos!$C$16,Datos!$D$16,IF(Evalucion!CO17=Datos!$C$17,Datos!$D$17,IF(Evalucion!CO17=Datos!$C$18,Datos!$D$18,IF(Evalucion!CO17=Datos!$C$19,Datos!$D$19,"=")))))</f>
        <v>5</v>
      </c>
      <c r="CO19">
        <f>IF(Evalucion!CP17=Datos!$C$15,Datos!$D$15,IF(Evalucion!CP17=Datos!$C$16,Datos!$D$16,IF(Evalucion!CP17=Datos!$C$17,Datos!$D$17,IF(Evalucion!CP17=Datos!$C$18,Datos!$D$18,IF(Evalucion!CP17=Datos!$C$19,Datos!$D$19,"=")))))</f>
        <v>5</v>
      </c>
      <c r="CP19">
        <f>IF(Evalucion!CQ17=Datos!$C$15,Datos!$D$15,IF(Evalucion!CQ17=Datos!$C$16,Datos!$D$16,IF(Evalucion!CQ17=Datos!$C$17,Datos!$D$17,IF(Evalucion!CQ17=Datos!$C$18,Datos!$D$18,IF(Evalucion!CQ17=Datos!$C$19,Datos!$D$19,"=")))))</f>
        <v>5</v>
      </c>
      <c r="CQ19">
        <f>IF(Evalucion!CR17=Datos!$C$15,Datos!$D$15,IF(Evalucion!CR17=Datos!$C$16,Datos!$D$16,IF(Evalucion!CR17=Datos!$C$17,Datos!$D$17,IF(Evalucion!CR17=Datos!$C$18,Datos!$D$18,IF(Evalucion!CR17=Datos!$C$19,Datos!$D$19,"=")))))</f>
        <v>3</v>
      </c>
      <c r="CR19">
        <f>IF(Evalucion!CS17=Datos!$C$15,Datos!$D$15,IF(Evalucion!CS17=Datos!$C$16,Datos!$D$16,IF(Evalucion!CS17=Datos!$C$17,Datos!$D$17,IF(Evalucion!CS17=Datos!$C$18,Datos!$D$18,IF(Evalucion!CS17=Datos!$C$19,Datos!$D$19,"=")))))</f>
        <v>5</v>
      </c>
      <c r="CS19">
        <f>IF(Evalucion!CT17=Datos!$C$15,Datos!$D$15,IF(Evalucion!CT17=Datos!$C$16,Datos!$D$16,IF(Evalucion!CT17=Datos!$C$17,Datos!$D$17,IF(Evalucion!CT17=Datos!$C$18,Datos!$D$18,IF(Evalucion!CT17=Datos!$C$19,Datos!$D$19,"=")))))</f>
        <v>5</v>
      </c>
      <c r="CT19">
        <f>IF(Evalucion!CU17=Datos!$C$15,Datos!$D$15,IF(Evalucion!CU17=Datos!$C$16,Datos!$D$16,IF(Evalucion!CU17=Datos!$C$17,Datos!$D$17,IF(Evalucion!CU17=Datos!$C$18,Datos!$D$18,IF(Evalucion!CU17=Datos!$C$19,Datos!$D$19,"=")))))</f>
        <v>5</v>
      </c>
      <c r="CU19">
        <f>IF(Evalucion!CV17=Datos!$C$15,Datos!$D$15,IF(Evalucion!CV17=Datos!$C$16,Datos!$D$16,IF(Evalucion!CV17=Datos!$C$17,Datos!$D$17,IF(Evalucion!CV17=Datos!$C$18,Datos!$D$18,IF(Evalucion!CV17=Datos!$C$19,Datos!$D$19,"=")))))</f>
        <v>5</v>
      </c>
      <c r="CV19">
        <f>IF(Evalucion!CW17=Datos!$C$15,Datos!$D$15,IF(Evalucion!CW17=Datos!$C$16,Datos!$D$16,IF(Evalucion!CW17=Datos!$C$17,Datos!$D$17,IF(Evalucion!CW17=Datos!$C$18,Datos!$D$18,IF(Evalucion!CW17=Datos!$C$19,Datos!$D$19,"=")))))</f>
        <v>5</v>
      </c>
      <c r="CW19">
        <f>IF(Evalucion!CX17=Datos!$C$15,Datos!$D$15,IF(Evalucion!CX17=Datos!$C$16,Datos!$D$16,IF(Evalucion!CX17=Datos!$C$17,Datos!$D$17,IF(Evalucion!CX17=Datos!$C$18,Datos!$D$18,IF(Evalucion!CX17=Datos!$C$19,Datos!$D$19,"=")))))</f>
        <v>5</v>
      </c>
      <c r="CX19">
        <f>IF(Evalucion!CY17=Datos!$C$15,Datos!$D$15,IF(Evalucion!CY17=Datos!$C$16,Datos!$D$16,IF(Evalucion!CY17=Datos!$C$17,Datos!$D$17,IF(Evalucion!CY17=Datos!$C$18,Datos!$D$18,IF(Evalucion!CY17=Datos!$C$19,Datos!$D$19,"=")))))</f>
        <v>5</v>
      </c>
      <c r="CY19">
        <f>IF(Evalucion!CZ17=Datos!$C$15,Datos!$D$15,IF(Evalucion!CZ17=Datos!$C$16,Datos!$D$16,IF(Evalucion!CZ17=Datos!$C$17,Datos!$D$17,IF(Evalucion!CZ17=Datos!$C$18,Datos!$D$18,IF(Evalucion!CZ17=Datos!$C$19,Datos!$D$19,"=")))))</f>
        <v>5</v>
      </c>
      <c r="CZ19">
        <f>IF(Evalucion!DA17=Datos!$C$15,Datos!$D$15,IF(Evalucion!DA17=Datos!$C$16,Datos!$D$16,IF(Evalucion!DA17=Datos!$C$17,Datos!$D$17,IF(Evalucion!DA17=Datos!$C$18,Datos!$D$18,IF(Evalucion!DA17=Datos!$C$19,Datos!$D$19,"=")))))</f>
        <v>5</v>
      </c>
      <c r="DA19">
        <f>IF(Evalucion!DB17=Datos!$C$15,Datos!$D$15,IF(Evalucion!DB17=Datos!$C$16,Datos!$D$16,IF(Evalucion!DB17=Datos!$C$17,Datos!$D$17,IF(Evalucion!DB17=Datos!$C$18,Datos!$D$18,IF(Evalucion!DB17=Datos!$C$19,Datos!$D$19,"=")))))</f>
        <v>3</v>
      </c>
      <c r="DB19">
        <f>IF(Evalucion!DC17=Datos!$C$15,Datos!$D$15,IF(Evalucion!DC17=Datos!$C$16,Datos!$D$16,IF(Evalucion!DC17=Datos!$C$17,Datos!$D$17,IF(Evalucion!DC17=Datos!$C$18,Datos!$D$18,IF(Evalucion!DC17=Datos!$C$19,Datos!$D$19,"=")))))</f>
        <v>5</v>
      </c>
      <c r="DC19">
        <f>IF(Evalucion!DD17=Datos!$C$15,Datos!$D$15,IF(Evalucion!DD17=Datos!$C$16,Datos!$D$16,IF(Evalucion!DD17=Datos!$C$17,Datos!$D$17,IF(Evalucion!DD17=Datos!$C$18,Datos!$D$18,IF(Evalucion!DD17=Datos!$C$19,Datos!$D$19,"=")))))</f>
        <v>5</v>
      </c>
      <c r="DD19">
        <f>IF(Evalucion!DE17=Datos!$C$15,Datos!$D$15,IF(Evalucion!DE17=Datos!$C$16,Datos!$D$16,IF(Evalucion!DE17=Datos!$C$17,Datos!$D$17,IF(Evalucion!DE17=Datos!$C$18,Datos!$D$18,IF(Evalucion!DE17=Datos!$C$19,Datos!$D$19,"=")))))</f>
        <v>1</v>
      </c>
      <c r="DE19">
        <f>IF(Evalucion!DF17=Datos!$C$15,Datos!$D$15,IF(Evalucion!DF17=Datos!$C$16,Datos!$D$16,IF(Evalucion!DF17=Datos!$C$17,Datos!$D$17,IF(Evalucion!DF17=Datos!$C$18,Datos!$D$18,IF(Evalucion!DF17=Datos!$C$19,Datos!$D$19,"=")))))</f>
        <v>1</v>
      </c>
      <c r="DF19">
        <f>IF(Evalucion!DG17=Datos!$C$15,Datos!$D$15,IF(Evalucion!DG17=Datos!$C$16,Datos!$D$16,IF(Evalucion!DG17=Datos!$C$17,Datos!$D$17,IF(Evalucion!DG17=Datos!$C$18,Datos!$D$18,IF(Evalucion!DG17=Datos!$C$19,Datos!$D$19,"=")))))</f>
        <v>5</v>
      </c>
      <c r="DG19">
        <f>IF(Evalucion!DH17=Datos!$C$15,Datos!$D$15,IF(Evalucion!DH17=Datos!$C$16,Datos!$D$16,IF(Evalucion!DH17=Datos!$C$17,Datos!$D$17,IF(Evalucion!DH17=Datos!$C$18,Datos!$D$18,IF(Evalucion!DH17=Datos!$C$19,Datos!$D$19,"=")))))</f>
        <v>5</v>
      </c>
      <c r="DH19">
        <f>IF(Evalucion!DI17=Datos!$C$15,Datos!$D$15,IF(Evalucion!DI17=Datos!$C$16,Datos!$D$16,IF(Evalucion!DI17=Datos!$C$17,Datos!$D$17,IF(Evalucion!DI17=Datos!$C$18,Datos!$D$18,IF(Evalucion!DI17=Datos!$C$19,Datos!$D$19,"=")))))</f>
        <v>1</v>
      </c>
      <c r="DI19">
        <f>IF(Evalucion!DJ17=Datos!$C$15,Datos!$D$15,IF(Evalucion!DJ17=Datos!$C$16,Datos!$D$16,IF(Evalucion!DJ17=Datos!$C$17,Datos!$D$17,IF(Evalucion!DJ17=Datos!$C$18,Datos!$D$18,IF(Evalucion!DJ17=Datos!$C$19,Datos!$D$19,"=")))))</f>
        <v>1</v>
      </c>
      <c r="DJ19">
        <f>IF(Evalucion!DK17=Datos!$C$15,Datos!$D$15,IF(Evalucion!DK17=Datos!$C$16,Datos!$D$16,IF(Evalucion!DK17=Datos!$C$17,Datos!$D$17,IF(Evalucion!DK17=Datos!$C$18,Datos!$D$18,IF(Evalucion!DK17=Datos!$C$19,Datos!$D$19,"=")))))</f>
        <v>1</v>
      </c>
      <c r="DK19">
        <f>IF(Evalucion!DL17=Datos!$C$15,Datos!$D$15,IF(Evalucion!DL17=Datos!$C$16,Datos!$D$16,IF(Evalucion!DL17=Datos!$C$17,Datos!$D$17,IF(Evalucion!DL17=Datos!$C$18,Datos!$D$18,IF(Evalucion!DL17=Datos!$C$19,Datos!$D$19,"=")))))</f>
        <v>1</v>
      </c>
      <c r="DL19">
        <f>IF(Evalucion!DM17=Datos!$C$15,Datos!$D$15,IF(Evalucion!DM17=Datos!$C$16,Datos!$D$16,IF(Evalucion!DM17=Datos!$C$17,Datos!$D$17,IF(Evalucion!DM17=Datos!$C$18,Datos!$D$18,IF(Evalucion!DM17=Datos!$C$19,Datos!$D$19,"=")))))</f>
        <v>5</v>
      </c>
      <c r="DM19">
        <f>IF(Evalucion!DN17=Datos!$C$15,Datos!$D$15,IF(Evalucion!DN17=Datos!$C$16,Datos!$D$16,IF(Evalucion!DN17=Datos!$C$17,Datos!$D$17,IF(Evalucion!DN17=Datos!$C$18,Datos!$D$18,IF(Evalucion!DN17=Datos!$C$19,Datos!$D$19,"=")))))</f>
        <v>3</v>
      </c>
      <c r="DN19">
        <f>IF(Evalucion!DO17=Datos!$C$15,Datos!$D$15,IF(Evalucion!DO17=Datos!$C$16,Datos!$D$16,IF(Evalucion!DO17=Datos!$C$17,Datos!$D$17,IF(Evalucion!DO17=Datos!$C$18,Datos!$D$18,IF(Evalucion!DO17=Datos!$C$19,Datos!$D$19,"=")))))</f>
        <v>5</v>
      </c>
      <c r="DO19">
        <f>IF(Evalucion!DP17=Datos!$C$15,Datos!$D$15,IF(Evalucion!DP17=Datos!$C$16,Datos!$D$16,IF(Evalucion!DP17=Datos!$C$17,Datos!$D$17,IF(Evalucion!DP17=Datos!$C$18,Datos!$D$18,IF(Evalucion!DP17=Datos!$C$19,Datos!$D$19,"=")))))</f>
        <v>5</v>
      </c>
      <c r="DP19">
        <f>IF(Evalucion!DQ17=Datos!$C$15,Datos!$D$15,IF(Evalucion!DQ17=Datos!$C$16,Datos!$D$16,IF(Evalucion!DQ17=Datos!$C$17,Datos!$D$17,IF(Evalucion!DQ17=Datos!$C$18,Datos!$D$18,IF(Evalucion!DQ17=Datos!$C$19,Datos!$D$19,"=")))))</f>
        <v>5</v>
      </c>
      <c r="DQ19">
        <f>IF(Evalucion!DR17=Datos!$C$15,Datos!$D$15,IF(Evalucion!DR17=Datos!$C$16,Datos!$D$16,IF(Evalucion!DR17=Datos!$C$17,Datos!$D$17,IF(Evalucion!DR17=Datos!$C$18,Datos!$D$18,IF(Evalucion!DR17=Datos!$C$19,Datos!$D$19,"=")))))</f>
        <v>3</v>
      </c>
      <c r="DR19">
        <f>IF(Evalucion!DS17=Datos!$C$15,Datos!$D$15,IF(Evalucion!DS17=Datos!$C$16,Datos!$D$16,IF(Evalucion!DS17=Datos!$C$17,Datos!$D$17,IF(Evalucion!DS17=Datos!$C$18,Datos!$D$18,IF(Evalucion!DS17=Datos!$C$19,Datos!$D$19,"=")))))</f>
        <v>5</v>
      </c>
      <c r="DS19">
        <f>IF(Evalucion!DT17=Datos!$C$15,Datos!$D$15,IF(Evalucion!DT17=Datos!$C$16,Datos!$D$16,IF(Evalucion!DT17=Datos!$C$17,Datos!$D$17,IF(Evalucion!DT17=Datos!$C$18,Datos!$D$18,IF(Evalucion!DT17=Datos!$C$19,Datos!$D$19,"=")))))</f>
        <v>3</v>
      </c>
      <c r="DT19">
        <f>IF(Evalucion!DU17=Datos!$C$15,Datos!$D$15,IF(Evalucion!DU17=Datos!$C$16,Datos!$D$16,IF(Evalucion!DU17=Datos!$C$17,Datos!$D$17,IF(Evalucion!DU17=Datos!$C$18,Datos!$D$18,IF(Evalucion!DU17=Datos!$C$19,Datos!$D$19,"=")))))</f>
        <v>5</v>
      </c>
      <c r="DU19">
        <f>IF(Evalucion!DV17=Datos!$C$15,Datos!$D$15,IF(Evalucion!DV17=Datos!$C$16,Datos!$D$16,IF(Evalucion!DV17=Datos!$C$17,Datos!$D$17,IF(Evalucion!DV17=Datos!$C$18,Datos!$D$18,IF(Evalucion!DV17=Datos!$C$19,Datos!$D$19,"=")))))</f>
        <v>3</v>
      </c>
      <c r="DV19">
        <f>IF(Evalucion!DW17=Datos!$C$15,Datos!$D$15,IF(Evalucion!DW17=Datos!$C$16,Datos!$D$16,IF(Evalucion!DW17=Datos!$C$17,Datos!$D$17,IF(Evalucion!DW17=Datos!$C$18,Datos!$D$18,IF(Evalucion!DW17=Datos!$C$19,Datos!$D$19,"=")))))</f>
        <v>5</v>
      </c>
      <c r="DW19">
        <f>IF(Evalucion!DX17=Datos!$C$15,Datos!$D$15,IF(Evalucion!DX17=Datos!$C$16,Datos!$D$16,IF(Evalucion!DX17=Datos!$C$17,Datos!$D$17,IF(Evalucion!DX17=Datos!$C$18,Datos!$D$18,IF(Evalucion!DX17=Datos!$C$19,Datos!$D$19,"=")))))</f>
        <v>3</v>
      </c>
      <c r="DX19">
        <f>IF(Evalucion!DY17=Datos!$C$15,Datos!$D$15,IF(Evalucion!DY17=Datos!$C$16,Datos!$D$16,IF(Evalucion!DY17=Datos!$C$17,Datos!$D$17,IF(Evalucion!DY17=Datos!$C$18,Datos!$D$18,IF(Evalucion!DY17=Datos!$C$19,Datos!$D$19,"=")))))</f>
        <v>5</v>
      </c>
      <c r="DY19">
        <f>IF(Evalucion!DZ17=Datos!$C$15,Datos!$D$15,IF(Evalucion!DZ17=Datos!$C$16,Datos!$D$16,IF(Evalucion!DZ17=Datos!$C$17,Datos!$D$17,IF(Evalucion!DZ17=Datos!$C$18,Datos!$D$18,IF(Evalucion!DZ17=Datos!$C$19,Datos!$D$19,"=")))))</f>
        <v>3</v>
      </c>
      <c r="DZ19">
        <f>IF(Evalucion!EA17=Datos!$C$15,Datos!$D$15,IF(Evalucion!EA17=Datos!$C$16,Datos!$D$16,IF(Evalucion!EA17=Datos!$C$17,Datos!$D$17,IF(Evalucion!EA17=Datos!$C$18,Datos!$D$18,IF(Evalucion!EA17=Datos!$C$19,Datos!$D$19,"=")))))</f>
        <v>5</v>
      </c>
      <c r="EA19">
        <f>IF(Evalucion!EB17=Datos!$C$15,Datos!$D$15,IF(Evalucion!EB17=Datos!$C$16,Datos!$D$16,IF(Evalucion!EB17=Datos!$C$17,Datos!$D$17,IF(Evalucion!EB17=Datos!$C$18,Datos!$D$18,IF(Evalucion!EB17=Datos!$C$19,Datos!$D$19,"=")))))</f>
        <v>5</v>
      </c>
      <c r="EB19">
        <f>IF(Evalucion!EC17=Datos!$C$15,Datos!$D$15,IF(Evalucion!EC17=Datos!$C$16,Datos!$D$16,IF(Evalucion!EC17=Datos!$C$17,Datos!$D$17,IF(Evalucion!EC17=Datos!$C$18,Datos!$D$18,IF(Evalucion!EC17=Datos!$C$19,Datos!$D$19,"=")))))</f>
        <v>5</v>
      </c>
      <c r="EC19">
        <f>IF(Evalucion!ED17=Datos!$C$15,Datos!$D$15,IF(Evalucion!ED17=Datos!$C$16,Datos!$D$16,IF(Evalucion!ED17=Datos!$C$17,Datos!$D$17,IF(Evalucion!ED17=Datos!$C$18,Datos!$D$18,IF(Evalucion!ED17=Datos!$C$19,Datos!$D$19,"=")))))</f>
        <v>3</v>
      </c>
      <c r="ED19">
        <f>IF(Evalucion!EE17=Datos!$C$15,Datos!$D$15,IF(Evalucion!EE17=Datos!$C$16,Datos!$D$16,IF(Evalucion!EE17=Datos!$C$17,Datos!$D$17,IF(Evalucion!EE17=Datos!$C$18,Datos!$D$18,IF(Evalucion!EE17=Datos!$C$19,Datos!$D$19,"=")))))</f>
        <v>5</v>
      </c>
      <c r="EE19">
        <f>IF(Evalucion!EF17=Datos!$C$15,Datos!$D$15,IF(Evalucion!EF17=Datos!$C$16,Datos!$D$16,IF(Evalucion!EF17=Datos!$C$17,Datos!$D$17,IF(Evalucion!EF17=Datos!$C$18,Datos!$D$18,IF(Evalucion!EF17=Datos!$C$19,Datos!$D$19,"=")))))</f>
        <v>5</v>
      </c>
      <c r="EF19">
        <f>IF(Evalucion!EG17=Datos!$C$15,Datos!$D$15,IF(Evalucion!EG17=Datos!$C$16,Datos!$D$16,IF(Evalucion!EG17=Datos!$C$17,Datos!$D$17,IF(Evalucion!EG17=Datos!$C$18,Datos!$D$18,IF(Evalucion!EG17=Datos!$C$19,Datos!$D$19,"=")))))</f>
        <v>5</v>
      </c>
      <c r="EG19">
        <f>IF(Evalucion!EH17=Datos!$C$15,Datos!$D$15,IF(Evalucion!EH17=Datos!$C$16,Datos!$D$16,IF(Evalucion!EH17=Datos!$C$17,Datos!$D$17,IF(Evalucion!EH17=Datos!$C$18,Datos!$D$18,IF(Evalucion!EH17=Datos!$C$19,Datos!$D$19,"=")))))</f>
        <v>5</v>
      </c>
      <c r="EH19">
        <f>IF(Evalucion!EI17=Datos!$C$15,Datos!$D$15,IF(Evalucion!EI17=Datos!$C$16,Datos!$D$16,IF(Evalucion!EI17=Datos!$C$17,Datos!$D$17,IF(Evalucion!EI17=Datos!$C$18,Datos!$D$18,IF(Evalucion!EI17=Datos!$C$19,Datos!$D$19,"=")))))</f>
        <v>5</v>
      </c>
      <c r="EI19">
        <f>IF(Evalucion!EJ17=Datos!$C$15,Datos!$D$15,IF(Evalucion!EJ17=Datos!$C$16,Datos!$D$16,IF(Evalucion!EJ17=Datos!$C$17,Datos!$D$17,IF(Evalucion!EJ17=Datos!$C$18,Datos!$D$18,IF(Evalucion!EJ17=Datos!$C$19,Datos!$D$19,"=")))))</f>
        <v>5</v>
      </c>
      <c r="EJ19">
        <f>IF(Evalucion!EK17=Datos!$C$15,Datos!$D$15,IF(Evalucion!EK17=Datos!$C$16,Datos!$D$16,IF(Evalucion!EK17=Datos!$C$17,Datos!$D$17,IF(Evalucion!EK17=Datos!$C$18,Datos!$D$18,IF(Evalucion!EK17=Datos!$C$19,Datos!$D$19,"=")))))</f>
        <v>5</v>
      </c>
      <c r="EK19">
        <f>IF(Evalucion!EL17=Datos!$C$15,Datos!$D$15,IF(Evalucion!EL17=Datos!$C$16,Datos!$D$16,IF(Evalucion!EL17=Datos!$C$17,Datos!$D$17,IF(Evalucion!EL17=Datos!$C$18,Datos!$D$18,IF(Evalucion!EL17=Datos!$C$19,Datos!$D$19,"=")))))</f>
        <v>5</v>
      </c>
      <c r="EL19">
        <f>IF(Evalucion!EM17=Datos!$C$15,Datos!$D$15,IF(Evalucion!EM17=Datos!$C$16,Datos!$D$16,IF(Evalucion!EM17=Datos!$C$17,Datos!$D$17,IF(Evalucion!EM17=Datos!$C$18,Datos!$D$18,IF(Evalucion!EM17=Datos!$C$19,Datos!$D$19,"=")))))</f>
        <v>5</v>
      </c>
      <c r="EM19">
        <f>IF(Evalucion!EN17=Datos!$C$15,Datos!$D$15,IF(Evalucion!EN17=Datos!$C$16,Datos!$D$16,IF(Evalucion!EN17=Datos!$C$17,Datos!$D$17,IF(Evalucion!EN17=Datos!$C$18,Datos!$D$18,IF(Evalucion!EN17=Datos!$C$19,Datos!$D$19,"=")))))</f>
        <v>5</v>
      </c>
      <c r="EN19">
        <f>IF(Evalucion!EO17=Datos!$C$15,Datos!$D$15,IF(Evalucion!EO17=Datos!$C$16,Datos!$D$16,IF(Evalucion!EO17=Datos!$C$17,Datos!$D$17,IF(Evalucion!EO17=Datos!$C$18,Datos!$D$18,IF(Evalucion!EO17=Datos!$C$19,Datos!$D$19,"=")))))</f>
        <v>5</v>
      </c>
      <c r="EO19">
        <f>IF(Evalucion!EP17=Datos!$C$15,Datos!$D$15,IF(Evalucion!EP17=Datos!$C$16,Datos!$D$16,IF(Evalucion!EP17=Datos!$C$17,Datos!$D$17,IF(Evalucion!EP17=Datos!$C$18,Datos!$D$18,IF(Evalucion!EP17=Datos!$C$19,Datos!$D$19,"=")))))</f>
        <v>5</v>
      </c>
      <c r="EP19">
        <f>IF(Evalucion!EQ17=Datos!$C$15,Datos!$D$15,IF(Evalucion!EQ17=Datos!$C$16,Datos!$D$16,IF(Evalucion!EQ17=Datos!$C$17,Datos!$D$17,IF(Evalucion!EQ17=Datos!$C$18,Datos!$D$18,IF(Evalucion!EQ17=Datos!$C$19,Datos!$D$19,"=")))))</f>
        <v>5</v>
      </c>
      <c r="EQ19">
        <f>IF(Evalucion!ER17=Datos!$C$15,Datos!$D$15,IF(Evalucion!ER17=Datos!$C$16,Datos!$D$16,IF(Evalucion!ER17=Datos!$C$17,Datos!$D$17,IF(Evalucion!ER17=Datos!$C$18,Datos!$D$18,IF(Evalucion!ER17=Datos!$C$19,Datos!$D$19,"=")))))</f>
        <v>5</v>
      </c>
      <c r="ER19">
        <f>IF(Evalucion!ES17=Datos!$C$15,Datos!$D$15,IF(Evalucion!ES17=Datos!$C$16,Datos!$D$16,IF(Evalucion!ES17=Datos!$C$17,Datos!$D$17,IF(Evalucion!ES17=Datos!$C$18,Datos!$D$18,IF(Evalucion!ES17=Datos!$C$19,Datos!$D$19,"=")))))</f>
        <v>5</v>
      </c>
      <c r="ES19">
        <f>IF(Evalucion!ET17=Datos!$C$15,Datos!$D$15,IF(Evalucion!ET17=Datos!$C$16,Datos!$D$16,IF(Evalucion!ET17=Datos!$C$17,Datos!$D$17,IF(Evalucion!ET17=Datos!$C$18,Datos!$D$18,IF(Evalucion!ET17=Datos!$C$19,Datos!$D$19,"=")))))</f>
        <v>5</v>
      </c>
      <c r="ET19">
        <f>IF(Evalucion!EU17=Datos!$C$15,Datos!$D$15,IF(Evalucion!EU17=Datos!$C$16,Datos!$D$16,IF(Evalucion!EU17=Datos!$C$17,Datos!$D$17,IF(Evalucion!EU17=Datos!$C$18,Datos!$D$18,IF(Evalucion!EU17=Datos!$C$19,Datos!$D$19,"=")))))</f>
        <v>5</v>
      </c>
      <c r="EU19">
        <f>IF(Evalucion!EV17=Datos!$C$15,Datos!$D$15,IF(Evalucion!EV17=Datos!$C$16,Datos!$D$16,IF(Evalucion!EV17=Datos!$C$17,Datos!$D$17,IF(Evalucion!EV17=Datos!$C$18,Datos!$D$18,IF(Evalucion!EV17=Datos!$C$19,Datos!$D$19,"=")))))</f>
        <v>3</v>
      </c>
      <c r="EV19">
        <f>IF(Evalucion!EW17=Datos!$C$15,Datos!$D$15,IF(Evalucion!EW17=Datos!$C$16,Datos!$D$16,IF(Evalucion!EW17=Datos!$C$17,Datos!$D$17,IF(Evalucion!EW17=Datos!$C$18,Datos!$D$18,IF(Evalucion!EW17=Datos!$C$19,Datos!$D$19,"=")))))</f>
        <v>5</v>
      </c>
      <c r="EW19">
        <f>IF(Evalucion!EX17=Datos!$C$15,Datos!$D$15,IF(Evalucion!EX17=Datos!$C$16,Datos!$D$16,IF(Evalucion!EX17=Datos!$C$17,Datos!$D$17,IF(Evalucion!EX17=Datos!$C$18,Datos!$D$18,IF(Evalucion!EX17=Datos!$C$19,Datos!$D$19,"=")))))</f>
        <v>5</v>
      </c>
      <c r="EX19">
        <f>IF(Evalucion!EY17=Datos!$C$15,Datos!$D$15,IF(Evalucion!EY17=Datos!$C$16,Datos!$D$16,IF(Evalucion!EY17=Datos!$C$17,Datos!$D$17,IF(Evalucion!EY17=Datos!$C$18,Datos!$D$18,IF(Evalucion!EY17=Datos!$C$19,Datos!$D$19,"=")))))</f>
        <v>5</v>
      </c>
      <c r="EY19">
        <f>IF(Evalucion!EZ17=Datos!$C$15,Datos!$D$15,IF(Evalucion!EZ17=Datos!$C$16,Datos!$D$16,IF(Evalucion!EZ17=Datos!$C$17,Datos!$D$17,IF(Evalucion!EZ17=Datos!$C$18,Datos!$D$18,IF(Evalucion!EZ17=Datos!$C$19,Datos!$D$19,"=")))))</f>
        <v>3</v>
      </c>
      <c r="FA19">
        <f t="shared" si="3"/>
        <v>335</v>
      </c>
      <c r="FB19">
        <f t="shared" si="3"/>
        <v>291</v>
      </c>
      <c r="FC19" s="3">
        <f t="shared" si="4"/>
        <v>0.77600000000000002</v>
      </c>
      <c r="FD19" t="str">
        <f t="shared" si="0"/>
        <v>Conf_CR</v>
      </c>
      <c r="FF19">
        <f t="shared" si="5"/>
        <v>626</v>
      </c>
      <c r="FG19">
        <f t="shared" si="6"/>
        <v>0</v>
      </c>
    </row>
    <row r="20" spans="1:163" x14ac:dyDescent="0.2">
      <c r="A20">
        <f t="shared" si="7"/>
        <v>17</v>
      </c>
      <c r="B20" t="s">
        <v>262</v>
      </c>
      <c r="C20" t="s">
        <v>194</v>
      </c>
      <c r="D20" s="1">
        <v>43236</v>
      </c>
      <c r="E20">
        <f>IF(Evalucion!F18=Datos!$C$15,Datos!$D$15,IF(Evalucion!F18=Datos!$C$16,Datos!$D$16,IF(Evalucion!F18=Datos!$C$17,Datos!$D$17,IF(Evalucion!F18=Datos!$C$18,Datos!$D$18,IF(Evalucion!F18=Datos!$C$19,Datos!$D$19,"=")))))</f>
        <v>5</v>
      </c>
      <c r="F20">
        <f>IF(Evalucion!G18=Datos!$C$15,Datos!$D$15,IF(Evalucion!G18=Datos!$C$16,Datos!$D$16,IF(Evalucion!G18=Datos!$C$17,Datos!$D$17,IF(Evalucion!G18=Datos!$C$18,Datos!$D$18,IF(Evalucion!G18=Datos!$C$19,Datos!$D$19,"=")))))</f>
        <v>5</v>
      </c>
      <c r="G20">
        <f>IF(Evalucion!H18=Datos!$C$15,Datos!$D$15,IF(Evalucion!H18=Datos!$C$16,Datos!$D$16,IF(Evalucion!H18=Datos!$C$17,Datos!$D$17,IF(Evalucion!H18=Datos!$C$18,Datos!$D$18,IF(Evalucion!H18=Datos!$C$19,Datos!$D$19,"=")))))</f>
        <v>5</v>
      </c>
      <c r="H20">
        <f>IF(Evalucion!I18=Datos!$C$15,Datos!$D$15,IF(Evalucion!I18=Datos!$C$16,Datos!$D$16,IF(Evalucion!I18=Datos!$C$17,Datos!$D$17,IF(Evalucion!I18=Datos!$C$18,Datos!$D$18,IF(Evalucion!I18=Datos!$C$19,Datos!$D$19,"=")))))</f>
        <v>1</v>
      </c>
      <c r="I20">
        <f>IF(Evalucion!J18=Datos!$C$15,Datos!$D$15,IF(Evalucion!J18=Datos!$C$16,Datos!$D$16,IF(Evalucion!J18=Datos!$C$17,Datos!$D$17,IF(Evalucion!J18=Datos!$C$18,Datos!$D$18,IF(Evalucion!J18=Datos!$C$19,Datos!$D$19,"=")))))</f>
        <v>1</v>
      </c>
      <c r="J20">
        <f>IF(Evalucion!K18=Datos!$C$15,Datos!$D$15,IF(Evalucion!K18=Datos!$C$16,Datos!$D$16,IF(Evalucion!K18=Datos!$C$17,Datos!$D$17,IF(Evalucion!K18=Datos!$C$18,Datos!$D$18,IF(Evalucion!K18=Datos!$C$19,Datos!$D$19,"=")))))</f>
        <v>1</v>
      </c>
      <c r="K20">
        <f>IF(Evalucion!L18=Datos!$C$15,Datos!$D$15,IF(Evalucion!L18=Datos!$C$16,Datos!$D$16,IF(Evalucion!L18=Datos!$C$17,Datos!$D$17,IF(Evalucion!L18=Datos!$C$18,Datos!$D$18,IF(Evalucion!L18=Datos!$C$19,Datos!$D$19,"=")))))</f>
        <v>5</v>
      </c>
      <c r="L20">
        <f>IF(Evalucion!M18=Datos!$C$15,Datos!$D$15,IF(Evalucion!M18=Datos!$C$16,Datos!$D$16,IF(Evalucion!M18=Datos!$C$17,Datos!$D$17,IF(Evalucion!M18=Datos!$C$18,Datos!$D$18,IF(Evalucion!M18=Datos!$C$19,Datos!$D$19,"=")))))</f>
        <v>5</v>
      </c>
      <c r="M20">
        <f>IF(Evalucion!N18=Datos!$C$15,Datos!$D$15,IF(Evalucion!N18=Datos!$C$16,Datos!$D$16,IF(Evalucion!N18=Datos!$C$17,Datos!$D$17,IF(Evalucion!N18=Datos!$C$18,Datos!$D$18,IF(Evalucion!N18=Datos!$C$19,Datos!$D$19,"=")))))</f>
        <v>5</v>
      </c>
      <c r="N20">
        <f>IF(Evalucion!O18=Datos!$C$15,Datos!$D$15,IF(Evalucion!O18=Datos!$C$16,Datos!$D$16,IF(Evalucion!O18=Datos!$C$17,Datos!$D$17,IF(Evalucion!O18=Datos!$C$18,Datos!$D$18,IF(Evalucion!O18=Datos!$C$19,Datos!$D$19,"=")))))</f>
        <v>5</v>
      </c>
      <c r="O20">
        <f>IF(Evalucion!P18=Datos!$C$15,Datos!$D$15,IF(Evalucion!P18=Datos!$C$16,Datos!$D$16,IF(Evalucion!P18=Datos!$C$17,Datos!$D$17,IF(Evalucion!P18=Datos!$C$18,Datos!$D$18,IF(Evalucion!P18=Datos!$C$19,Datos!$D$19,"=")))))</f>
        <v>5</v>
      </c>
      <c r="P20">
        <f>IF(Evalucion!Q18=Datos!$C$15,Datos!$D$15,IF(Evalucion!Q18=Datos!$C$16,Datos!$D$16,IF(Evalucion!Q18=Datos!$C$17,Datos!$D$17,IF(Evalucion!Q18=Datos!$C$18,Datos!$D$18,IF(Evalucion!Q18=Datos!$C$19,Datos!$D$19,"=")))))</f>
        <v>5</v>
      </c>
      <c r="Q20">
        <f>IF(Evalucion!R18=Datos!$C$15,Datos!$D$15,IF(Evalucion!R18=Datos!$C$16,Datos!$D$16,IF(Evalucion!R18=Datos!$C$17,Datos!$D$17,IF(Evalucion!R18=Datos!$C$18,Datos!$D$18,IF(Evalucion!R18=Datos!$C$19,Datos!$D$19,"=")))))</f>
        <v>5</v>
      </c>
      <c r="R20">
        <f>IF(Evalucion!S18=Datos!$C$15,Datos!$D$15,IF(Evalucion!S18=Datos!$C$16,Datos!$D$16,IF(Evalucion!S18=Datos!$C$17,Datos!$D$17,IF(Evalucion!S18=Datos!$C$18,Datos!$D$18,IF(Evalucion!S18=Datos!$C$19,Datos!$D$19,"=")))))</f>
        <v>5</v>
      </c>
      <c r="S20">
        <f>IF(Evalucion!T18=Datos!$C$15,Datos!$D$15,IF(Evalucion!T18=Datos!$C$16,Datos!$D$16,IF(Evalucion!T18=Datos!$C$17,Datos!$D$17,IF(Evalucion!T18=Datos!$C$18,Datos!$D$18,IF(Evalucion!T18=Datos!$C$19,Datos!$D$19,"=")))))</f>
        <v>5</v>
      </c>
      <c r="T20">
        <f>IF(Evalucion!U18=Datos!$C$15,Datos!$D$15,IF(Evalucion!U18=Datos!$C$16,Datos!$D$16,IF(Evalucion!U18=Datos!$C$17,Datos!$D$17,IF(Evalucion!U18=Datos!$C$18,Datos!$D$18,IF(Evalucion!U18=Datos!$C$19,Datos!$D$19,"=")))))</f>
        <v>5</v>
      </c>
      <c r="U20">
        <f>IF(Evalucion!V18=Datos!$C$15,Datos!$D$15,IF(Evalucion!V18=Datos!$C$16,Datos!$D$16,IF(Evalucion!V18=Datos!$C$17,Datos!$D$17,IF(Evalucion!V18=Datos!$C$18,Datos!$D$18,IF(Evalucion!V18=Datos!$C$19,Datos!$D$19,"=")))))</f>
        <v>5</v>
      </c>
      <c r="V20">
        <f>IF(Evalucion!W18=Datos!$C$15,Datos!$D$15,IF(Evalucion!W18=Datos!$C$16,Datos!$D$16,IF(Evalucion!W18=Datos!$C$17,Datos!$D$17,IF(Evalucion!W18=Datos!$C$18,Datos!$D$18,IF(Evalucion!W18=Datos!$C$19,Datos!$D$19,"=")))))</f>
        <v>5</v>
      </c>
      <c r="W20">
        <f>IF(Evalucion!X18=Datos!$C$15,Datos!$D$15,IF(Evalucion!X18=Datos!$C$16,Datos!$D$16,IF(Evalucion!X18=Datos!$C$17,Datos!$D$17,IF(Evalucion!X18=Datos!$C$18,Datos!$D$18,IF(Evalucion!X18=Datos!$C$19,Datos!$D$19,"=")))))</f>
        <v>5</v>
      </c>
      <c r="X20">
        <f>IF(Evalucion!Y18=Datos!$C$15,Datos!$D$15,IF(Evalucion!Y18=Datos!$C$16,Datos!$D$16,IF(Evalucion!Y18=Datos!$C$17,Datos!$D$17,IF(Evalucion!Y18=Datos!$C$18,Datos!$D$18,IF(Evalucion!Y18=Datos!$C$19,Datos!$D$19,"=")))))</f>
        <v>5</v>
      </c>
      <c r="Y20">
        <f>IF(Evalucion!Z18=Datos!$C$15,Datos!$D$15,IF(Evalucion!Z18=Datos!$C$16,Datos!$D$16,IF(Evalucion!Z18=Datos!$C$17,Datos!$D$17,IF(Evalucion!Z18=Datos!$C$18,Datos!$D$18,IF(Evalucion!Z18=Datos!$C$19,Datos!$D$19,"=")))))</f>
        <v>5</v>
      </c>
      <c r="Z20">
        <f>IF(Evalucion!AA18=Datos!$C$15,Datos!$D$15,IF(Evalucion!AA18=Datos!$C$16,Datos!$D$16,IF(Evalucion!AA18=Datos!$C$17,Datos!$D$17,IF(Evalucion!AA18=Datos!$C$18,Datos!$D$18,IF(Evalucion!AA18=Datos!$C$19,Datos!$D$19,"=")))))</f>
        <v>5</v>
      </c>
      <c r="AA20">
        <f>IF(Evalucion!AB18=Datos!$C$15,Datos!$D$15,IF(Evalucion!AB18=Datos!$C$16,Datos!$D$16,IF(Evalucion!AB18=Datos!$C$17,Datos!$D$17,IF(Evalucion!AB18=Datos!$C$18,Datos!$D$18,IF(Evalucion!AB18=Datos!$C$19,Datos!$D$19,"=")))))</f>
        <v>5</v>
      </c>
      <c r="AB20">
        <f>IF(Evalucion!AC18=Datos!$C$15,Datos!$D$15,IF(Evalucion!AC18=Datos!$C$16,Datos!$D$16,IF(Evalucion!AC18=Datos!$C$17,Datos!$D$17,IF(Evalucion!AC18=Datos!$C$18,Datos!$D$18,IF(Evalucion!AC18=Datos!$C$19,Datos!$D$19,"=")))))</f>
        <v>5</v>
      </c>
      <c r="AC20">
        <f>IF(Evalucion!AD18=Datos!$C$15,Datos!$D$15,IF(Evalucion!AD18=Datos!$C$16,Datos!$D$16,IF(Evalucion!AD18=Datos!$C$17,Datos!$D$17,IF(Evalucion!AD18=Datos!$C$18,Datos!$D$18,IF(Evalucion!AD18=Datos!$C$19,Datos!$D$19,"=")))))</f>
        <v>5</v>
      </c>
      <c r="AD20">
        <f>IF(Evalucion!AE18=Datos!$C$15,Datos!$D$15,IF(Evalucion!AE18=Datos!$C$16,Datos!$D$16,IF(Evalucion!AE18=Datos!$C$17,Datos!$D$17,IF(Evalucion!AE18=Datos!$C$18,Datos!$D$18,IF(Evalucion!AE18=Datos!$C$19,Datos!$D$19,"=")))))</f>
        <v>3</v>
      </c>
      <c r="AE20">
        <f>IF(Evalucion!AF18=Datos!$C$15,Datos!$D$15,IF(Evalucion!AF18=Datos!$C$16,Datos!$D$16,IF(Evalucion!AF18=Datos!$C$17,Datos!$D$17,IF(Evalucion!AF18=Datos!$C$18,Datos!$D$18,IF(Evalucion!AF18=Datos!$C$19,Datos!$D$19,"=")))))</f>
        <v>5</v>
      </c>
      <c r="AF20">
        <f>IF(Evalucion!AG18=Datos!$C$15,Datos!$D$15,IF(Evalucion!AG18=Datos!$C$16,Datos!$D$16,IF(Evalucion!AG18=Datos!$C$17,Datos!$D$17,IF(Evalucion!AG18=Datos!$C$18,Datos!$D$18,IF(Evalucion!AG18=Datos!$C$19,Datos!$D$19,"=")))))</f>
        <v>5</v>
      </c>
      <c r="AO20">
        <f>IF(Evalucion!AP18=Datos!$C$15,Datos!$D$15,IF(Evalucion!AP18=Datos!$C$16,Datos!$D$16,IF(Evalucion!AP18=Datos!$C$17,Datos!$D$17,IF(Evalucion!AP18=Datos!$C$18,Datos!$D$18,IF(Evalucion!AP18=Datos!$C$19,Datos!$D$19,"=")))))</f>
        <v>5</v>
      </c>
      <c r="AP20">
        <f>IF(Evalucion!AQ18=Datos!$C$15,Datos!$D$15,IF(Evalucion!AQ18=Datos!$C$16,Datos!$D$16,IF(Evalucion!AQ18=Datos!$C$17,Datos!$D$17,IF(Evalucion!AQ18=Datos!$C$18,Datos!$D$18,IF(Evalucion!AQ18=Datos!$C$19,Datos!$D$19,"=")))))</f>
        <v>3</v>
      </c>
      <c r="AQ20">
        <f>IF(Evalucion!AR18=Datos!$C$15,Datos!$D$15,IF(Evalucion!AR18=Datos!$C$16,Datos!$D$16,IF(Evalucion!AR18=Datos!$C$17,Datos!$D$17,IF(Evalucion!AR18=Datos!$C$18,Datos!$D$18,IF(Evalucion!AR18=Datos!$C$19,Datos!$D$19,"=")))))</f>
        <v>1</v>
      </c>
      <c r="AR20">
        <f>IF(Evalucion!AS18=Datos!$C$15,Datos!$D$15,IF(Evalucion!AS18=Datos!$C$16,Datos!$D$16,IF(Evalucion!AS18=Datos!$C$17,Datos!$D$17,IF(Evalucion!AS18=Datos!$C$18,Datos!$D$18,IF(Evalucion!AS18=Datos!$C$19,Datos!$D$19,"=")))))</f>
        <v>1</v>
      </c>
      <c r="AS20">
        <f>IF(Evalucion!AT18=Datos!$C$15,Datos!$D$15,IF(Evalucion!AT18=Datos!$C$16,Datos!$D$16,IF(Evalucion!AT18=Datos!$C$17,Datos!$D$17,IF(Evalucion!AT18=Datos!$C$18,Datos!$D$18,IF(Evalucion!AT18=Datos!$C$19,Datos!$D$19,"=")))))</f>
        <v>5</v>
      </c>
      <c r="AT20">
        <f>IF(Evalucion!AU18=Datos!$C$15,Datos!$D$15,IF(Evalucion!AU18=Datos!$C$16,Datos!$D$16,IF(Evalucion!AU18=Datos!$C$17,Datos!$D$17,IF(Evalucion!AU18=Datos!$C$18,Datos!$D$18,IF(Evalucion!AU18=Datos!$C$19,Datos!$D$19,"=")))))</f>
        <v>5</v>
      </c>
      <c r="AV20">
        <f>IF(Evalucion!AW18=Datos!$C$15,Datos!$D$15,IF(Evalucion!AW18=Datos!$C$16,Datos!$D$16,IF(Evalucion!AW18=Datos!$C$17,Datos!$D$17,IF(Evalucion!AW18=Datos!$C$18,Datos!$D$18,IF(Evalucion!AW18=Datos!$C$19,Datos!$D$19,"=")))))</f>
        <v>5</v>
      </c>
      <c r="AW20">
        <f>IF(Evalucion!AX18=Datos!$C$15,Datos!$D$15,IF(Evalucion!AX18=Datos!$C$16,Datos!$D$16,IF(Evalucion!AX18=Datos!$C$17,Datos!$D$17,IF(Evalucion!AX18=Datos!$C$18,Datos!$D$18,IF(Evalucion!AX18=Datos!$C$19,Datos!$D$19,"=")))))</f>
        <v>5</v>
      </c>
      <c r="AX20">
        <f>IF(Evalucion!AY18=Datos!$C$15,Datos!$D$15,IF(Evalucion!AY18=Datos!$C$16,Datos!$D$16,IF(Evalucion!AY18=Datos!$C$17,Datos!$D$17,IF(Evalucion!AY18=Datos!$C$18,Datos!$D$18,IF(Evalucion!AY18=Datos!$C$19,Datos!$D$19,"=")))))</f>
        <v>5</v>
      </c>
      <c r="AY20">
        <f>IF(Evalucion!AZ18=Datos!$C$15,Datos!$D$15,IF(Evalucion!AZ18=Datos!$C$16,Datos!$D$16,IF(Evalucion!AZ18=Datos!$C$17,Datos!$D$17,IF(Evalucion!AZ18=Datos!$C$18,Datos!$D$18,IF(Evalucion!AZ18=Datos!$C$19,Datos!$D$19,"=")))))</f>
        <v>5</v>
      </c>
      <c r="AZ20">
        <f>IF(Evalucion!BA18=Datos!$C$15,Datos!$D$15,IF(Evalucion!BA18=Datos!$C$16,Datos!$D$16,IF(Evalucion!BA18=Datos!$C$17,Datos!$D$17,IF(Evalucion!BA18=Datos!$C$18,Datos!$D$18,IF(Evalucion!BA18=Datos!$C$19,Datos!$D$19,"=")))))</f>
        <v>5</v>
      </c>
      <c r="BA20">
        <f>IF(Evalucion!BB18=Datos!$C$15,Datos!$D$15,IF(Evalucion!BB18=Datos!$C$16,Datos!$D$16,IF(Evalucion!BB18=Datos!$C$17,Datos!$D$17,IF(Evalucion!BB18=Datos!$C$18,Datos!$D$18,IF(Evalucion!BB18=Datos!$C$19,Datos!$D$19,"=")))))</f>
        <v>5</v>
      </c>
      <c r="BB20">
        <f>IF(Evalucion!BC18=Datos!$C$15,Datos!$D$15,IF(Evalucion!BC18=Datos!$C$16,Datos!$D$16,IF(Evalucion!BC18=Datos!$C$17,Datos!$D$17,IF(Evalucion!BC18=Datos!$C$18,Datos!$D$18,IF(Evalucion!BC18=Datos!$C$19,Datos!$D$19,"=")))))</f>
        <v>5</v>
      </c>
      <c r="BC20">
        <f>IF(Evalucion!BD18=Datos!$C$15,Datos!$D$15,IF(Evalucion!BD18=Datos!$C$16,Datos!$D$16,IF(Evalucion!BD18=Datos!$C$17,Datos!$D$17,IF(Evalucion!BD18=Datos!$C$18,Datos!$D$18,IF(Evalucion!BD18=Datos!$C$19,Datos!$D$19,"=")))))</f>
        <v>1</v>
      </c>
      <c r="BD20">
        <f>IF(Evalucion!BE18=Datos!$C$15,Datos!$D$15,IF(Evalucion!BE18=Datos!$C$16,Datos!$D$16,IF(Evalucion!BE18=Datos!$C$17,Datos!$D$17,IF(Evalucion!BE18=Datos!$C$18,Datos!$D$18,IF(Evalucion!BE18=Datos!$C$19,Datos!$D$19,"=")))))</f>
        <v>5</v>
      </c>
      <c r="BE20">
        <f>IF(Evalucion!BF18=Datos!$C$15,Datos!$D$15,IF(Evalucion!BF18=Datos!$C$16,Datos!$D$16,IF(Evalucion!BF18=Datos!$C$17,Datos!$D$17,IF(Evalucion!BF18=Datos!$C$18,Datos!$D$18,IF(Evalucion!BF18=Datos!$C$19,Datos!$D$19,"=")))))</f>
        <v>1</v>
      </c>
      <c r="BF20">
        <f>IF(Evalucion!BG18=Datos!$C$15,Datos!$D$15,IF(Evalucion!BG18=Datos!$C$16,Datos!$D$16,IF(Evalucion!BG18=Datos!$C$17,Datos!$D$17,IF(Evalucion!BG18=Datos!$C$18,Datos!$D$18,IF(Evalucion!BG18=Datos!$C$19,Datos!$D$19,"=")))))</f>
        <v>5</v>
      </c>
      <c r="BG20">
        <f>IF(Evalucion!BH18=Datos!$C$15,Datos!$D$15,IF(Evalucion!BH18=Datos!$C$16,Datos!$D$16,IF(Evalucion!BH18=Datos!$C$17,Datos!$D$17,IF(Evalucion!BH18=Datos!$C$18,Datos!$D$18,IF(Evalucion!BH18=Datos!$C$19,Datos!$D$19,"=")))))</f>
        <v>5</v>
      </c>
      <c r="BH20">
        <f>IF(Evalucion!BI18=Datos!$C$15,Datos!$D$15,IF(Evalucion!BI18=Datos!$C$16,Datos!$D$16,IF(Evalucion!BI18=Datos!$C$17,Datos!$D$17,IF(Evalucion!BI18=Datos!$C$18,Datos!$D$18,IF(Evalucion!BI18=Datos!$C$19,Datos!$D$19,"=")))))</f>
        <v>5</v>
      </c>
      <c r="BI20">
        <f>IF(Evalucion!BJ18=Datos!$C$15,Datos!$D$15,IF(Evalucion!BJ18=Datos!$C$16,Datos!$D$16,IF(Evalucion!BJ18=Datos!$C$17,Datos!$D$17,IF(Evalucion!BJ18=Datos!$C$18,Datos!$D$18,IF(Evalucion!BJ18=Datos!$C$19,Datos!$D$19,"=")))))</f>
        <v>5</v>
      </c>
      <c r="BJ20">
        <f>IF(Evalucion!BK18=Datos!$C$15,Datos!$D$15,IF(Evalucion!BK18=Datos!$C$16,Datos!$D$16,IF(Evalucion!BK18=Datos!$C$17,Datos!$D$17,IF(Evalucion!BK18=Datos!$C$18,Datos!$D$18,IF(Evalucion!BK18=Datos!$C$19,Datos!$D$19,"=")))))</f>
        <v>5</v>
      </c>
      <c r="BK20">
        <f>IF(Evalucion!BL18=Datos!$C$15,Datos!$D$15,IF(Evalucion!BL18=Datos!$C$16,Datos!$D$16,IF(Evalucion!BL18=Datos!$C$17,Datos!$D$17,IF(Evalucion!BL18=Datos!$C$18,Datos!$D$18,IF(Evalucion!BL18=Datos!$C$19,Datos!$D$19,"=")))))</f>
        <v>5</v>
      </c>
      <c r="BL20">
        <f>IF(Evalucion!BM18=Datos!$C$15,Datos!$D$15,IF(Evalucion!BM18=Datos!$C$16,Datos!$D$16,IF(Evalucion!BM18=Datos!$C$17,Datos!$D$17,IF(Evalucion!BM18=Datos!$C$18,Datos!$D$18,IF(Evalucion!BM18=Datos!$C$19,Datos!$D$19,"=")))))</f>
        <v>5</v>
      </c>
      <c r="BM20">
        <f>IF(Evalucion!BN18=Datos!$C$15,Datos!$D$15,IF(Evalucion!BN18=Datos!$C$16,Datos!$D$16,IF(Evalucion!BN18=Datos!$C$17,Datos!$D$17,IF(Evalucion!BN18=Datos!$C$18,Datos!$D$18,IF(Evalucion!BN18=Datos!$C$19,Datos!$D$19,"=")))))</f>
        <v>5</v>
      </c>
      <c r="BN20">
        <f>IF(Evalucion!BO18=Datos!$C$15,Datos!$D$15,IF(Evalucion!BO18=Datos!$C$16,Datos!$D$16,IF(Evalucion!BO18=Datos!$C$17,Datos!$D$17,IF(Evalucion!BO18=Datos!$C$18,Datos!$D$18,IF(Evalucion!BO18=Datos!$C$19,Datos!$D$19,"=")))))</f>
        <v>5</v>
      </c>
      <c r="BO20">
        <f>IF(Evalucion!BP18=Datos!$C$15,Datos!$D$15,IF(Evalucion!BP18=Datos!$C$16,Datos!$D$16,IF(Evalucion!BP18=Datos!$C$17,Datos!$D$17,IF(Evalucion!BP18=Datos!$C$18,Datos!$D$18,IF(Evalucion!BP18=Datos!$C$19,Datos!$D$19,"=")))))</f>
        <v>5</v>
      </c>
      <c r="BP20">
        <f>IF(Evalucion!BQ18=Datos!$C$15,Datos!$D$15,IF(Evalucion!BQ18=Datos!$C$16,Datos!$D$16,IF(Evalucion!BQ18=Datos!$C$17,Datos!$D$17,IF(Evalucion!BQ18=Datos!$C$18,Datos!$D$18,IF(Evalucion!BQ18=Datos!$C$19,Datos!$D$19,"=")))))</f>
        <v>5</v>
      </c>
      <c r="BQ20">
        <f>IF(Evalucion!BR18=Datos!$C$15,Datos!$D$15,IF(Evalucion!BR18=Datos!$C$16,Datos!$D$16,IF(Evalucion!BR18=Datos!$C$17,Datos!$D$17,IF(Evalucion!BR18=Datos!$C$18,Datos!$D$18,IF(Evalucion!BR18=Datos!$C$19,Datos!$D$19,"=")))))</f>
        <v>3</v>
      </c>
      <c r="BR20">
        <f>IF(Evalucion!BS18=Datos!$C$15,Datos!$D$15,IF(Evalucion!BS18=Datos!$C$16,Datos!$D$16,IF(Evalucion!BS18=Datos!$C$17,Datos!$D$17,IF(Evalucion!BS18=Datos!$C$18,Datos!$D$18,IF(Evalucion!BS18=Datos!$C$19,Datos!$D$19,"=")))))</f>
        <v>5</v>
      </c>
      <c r="BS20">
        <f>IF(Evalucion!BT18=Datos!$C$15,Datos!$D$15,IF(Evalucion!BT18=Datos!$C$16,Datos!$D$16,IF(Evalucion!BT18=Datos!$C$17,Datos!$D$17,IF(Evalucion!BT18=Datos!$C$18,Datos!$D$18,IF(Evalucion!BT18=Datos!$C$19,Datos!$D$19,"=")))))</f>
        <v>1</v>
      </c>
      <c r="BT20">
        <f>IF(Evalucion!BU18=Datos!$C$15,Datos!$D$15,IF(Evalucion!BU18=Datos!$C$16,Datos!$D$16,IF(Evalucion!BU18=Datos!$C$17,Datos!$D$17,IF(Evalucion!BU18=Datos!$C$18,Datos!$D$18,IF(Evalucion!BU18=Datos!$C$19,Datos!$D$19,"=")))))</f>
        <v>5</v>
      </c>
      <c r="BU20">
        <f>IF(Evalucion!BV18=Datos!$C$15,Datos!$D$15,IF(Evalucion!BV18=Datos!$C$16,Datos!$D$16,IF(Evalucion!BV18=Datos!$C$17,Datos!$D$17,IF(Evalucion!BV18=Datos!$C$18,Datos!$D$18,IF(Evalucion!BV18=Datos!$C$19,Datos!$D$19,"=")))))</f>
        <v>3</v>
      </c>
      <c r="BV20">
        <f>IF(Evalucion!BW18=Datos!$C$15,Datos!$D$15,IF(Evalucion!BW18=Datos!$C$16,Datos!$D$16,IF(Evalucion!BW18=Datos!$C$17,Datos!$D$17,IF(Evalucion!BW18=Datos!$C$18,Datos!$D$18,IF(Evalucion!BW18=Datos!$C$19,Datos!$D$19,"=")))))</f>
        <v>5</v>
      </c>
      <c r="BW20">
        <f>IF(Evalucion!BX18=Datos!$C$15,Datos!$D$15,IF(Evalucion!BX18=Datos!$C$16,Datos!$D$16,IF(Evalucion!BX18=Datos!$C$17,Datos!$D$17,IF(Evalucion!BX18=Datos!$C$18,Datos!$D$18,IF(Evalucion!BX18=Datos!$C$19,Datos!$D$19,"=")))))</f>
        <v>5</v>
      </c>
      <c r="BX20">
        <f>IF(Evalucion!BY18=Datos!$C$15,Datos!$D$15,IF(Evalucion!BY18=Datos!$C$16,Datos!$D$16,IF(Evalucion!BY18=Datos!$C$17,Datos!$D$17,IF(Evalucion!BY18=Datos!$C$18,Datos!$D$18,IF(Evalucion!BY18=Datos!$C$19,Datos!$D$19,"=")))))</f>
        <v>5</v>
      </c>
      <c r="BY20">
        <f>IF(Evalucion!BZ18=Datos!$C$15,Datos!$D$15,IF(Evalucion!BZ18=Datos!$C$16,Datos!$D$16,IF(Evalucion!BZ18=Datos!$C$17,Datos!$D$17,IF(Evalucion!BZ18=Datos!$C$18,Datos!$D$18,IF(Evalucion!BZ18=Datos!$C$19,Datos!$D$19,"=")))))</f>
        <v>5</v>
      </c>
      <c r="BZ20">
        <f>IF(Evalucion!CA18=Datos!$C$15,Datos!$D$15,IF(Evalucion!CA18=Datos!$C$16,Datos!$D$16,IF(Evalucion!CA18=Datos!$C$17,Datos!$D$17,IF(Evalucion!CA18=Datos!$C$18,Datos!$D$18,IF(Evalucion!CA18=Datos!$C$19,Datos!$D$19,"=")))))</f>
        <v>5</v>
      </c>
      <c r="CA20">
        <f>IF(Evalucion!CB18=Datos!$C$15,Datos!$D$15,IF(Evalucion!CB18=Datos!$C$16,Datos!$D$16,IF(Evalucion!CB18=Datos!$C$17,Datos!$D$17,IF(Evalucion!CB18=Datos!$C$18,Datos!$D$18,IF(Evalucion!CB18=Datos!$C$19,Datos!$D$19,"=")))))</f>
        <v>5</v>
      </c>
      <c r="CB20">
        <f>IF(Evalucion!CC18=Datos!$C$15,Datos!$D$15,IF(Evalucion!CC18=Datos!$C$16,Datos!$D$16,IF(Evalucion!CC18=Datos!$C$17,Datos!$D$17,IF(Evalucion!CC18=Datos!$C$18,Datos!$D$18,IF(Evalucion!CC18=Datos!$C$19,Datos!$D$19,"=")))))</f>
        <v>5</v>
      </c>
      <c r="CC20">
        <f>IF(Evalucion!CD18=Datos!$C$15,Datos!$D$15,IF(Evalucion!CD18=Datos!$C$16,Datos!$D$16,IF(Evalucion!CD18=Datos!$C$17,Datos!$D$17,IF(Evalucion!CD18=Datos!$C$18,Datos!$D$18,IF(Evalucion!CD18=Datos!$C$19,Datos!$D$19,"=")))))</f>
        <v>5</v>
      </c>
      <c r="CD20">
        <f>IF(Evalucion!CE18=Datos!$C$15,Datos!$D$15,IF(Evalucion!CE18=Datos!$C$16,Datos!$D$16,IF(Evalucion!CE18=Datos!$C$17,Datos!$D$17,IF(Evalucion!CE18=Datos!$C$18,Datos!$D$18,IF(Evalucion!CE18=Datos!$C$19,Datos!$D$19,"=")))))</f>
        <v>5</v>
      </c>
      <c r="CE20">
        <f>IF(Evalucion!CF18=Datos!$C$15,Datos!$D$15,IF(Evalucion!CF18=Datos!$C$16,Datos!$D$16,IF(Evalucion!CF18=Datos!$C$17,Datos!$D$17,IF(Evalucion!CF18=Datos!$C$18,Datos!$D$18,IF(Evalucion!CF18=Datos!$C$19,Datos!$D$19,"=")))))</f>
        <v>3</v>
      </c>
      <c r="CF20">
        <f>IF(Evalucion!CG18=Datos!$C$15,Datos!$D$15,IF(Evalucion!CG18=Datos!$C$16,Datos!$D$16,IF(Evalucion!CG18=Datos!$C$17,Datos!$D$17,IF(Evalucion!CG18=Datos!$C$18,Datos!$D$18,IF(Evalucion!CG18=Datos!$C$19,Datos!$D$19,"=")))))</f>
        <v>5</v>
      </c>
      <c r="CG20">
        <f>IF(Evalucion!CH18=Datos!$C$15,Datos!$D$15,IF(Evalucion!CH18=Datos!$C$16,Datos!$D$16,IF(Evalucion!CH18=Datos!$C$17,Datos!$D$17,IF(Evalucion!CH18=Datos!$C$18,Datos!$D$18,IF(Evalucion!CH18=Datos!$C$19,Datos!$D$19,"=")))))</f>
        <v>1</v>
      </c>
      <c r="CH20">
        <f>IF(Evalucion!CI18=Datos!$C$15,Datos!$D$15,IF(Evalucion!CI18=Datos!$C$16,Datos!$D$16,IF(Evalucion!CI18=Datos!$C$17,Datos!$D$17,IF(Evalucion!CI18=Datos!$C$18,Datos!$D$18,IF(Evalucion!CI18=Datos!$C$19,Datos!$D$19,"=")))))</f>
        <v>5</v>
      </c>
      <c r="CI20">
        <f>IF(Evalucion!CJ18=Datos!$C$15,Datos!$D$15,IF(Evalucion!CJ18=Datos!$C$16,Datos!$D$16,IF(Evalucion!CJ18=Datos!$C$17,Datos!$D$17,IF(Evalucion!CJ18=Datos!$C$18,Datos!$D$18,IF(Evalucion!CJ18=Datos!$C$19,Datos!$D$19,"=")))))</f>
        <v>3</v>
      </c>
      <c r="CJ20">
        <f>IF(Evalucion!CK18=Datos!$C$15,Datos!$D$15,IF(Evalucion!CK18=Datos!$C$16,Datos!$D$16,IF(Evalucion!CK18=Datos!$C$17,Datos!$D$17,IF(Evalucion!CK18=Datos!$C$18,Datos!$D$18,IF(Evalucion!CK18=Datos!$C$19,Datos!$D$19,"=")))))</f>
        <v>5</v>
      </c>
      <c r="CK20">
        <f>IF(Evalucion!CL18=Datos!$C$15,Datos!$D$15,IF(Evalucion!CL18=Datos!$C$16,Datos!$D$16,IF(Evalucion!CL18=Datos!$C$17,Datos!$D$17,IF(Evalucion!CL18=Datos!$C$18,Datos!$D$18,IF(Evalucion!CL18=Datos!$C$19,Datos!$D$19,"=")))))</f>
        <v>5</v>
      </c>
      <c r="CL20">
        <f>IF(Evalucion!CM18=Datos!$C$15,Datos!$D$15,IF(Evalucion!CM18=Datos!$C$16,Datos!$D$16,IF(Evalucion!CM18=Datos!$C$17,Datos!$D$17,IF(Evalucion!CM18=Datos!$C$18,Datos!$D$18,IF(Evalucion!CM18=Datos!$C$19,Datos!$D$19,"=")))))</f>
        <v>5</v>
      </c>
      <c r="CM20">
        <f>IF(Evalucion!CN18=Datos!$C$15,Datos!$D$15,IF(Evalucion!CN18=Datos!$C$16,Datos!$D$16,IF(Evalucion!CN18=Datos!$C$17,Datos!$D$17,IF(Evalucion!CN18=Datos!$C$18,Datos!$D$18,IF(Evalucion!CN18=Datos!$C$19,Datos!$D$19,"=")))))</f>
        <v>5</v>
      </c>
      <c r="CN20">
        <f>IF(Evalucion!CO18=Datos!$C$15,Datos!$D$15,IF(Evalucion!CO18=Datos!$C$16,Datos!$D$16,IF(Evalucion!CO18=Datos!$C$17,Datos!$D$17,IF(Evalucion!CO18=Datos!$C$18,Datos!$D$18,IF(Evalucion!CO18=Datos!$C$19,Datos!$D$19,"=")))))</f>
        <v>5</v>
      </c>
      <c r="CO20">
        <f>IF(Evalucion!CP18=Datos!$C$15,Datos!$D$15,IF(Evalucion!CP18=Datos!$C$16,Datos!$D$16,IF(Evalucion!CP18=Datos!$C$17,Datos!$D$17,IF(Evalucion!CP18=Datos!$C$18,Datos!$D$18,IF(Evalucion!CP18=Datos!$C$19,Datos!$D$19,"=")))))</f>
        <v>5</v>
      </c>
      <c r="CP20">
        <f>IF(Evalucion!CQ18=Datos!$C$15,Datos!$D$15,IF(Evalucion!CQ18=Datos!$C$16,Datos!$D$16,IF(Evalucion!CQ18=Datos!$C$17,Datos!$D$17,IF(Evalucion!CQ18=Datos!$C$18,Datos!$D$18,IF(Evalucion!CQ18=Datos!$C$19,Datos!$D$19,"=")))))</f>
        <v>5</v>
      </c>
      <c r="CQ20">
        <f>IF(Evalucion!CR18=Datos!$C$15,Datos!$D$15,IF(Evalucion!CR18=Datos!$C$16,Datos!$D$16,IF(Evalucion!CR18=Datos!$C$17,Datos!$D$17,IF(Evalucion!CR18=Datos!$C$18,Datos!$D$18,IF(Evalucion!CR18=Datos!$C$19,Datos!$D$19,"=")))))</f>
        <v>3</v>
      </c>
      <c r="CR20">
        <f>IF(Evalucion!CS18=Datos!$C$15,Datos!$D$15,IF(Evalucion!CS18=Datos!$C$16,Datos!$D$16,IF(Evalucion!CS18=Datos!$C$17,Datos!$D$17,IF(Evalucion!CS18=Datos!$C$18,Datos!$D$18,IF(Evalucion!CS18=Datos!$C$19,Datos!$D$19,"=")))))</f>
        <v>5</v>
      </c>
      <c r="CS20">
        <f>IF(Evalucion!CT18=Datos!$C$15,Datos!$D$15,IF(Evalucion!CT18=Datos!$C$16,Datos!$D$16,IF(Evalucion!CT18=Datos!$C$17,Datos!$D$17,IF(Evalucion!CT18=Datos!$C$18,Datos!$D$18,IF(Evalucion!CT18=Datos!$C$19,Datos!$D$19,"=")))))</f>
        <v>3</v>
      </c>
      <c r="CT20">
        <f>IF(Evalucion!CU18=Datos!$C$15,Datos!$D$15,IF(Evalucion!CU18=Datos!$C$16,Datos!$D$16,IF(Evalucion!CU18=Datos!$C$17,Datos!$D$17,IF(Evalucion!CU18=Datos!$C$18,Datos!$D$18,IF(Evalucion!CU18=Datos!$C$19,Datos!$D$19,"=")))))</f>
        <v>5</v>
      </c>
      <c r="CU20">
        <f>IF(Evalucion!CV18=Datos!$C$15,Datos!$D$15,IF(Evalucion!CV18=Datos!$C$16,Datos!$D$16,IF(Evalucion!CV18=Datos!$C$17,Datos!$D$17,IF(Evalucion!CV18=Datos!$C$18,Datos!$D$18,IF(Evalucion!CV18=Datos!$C$19,Datos!$D$19,"=")))))</f>
        <v>3</v>
      </c>
      <c r="CV20">
        <f>IF(Evalucion!CW18=Datos!$C$15,Datos!$D$15,IF(Evalucion!CW18=Datos!$C$16,Datos!$D$16,IF(Evalucion!CW18=Datos!$C$17,Datos!$D$17,IF(Evalucion!CW18=Datos!$C$18,Datos!$D$18,IF(Evalucion!CW18=Datos!$C$19,Datos!$D$19,"=")))))</f>
        <v>5</v>
      </c>
      <c r="CW20">
        <f>IF(Evalucion!CX18=Datos!$C$15,Datos!$D$15,IF(Evalucion!CX18=Datos!$C$16,Datos!$D$16,IF(Evalucion!CX18=Datos!$C$17,Datos!$D$17,IF(Evalucion!CX18=Datos!$C$18,Datos!$D$18,IF(Evalucion!CX18=Datos!$C$19,Datos!$D$19,"=")))))</f>
        <v>3</v>
      </c>
      <c r="CX20">
        <f>IF(Evalucion!CY18=Datos!$C$15,Datos!$D$15,IF(Evalucion!CY18=Datos!$C$16,Datos!$D$16,IF(Evalucion!CY18=Datos!$C$17,Datos!$D$17,IF(Evalucion!CY18=Datos!$C$18,Datos!$D$18,IF(Evalucion!CY18=Datos!$C$19,Datos!$D$19,"=")))))</f>
        <v>5</v>
      </c>
      <c r="CY20">
        <f>IF(Evalucion!CZ18=Datos!$C$15,Datos!$D$15,IF(Evalucion!CZ18=Datos!$C$16,Datos!$D$16,IF(Evalucion!CZ18=Datos!$C$17,Datos!$D$17,IF(Evalucion!CZ18=Datos!$C$18,Datos!$D$18,IF(Evalucion!CZ18=Datos!$C$19,Datos!$D$19,"=")))))</f>
        <v>3</v>
      </c>
      <c r="CZ20">
        <f>IF(Evalucion!DA18=Datos!$C$15,Datos!$D$15,IF(Evalucion!DA18=Datos!$C$16,Datos!$D$16,IF(Evalucion!DA18=Datos!$C$17,Datos!$D$17,IF(Evalucion!DA18=Datos!$C$18,Datos!$D$18,IF(Evalucion!DA18=Datos!$C$19,Datos!$D$19,"=")))))</f>
        <v>5</v>
      </c>
      <c r="DA20">
        <f>IF(Evalucion!DB18=Datos!$C$15,Datos!$D$15,IF(Evalucion!DB18=Datos!$C$16,Datos!$D$16,IF(Evalucion!DB18=Datos!$C$17,Datos!$D$17,IF(Evalucion!DB18=Datos!$C$18,Datos!$D$18,IF(Evalucion!DB18=Datos!$C$19,Datos!$D$19,"=")))))</f>
        <v>3</v>
      </c>
      <c r="DB20">
        <f>IF(Evalucion!DC18=Datos!$C$15,Datos!$D$15,IF(Evalucion!DC18=Datos!$C$16,Datos!$D$16,IF(Evalucion!DC18=Datos!$C$17,Datos!$D$17,IF(Evalucion!DC18=Datos!$C$18,Datos!$D$18,IF(Evalucion!DC18=Datos!$C$19,Datos!$D$19,"=")))))</f>
        <v>5</v>
      </c>
      <c r="DC20">
        <f>IF(Evalucion!DD18=Datos!$C$15,Datos!$D$15,IF(Evalucion!DD18=Datos!$C$16,Datos!$D$16,IF(Evalucion!DD18=Datos!$C$17,Datos!$D$17,IF(Evalucion!DD18=Datos!$C$18,Datos!$D$18,IF(Evalucion!DD18=Datos!$C$19,Datos!$D$19,"=")))))</f>
        <v>5</v>
      </c>
      <c r="DD20">
        <f>IF(Evalucion!DE18=Datos!$C$15,Datos!$D$15,IF(Evalucion!DE18=Datos!$C$16,Datos!$D$16,IF(Evalucion!DE18=Datos!$C$17,Datos!$D$17,IF(Evalucion!DE18=Datos!$C$18,Datos!$D$18,IF(Evalucion!DE18=Datos!$C$19,Datos!$D$19,"=")))))</f>
        <v>1</v>
      </c>
      <c r="DE20">
        <f>IF(Evalucion!DF18=Datos!$C$15,Datos!$D$15,IF(Evalucion!DF18=Datos!$C$16,Datos!$D$16,IF(Evalucion!DF18=Datos!$C$17,Datos!$D$17,IF(Evalucion!DF18=Datos!$C$18,Datos!$D$18,IF(Evalucion!DF18=Datos!$C$19,Datos!$D$19,"=")))))</f>
        <v>1</v>
      </c>
      <c r="DF20">
        <f>IF(Evalucion!DG18=Datos!$C$15,Datos!$D$15,IF(Evalucion!DG18=Datos!$C$16,Datos!$D$16,IF(Evalucion!DG18=Datos!$C$17,Datos!$D$17,IF(Evalucion!DG18=Datos!$C$18,Datos!$D$18,IF(Evalucion!DG18=Datos!$C$19,Datos!$D$19,"=")))))</f>
        <v>5</v>
      </c>
      <c r="DG20">
        <f>IF(Evalucion!DH18=Datos!$C$15,Datos!$D$15,IF(Evalucion!DH18=Datos!$C$16,Datos!$D$16,IF(Evalucion!DH18=Datos!$C$17,Datos!$D$17,IF(Evalucion!DH18=Datos!$C$18,Datos!$D$18,IF(Evalucion!DH18=Datos!$C$19,Datos!$D$19,"=")))))</f>
        <v>5</v>
      </c>
      <c r="DH20">
        <f>IF(Evalucion!DI18=Datos!$C$15,Datos!$D$15,IF(Evalucion!DI18=Datos!$C$16,Datos!$D$16,IF(Evalucion!DI18=Datos!$C$17,Datos!$D$17,IF(Evalucion!DI18=Datos!$C$18,Datos!$D$18,IF(Evalucion!DI18=Datos!$C$19,Datos!$D$19,"=")))))</f>
        <v>1</v>
      </c>
      <c r="DI20">
        <f>IF(Evalucion!DJ18=Datos!$C$15,Datos!$D$15,IF(Evalucion!DJ18=Datos!$C$16,Datos!$D$16,IF(Evalucion!DJ18=Datos!$C$17,Datos!$D$17,IF(Evalucion!DJ18=Datos!$C$18,Datos!$D$18,IF(Evalucion!DJ18=Datos!$C$19,Datos!$D$19,"=")))))</f>
        <v>1</v>
      </c>
      <c r="DJ20">
        <f>IF(Evalucion!DK18=Datos!$C$15,Datos!$D$15,IF(Evalucion!DK18=Datos!$C$16,Datos!$D$16,IF(Evalucion!DK18=Datos!$C$17,Datos!$D$17,IF(Evalucion!DK18=Datos!$C$18,Datos!$D$18,IF(Evalucion!DK18=Datos!$C$19,Datos!$D$19,"=")))))</f>
        <v>1</v>
      </c>
      <c r="DK20">
        <f>IF(Evalucion!DL18=Datos!$C$15,Datos!$D$15,IF(Evalucion!DL18=Datos!$C$16,Datos!$D$16,IF(Evalucion!DL18=Datos!$C$17,Datos!$D$17,IF(Evalucion!DL18=Datos!$C$18,Datos!$D$18,IF(Evalucion!DL18=Datos!$C$19,Datos!$D$19,"=")))))</f>
        <v>1</v>
      </c>
      <c r="DL20">
        <f>IF(Evalucion!DM18=Datos!$C$15,Datos!$D$15,IF(Evalucion!DM18=Datos!$C$16,Datos!$D$16,IF(Evalucion!DM18=Datos!$C$17,Datos!$D$17,IF(Evalucion!DM18=Datos!$C$18,Datos!$D$18,IF(Evalucion!DM18=Datos!$C$19,Datos!$D$19,"=")))))</f>
        <v>1</v>
      </c>
      <c r="DM20">
        <f>IF(Evalucion!DN18=Datos!$C$15,Datos!$D$15,IF(Evalucion!DN18=Datos!$C$16,Datos!$D$16,IF(Evalucion!DN18=Datos!$C$17,Datos!$D$17,IF(Evalucion!DN18=Datos!$C$18,Datos!$D$18,IF(Evalucion!DN18=Datos!$C$19,Datos!$D$19,"=")))))</f>
        <v>1</v>
      </c>
      <c r="DN20">
        <f>IF(Evalucion!DO18=Datos!$C$15,Datos!$D$15,IF(Evalucion!DO18=Datos!$C$16,Datos!$D$16,IF(Evalucion!DO18=Datos!$C$17,Datos!$D$17,IF(Evalucion!DO18=Datos!$C$18,Datos!$D$18,IF(Evalucion!DO18=Datos!$C$19,Datos!$D$19,"=")))))</f>
        <v>5</v>
      </c>
      <c r="DO20">
        <f>IF(Evalucion!DP18=Datos!$C$15,Datos!$D$15,IF(Evalucion!DP18=Datos!$C$16,Datos!$D$16,IF(Evalucion!DP18=Datos!$C$17,Datos!$D$17,IF(Evalucion!DP18=Datos!$C$18,Datos!$D$18,IF(Evalucion!DP18=Datos!$C$19,Datos!$D$19,"=")))))</f>
        <v>5</v>
      </c>
      <c r="DP20">
        <f>IF(Evalucion!DQ18=Datos!$C$15,Datos!$D$15,IF(Evalucion!DQ18=Datos!$C$16,Datos!$D$16,IF(Evalucion!DQ18=Datos!$C$17,Datos!$D$17,IF(Evalucion!DQ18=Datos!$C$18,Datos!$D$18,IF(Evalucion!DQ18=Datos!$C$19,Datos!$D$19,"=")))))</f>
        <v>5</v>
      </c>
      <c r="DQ20">
        <f>IF(Evalucion!DR18=Datos!$C$15,Datos!$D$15,IF(Evalucion!DR18=Datos!$C$16,Datos!$D$16,IF(Evalucion!DR18=Datos!$C$17,Datos!$D$17,IF(Evalucion!DR18=Datos!$C$18,Datos!$D$18,IF(Evalucion!DR18=Datos!$C$19,Datos!$D$19,"=")))))</f>
        <v>3</v>
      </c>
      <c r="DR20">
        <f>IF(Evalucion!DS18=Datos!$C$15,Datos!$D$15,IF(Evalucion!DS18=Datos!$C$16,Datos!$D$16,IF(Evalucion!DS18=Datos!$C$17,Datos!$D$17,IF(Evalucion!DS18=Datos!$C$18,Datos!$D$18,IF(Evalucion!DS18=Datos!$C$19,Datos!$D$19,"=")))))</f>
        <v>5</v>
      </c>
      <c r="DS20">
        <f>IF(Evalucion!DT18=Datos!$C$15,Datos!$D$15,IF(Evalucion!DT18=Datos!$C$16,Datos!$D$16,IF(Evalucion!DT18=Datos!$C$17,Datos!$D$17,IF(Evalucion!DT18=Datos!$C$18,Datos!$D$18,IF(Evalucion!DT18=Datos!$C$19,Datos!$D$19,"=")))))</f>
        <v>3</v>
      </c>
      <c r="DT20">
        <f>IF(Evalucion!DU18=Datos!$C$15,Datos!$D$15,IF(Evalucion!DU18=Datos!$C$16,Datos!$D$16,IF(Evalucion!DU18=Datos!$C$17,Datos!$D$17,IF(Evalucion!DU18=Datos!$C$18,Datos!$D$18,IF(Evalucion!DU18=Datos!$C$19,Datos!$D$19,"=")))))</f>
        <v>5</v>
      </c>
      <c r="DU20">
        <f>IF(Evalucion!DV18=Datos!$C$15,Datos!$D$15,IF(Evalucion!DV18=Datos!$C$16,Datos!$D$16,IF(Evalucion!DV18=Datos!$C$17,Datos!$D$17,IF(Evalucion!DV18=Datos!$C$18,Datos!$D$18,IF(Evalucion!DV18=Datos!$C$19,Datos!$D$19,"=")))))</f>
        <v>5</v>
      </c>
      <c r="DV20">
        <f>IF(Evalucion!DW18=Datos!$C$15,Datos!$D$15,IF(Evalucion!DW18=Datos!$C$16,Datos!$D$16,IF(Evalucion!DW18=Datos!$C$17,Datos!$D$17,IF(Evalucion!DW18=Datos!$C$18,Datos!$D$18,IF(Evalucion!DW18=Datos!$C$19,Datos!$D$19,"=")))))</f>
        <v>5</v>
      </c>
      <c r="DW20">
        <f>IF(Evalucion!DX18=Datos!$C$15,Datos!$D$15,IF(Evalucion!DX18=Datos!$C$16,Datos!$D$16,IF(Evalucion!DX18=Datos!$C$17,Datos!$D$17,IF(Evalucion!DX18=Datos!$C$18,Datos!$D$18,IF(Evalucion!DX18=Datos!$C$19,Datos!$D$19,"=")))))</f>
        <v>5</v>
      </c>
      <c r="DX20">
        <f>IF(Evalucion!DY18=Datos!$C$15,Datos!$D$15,IF(Evalucion!DY18=Datos!$C$16,Datos!$D$16,IF(Evalucion!DY18=Datos!$C$17,Datos!$D$17,IF(Evalucion!DY18=Datos!$C$18,Datos!$D$18,IF(Evalucion!DY18=Datos!$C$19,Datos!$D$19,"=")))))</f>
        <v>5</v>
      </c>
      <c r="DY20">
        <f>IF(Evalucion!DZ18=Datos!$C$15,Datos!$D$15,IF(Evalucion!DZ18=Datos!$C$16,Datos!$D$16,IF(Evalucion!DZ18=Datos!$C$17,Datos!$D$17,IF(Evalucion!DZ18=Datos!$C$18,Datos!$D$18,IF(Evalucion!DZ18=Datos!$C$19,Datos!$D$19,"=")))))</f>
        <v>3</v>
      </c>
      <c r="DZ20">
        <f>IF(Evalucion!EA18=Datos!$C$15,Datos!$D$15,IF(Evalucion!EA18=Datos!$C$16,Datos!$D$16,IF(Evalucion!EA18=Datos!$C$17,Datos!$D$17,IF(Evalucion!EA18=Datos!$C$18,Datos!$D$18,IF(Evalucion!EA18=Datos!$C$19,Datos!$D$19,"=")))))</f>
        <v>5</v>
      </c>
      <c r="EA20">
        <f>IF(Evalucion!EB18=Datos!$C$15,Datos!$D$15,IF(Evalucion!EB18=Datos!$C$16,Datos!$D$16,IF(Evalucion!EB18=Datos!$C$17,Datos!$D$17,IF(Evalucion!EB18=Datos!$C$18,Datos!$D$18,IF(Evalucion!EB18=Datos!$C$19,Datos!$D$19,"=")))))</f>
        <v>5</v>
      </c>
      <c r="EB20">
        <f>IF(Evalucion!EC18=Datos!$C$15,Datos!$D$15,IF(Evalucion!EC18=Datos!$C$16,Datos!$D$16,IF(Evalucion!EC18=Datos!$C$17,Datos!$D$17,IF(Evalucion!EC18=Datos!$C$18,Datos!$D$18,IF(Evalucion!EC18=Datos!$C$19,Datos!$D$19,"=")))))</f>
        <v>5</v>
      </c>
      <c r="EC20">
        <f>IF(Evalucion!ED18=Datos!$C$15,Datos!$D$15,IF(Evalucion!ED18=Datos!$C$16,Datos!$D$16,IF(Evalucion!ED18=Datos!$C$17,Datos!$D$17,IF(Evalucion!ED18=Datos!$C$18,Datos!$D$18,IF(Evalucion!ED18=Datos!$C$19,Datos!$D$19,"=")))))</f>
        <v>3</v>
      </c>
      <c r="ED20">
        <f>IF(Evalucion!EE18=Datos!$C$15,Datos!$D$15,IF(Evalucion!EE18=Datos!$C$16,Datos!$D$16,IF(Evalucion!EE18=Datos!$C$17,Datos!$D$17,IF(Evalucion!EE18=Datos!$C$18,Datos!$D$18,IF(Evalucion!EE18=Datos!$C$19,Datos!$D$19,"=")))))</f>
        <v>5</v>
      </c>
      <c r="EE20">
        <f>IF(Evalucion!EF18=Datos!$C$15,Datos!$D$15,IF(Evalucion!EF18=Datos!$C$16,Datos!$D$16,IF(Evalucion!EF18=Datos!$C$17,Datos!$D$17,IF(Evalucion!EF18=Datos!$C$18,Datos!$D$18,IF(Evalucion!EF18=Datos!$C$19,Datos!$D$19,"=")))))</f>
        <v>5</v>
      </c>
      <c r="EF20">
        <f>IF(Evalucion!EG18=Datos!$C$15,Datos!$D$15,IF(Evalucion!EG18=Datos!$C$16,Datos!$D$16,IF(Evalucion!EG18=Datos!$C$17,Datos!$D$17,IF(Evalucion!EG18=Datos!$C$18,Datos!$D$18,IF(Evalucion!EG18=Datos!$C$19,Datos!$D$19,"=")))))</f>
        <v>5</v>
      </c>
      <c r="EG20">
        <f>IF(Evalucion!EH18=Datos!$C$15,Datos!$D$15,IF(Evalucion!EH18=Datos!$C$16,Datos!$D$16,IF(Evalucion!EH18=Datos!$C$17,Datos!$D$17,IF(Evalucion!EH18=Datos!$C$18,Datos!$D$18,IF(Evalucion!EH18=Datos!$C$19,Datos!$D$19,"=")))))</f>
        <v>5</v>
      </c>
      <c r="EH20">
        <f>IF(Evalucion!EI18=Datos!$C$15,Datos!$D$15,IF(Evalucion!EI18=Datos!$C$16,Datos!$D$16,IF(Evalucion!EI18=Datos!$C$17,Datos!$D$17,IF(Evalucion!EI18=Datos!$C$18,Datos!$D$18,IF(Evalucion!EI18=Datos!$C$19,Datos!$D$19,"=")))))</f>
        <v>5</v>
      </c>
      <c r="EI20">
        <f>IF(Evalucion!EJ18=Datos!$C$15,Datos!$D$15,IF(Evalucion!EJ18=Datos!$C$16,Datos!$D$16,IF(Evalucion!EJ18=Datos!$C$17,Datos!$D$17,IF(Evalucion!EJ18=Datos!$C$18,Datos!$D$18,IF(Evalucion!EJ18=Datos!$C$19,Datos!$D$19,"=")))))</f>
        <v>5</v>
      </c>
      <c r="EJ20">
        <f>IF(Evalucion!EK18=Datos!$C$15,Datos!$D$15,IF(Evalucion!EK18=Datos!$C$16,Datos!$D$16,IF(Evalucion!EK18=Datos!$C$17,Datos!$D$17,IF(Evalucion!EK18=Datos!$C$18,Datos!$D$18,IF(Evalucion!EK18=Datos!$C$19,Datos!$D$19,"=")))))</f>
        <v>5</v>
      </c>
      <c r="EK20">
        <f>IF(Evalucion!EL18=Datos!$C$15,Datos!$D$15,IF(Evalucion!EL18=Datos!$C$16,Datos!$D$16,IF(Evalucion!EL18=Datos!$C$17,Datos!$D$17,IF(Evalucion!EL18=Datos!$C$18,Datos!$D$18,IF(Evalucion!EL18=Datos!$C$19,Datos!$D$19,"=")))))</f>
        <v>5</v>
      </c>
      <c r="EL20">
        <f>IF(Evalucion!EM18=Datos!$C$15,Datos!$D$15,IF(Evalucion!EM18=Datos!$C$16,Datos!$D$16,IF(Evalucion!EM18=Datos!$C$17,Datos!$D$17,IF(Evalucion!EM18=Datos!$C$18,Datos!$D$18,IF(Evalucion!EM18=Datos!$C$19,Datos!$D$19,"=")))))</f>
        <v>5</v>
      </c>
      <c r="EM20">
        <f>IF(Evalucion!EN18=Datos!$C$15,Datos!$D$15,IF(Evalucion!EN18=Datos!$C$16,Datos!$D$16,IF(Evalucion!EN18=Datos!$C$17,Datos!$D$17,IF(Evalucion!EN18=Datos!$C$18,Datos!$D$18,IF(Evalucion!EN18=Datos!$C$19,Datos!$D$19,"=")))))</f>
        <v>5</v>
      </c>
      <c r="EN20">
        <f>IF(Evalucion!EO18=Datos!$C$15,Datos!$D$15,IF(Evalucion!EO18=Datos!$C$16,Datos!$D$16,IF(Evalucion!EO18=Datos!$C$17,Datos!$D$17,IF(Evalucion!EO18=Datos!$C$18,Datos!$D$18,IF(Evalucion!EO18=Datos!$C$19,Datos!$D$19,"=")))))</f>
        <v>5</v>
      </c>
      <c r="EO20">
        <f>IF(Evalucion!EP18=Datos!$C$15,Datos!$D$15,IF(Evalucion!EP18=Datos!$C$16,Datos!$D$16,IF(Evalucion!EP18=Datos!$C$17,Datos!$D$17,IF(Evalucion!EP18=Datos!$C$18,Datos!$D$18,IF(Evalucion!EP18=Datos!$C$19,Datos!$D$19,"=")))))</f>
        <v>5</v>
      </c>
      <c r="EP20">
        <f>IF(Evalucion!EQ18=Datos!$C$15,Datos!$D$15,IF(Evalucion!EQ18=Datos!$C$16,Datos!$D$16,IF(Evalucion!EQ18=Datos!$C$17,Datos!$D$17,IF(Evalucion!EQ18=Datos!$C$18,Datos!$D$18,IF(Evalucion!EQ18=Datos!$C$19,Datos!$D$19,"=")))))</f>
        <v>5</v>
      </c>
      <c r="EQ20">
        <f>IF(Evalucion!ER18=Datos!$C$15,Datos!$D$15,IF(Evalucion!ER18=Datos!$C$16,Datos!$D$16,IF(Evalucion!ER18=Datos!$C$17,Datos!$D$17,IF(Evalucion!ER18=Datos!$C$18,Datos!$D$18,IF(Evalucion!ER18=Datos!$C$19,Datos!$D$19,"=")))))</f>
        <v>5</v>
      </c>
      <c r="ER20">
        <f>IF(Evalucion!ES18=Datos!$C$15,Datos!$D$15,IF(Evalucion!ES18=Datos!$C$16,Datos!$D$16,IF(Evalucion!ES18=Datos!$C$17,Datos!$D$17,IF(Evalucion!ES18=Datos!$C$18,Datos!$D$18,IF(Evalucion!ES18=Datos!$C$19,Datos!$D$19,"=")))))</f>
        <v>5</v>
      </c>
      <c r="ES20">
        <f>IF(Evalucion!ET18=Datos!$C$15,Datos!$D$15,IF(Evalucion!ET18=Datos!$C$16,Datos!$D$16,IF(Evalucion!ET18=Datos!$C$17,Datos!$D$17,IF(Evalucion!ET18=Datos!$C$18,Datos!$D$18,IF(Evalucion!ET18=Datos!$C$19,Datos!$D$19,"=")))))</f>
        <v>5</v>
      </c>
      <c r="ET20">
        <f>IF(Evalucion!EU18=Datos!$C$15,Datos!$D$15,IF(Evalucion!EU18=Datos!$C$16,Datos!$D$16,IF(Evalucion!EU18=Datos!$C$17,Datos!$D$17,IF(Evalucion!EU18=Datos!$C$18,Datos!$D$18,IF(Evalucion!EU18=Datos!$C$19,Datos!$D$19,"=")))))</f>
        <v>5</v>
      </c>
      <c r="EU20">
        <f>IF(Evalucion!EV18=Datos!$C$15,Datos!$D$15,IF(Evalucion!EV18=Datos!$C$16,Datos!$D$16,IF(Evalucion!EV18=Datos!$C$17,Datos!$D$17,IF(Evalucion!EV18=Datos!$C$18,Datos!$D$18,IF(Evalucion!EV18=Datos!$C$19,Datos!$D$19,"=")))))</f>
        <v>3</v>
      </c>
      <c r="EV20">
        <f>IF(Evalucion!EW18=Datos!$C$15,Datos!$D$15,IF(Evalucion!EW18=Datos!$C$16,Datos!$D$16,IF(Evalucion!EW18=Datos!$C$17,Datos!$D$17,IF(Evalucion!EW18=Datos!$C$18,Datos!$D$18,IF(Evalucion!EW18=Datos!$C$19,Datos!$D$19,"=")))))</f>
        <v>5</v>
      </c>
      <c r="EW20">
        <f>IF(Evalucion!EX18=Datos!$C$15,Datos!$D$15,IF(Evalucion!EX18=Datos!$C$16,Datos!$D$16,IF(Evalucion!EX18=Datos!$C$17,Datos!$D$17,IF(Evalucion!EX18=Datos!$C$18,Datos!$D$18,IF(Evalucion!EX18=Datos!$C$19,Datos!$D$19,"=")))))</f>
        <v>5</v>
      </c>
      <c r="EX20">
        <f>IF(Evalucion!EY18=Datos!$C$15,Datos!$D$15,IF(Evalucion!EY18=Datos!$C$16,Datos!$D$16,IF(Evalucion!EY18=Datos!$C$17,Datos!$D$17,IF(Evalucion!EY18=Datos!$C$18,Datos!$D$18,IF(Evalucion!EY18=Datos!$C$19,Datos!$D$19,"=")))))</f>
        <v>5</v>
      </c>
      <c r="EY20">
        <f>IF(Evalucion!EZ18=Datos!$C$15,Datos!$D$15,IF(Evalucion!EZ18=Datos!$C$16,Datos!$D$16,IF(Evalucion!EZ18=Datos!$C$17,Datos!$D$17,IF(Evalucion!EZ18=Datos!$C$18,Datos!$D$18,IF(Evalucion!EZ18=Datos!$C$19,Datos!$D$19,"=")))))</f>
        <v>3</v>
      </c>
      <c r="FA20">
        <f t="shared" si="3"/>
        <v>331</v>
      </c>
      <c r="FB20">
        <f t="shared" si="3"/>
        <v>275</v>
      </c>
      <c r="FC20" s="3">
        <f t="shared" si="4"/>
        <v>0.73333333333333328</v>
      </c>
      <c r="FD20" t="str">
        <f t="shared" si="0"/>
        <v>Conf_CR</v>
      </c>
      <c r="FF20">
        <f t="shared" si="5"/>
        <v>606</v>
      </c>
      <c r="FG20">
        <f t="shared" si="6"/>
        <v>0</v>
      </c>
    </row>
    <row r="21" spans="1:163" x14ac:dyDescent="0.2">
      <c r="A21">
        <f t="shared" si="7"/>
        <v>18</v>
      </c>
      <c r="B21" t="s">
        <v>263</v>
      </c>
      <c r="C21" t="s">
        <v>194</v>
      </c>
      <c r="D21" s="1">
        <v>43236</v>
      </c>
      <c r="E21">
        <f>IF(Evalucion!F19=Datos!$C$15,Datos!$D$15,IF(Evalucion!F19=Datos!$C$16,Datos!$D$16,IF(Evalucion!F19=Datos!$C$17,Datos!$D$17,IF(Evalucion!F19=Datos!$C$18,Datos!$D$18,IF(Evalucion!F19=Datos!$C$19,Datos!$D$19,"=")))))</f>
        <v>5</v>
      </c>
      <c r="F21">
        <f>IF(Evalucion!G19=Datos!$C$15,Datos!$D$15,IF(Evalucion!G19=Datos!$C$16,Datos!$D$16,IF(Evalucion!G19=Datos!$C$17,Datos!$D$17,IF(Evalucion!G19=Datos!$C$18,Datos!$D$18,IF(Evalucion!G19=Datos!$C$19,Datos!$D$19,"=")))))</f>
        <v>5</v>
      </c>
      <c r="G21">
        <f>IF(Evalucion!H19=Datos!$C$15,Datos!$D$15,IF(Evalucion!H19=Datos!$C$16,Datos!$D$16,IF(Evalucion!H19=Datos!$C$17,Datos!$D$17,IF(Evalucion!H19=Datos!$C$18,Datos!$D$18,IF(Evalucion!H19=Datos!$C$19,Datos!$D$19,"=")))))</f>
        <v>5</v>
      </c>
      <c r="H21">
        <f>IF(Evalucion!I19=Datos!$C$15,Datos!$D$15,IF(Evalucion!I19=Datos!$C$16,Datos!$D$16,IF(Evalucion!I19=Datos!$C$17,Datos!$D$17,IF(Evalucion!I19=Datos!$C$18,Datos!$D$18,IF(Evalucion!I19=Datos!$C$19,Datos!$D$19,"=")))))</f>
        <v>1</v>
      </c>
      <c r="I21">
        <f>IF(Evalucion!J19=Datos!$C$15,Datos!$D$15,IF(Evalucion!J19=Datos!$C$16,Datos!$D$16,IF(Evalucion!J19=Datos!$C$17,Datos!$D$17,IF(Evalucion!J19=Datos!$C$18,Datos!$D$18,IF(Evalucion!J19=Datos!$C$19,Datos!$D$19,"=")))))</f>
        <v>1</v>
      </c>
      <c r="J21">
        <f>IF(Evalucion!K19=Datos!$C$15,Datos!$D$15,IF(Evalucion!K19=Datos!$C$16,Datos!$D$16,IF(Evalucion!K19=Datos!$C$17,Datos!$D$17,IF(Evalucion!K19=Datos!$C$18,Datos!$D$18,IF(Evalucion!K19=Datos!$C$19,Datos!$D$19,"=")))))</f>
        <v>1</v>
      </c>
      <c r="K21">
        <f>IF(Evalucion!L19=Datos!$C$15,Datos!$D$15,IF(Evalucion!L19=Datos!$C$16,Datos!$D$16,IF(Evalucion!L19=Datos!$C$17,Datos!$D$17,IF(Evalucion!L19=Datos!$C$18,Datos!$D$18,IF(Evalucion!L19=Datos!$C$19,Datos!$D$19,"=")))))</f>
        <v>5</v>
      </c>
      <c r="L21">
        <f>IF(Evalucion!M19=Datos!$C$15,Datos!$D$15,IF(Evalucion!M19=Datos!$C$16,Datos!$D$16,IF(Evalucion!M19=Datos!$C$17,Datos!$D$17,IF(Evalucion!M19=Datos!$C$18,Datos!$D$18,IF(Evalucion!M19=Datos!$C$19,Datos!$D$19,"=")))))</f>
        <v>5</v>
      </c>
      <c r="M21">
        <f>IF(Evalucion!N19=Datos!$C$15,Datos!$D$15,IF(Evalucion!N19=Datos!$C$16,Datos!$D$16,IF(Evalucion!N19=Datos!$C$17,Datos!$D$17,IF(Evalucion!N19=Datos!$C$18,Datos!$D$18,IF(Evalucion!N19=Datos!$C$19,Datos!$D$19,"=")))))</f>
        <v>5</v>
      </c>
      <c r="N21">
        <f>IF(Evalucion!O19=Datos!$C$15,Datos!$D$15,IF(Evalucion!O19=Datos!$C$16,Datos!$D$16,IF(Evalucion!O19=Datos!$C$17,Datos!$D$17,IF(Evalucion!O19=Datos!$C$18,Datos!$D$18,IF(Evalucion!O19=Datos!$C$19,Datos!$D$19,"=")))))</f>
        <v>5</v>
      </c>
      <c r="O21">
        <f>IF(Evalucion!P19=Datos!$C$15,Datos!$D$15,IF(Evalucion!P19=Datos!$C$16,Datos!$D$16,IF(Evalucion!P19=Datos!$C$17,Datos!$D$17,IF(Evalucion!P19=Datos!$C$18,Datos!$D$18,IF(Evalucion!P19=Datos!$C$19,Datos!$D$19,"=")))))</f>
        <v>5</v>
      </c>
      <c r="P21">
        <f>IF(Evalucion!Q19=Datos!$C$15,Datos!$D$15,IF(Evalucion!Q19=Datos!$C$16,Datos!$D$16,IF(Evalucion!Q19=Datos!$C$17,Datos!$D$17,IF(Evalucion!Q19=Datos!$C$18,Datos!$D$18,IF(Evalucion!Q19=Datos!$C$19,Datos!$D$19,"=")))))</f>
        <v>5</v>
      </c>
      <c r="Q21">
        <f>IF(Evalucion!R19=Datos!$C$15,Datos!$D$15,IF(Evalucion!R19=Datos!$C$16,Datos!$D$16,IF(Evalucion!R19=Datos!$C$17,Datos!$D$17,IF(Evalucion!R19=Datos!$C$18,Datos!$D$18,IF(Evalucion!R19=Datos!$C$19,Datos!$D$19,"=")))))</f>
        <v>5</v>
      </c>
      <c r="R21">
        <f>IF(Evalucion!S19=Datos!$C$15,Datos!$D$15,IF(Evalucion!S19=Datos!$C$16,Datos!$D$16,IF(Evalucion!S19=Datos!$C$17,Datos!$D$17,IF(Evalucion!S19=Datos!$C$18,Datos!$D$18,IF(Evalucion!S19=Datos!$C$19,Datos!$D$19,"=")))))</f>
        <v>5</v>
      </c>
      <c r="S21">
        <f>IF(Evalucion!T19=Datos!$C$15,Datos!$D$15,IF(Evalucion!T19=Datos!$C$16,Datos!$D$16,IF(Evalucion!T19=Datos!$C$17,Datos!$D$17,IF(Evalucion!T19=Datos!$C$18,Datos!$D$18,IF(Evalucion!T19=Datos!$C$19,Datos!$D$19,"=")))))</f>
        <v>5</v>
      </c>
      <c r="T21">
        <f>IF(Evalucion!U19=Datos!$C$15,Datos!$D$15,IF(Evalucion!U19=Datos!$C$16,Datos!$D$16,IF(Evalucion!U19=Datos!$C$17,Datos!$D$17,IF(Evalucion!U19=Datos!$C$18,Datos!$D$18,IF(Evalucion!U19=Datos!$C$19,Datos!$D$19,"=")))))</f>
        <v>5</v>
      </c>
      <c r="U21">
        <f>IF(Evalucion!V19=Datos!$C$15,Datos!$D$15,IF(Evalucion!V19=Datos!$C$16,Datos!$D$16,IF(Evalucion!V19=Datos!$C$17,Datos!$D$17,IF(Evalucion!V19=Datos!$C$18,Datos!$D$18,IF(Evalucion!V19=Datos!$C$19,Datos!$D$19,"=")))))</f>
        <v>5</v>
      </c>
      <c r="V21">
        <f>IF(Evalucion!W19=Datos!$C$15,Datos!$D$15,IF(Evalucion!W19=Datos!$C$16,Datos!$D$16,IF(Evalucion!W19=Datos!$C$17,Datos!$D$17,IF(Evalucion!W19=Datos!$C$18,Datos!$D$18,IF(Evalucion!W19=Datos!$C$19,Datos!$D$19,"=")))))</f>
        <v>5</v>
      </c>
      <c r="W21">
        <f>IF(Evalucion!X19=Datos!$C$15,Datos!$D$15,IF(Evalucion!X19=Datos!$C$16,Datos!$D$16,IF(Evalucion!X19=Datos!$C$17,Datos!$D$17,IF(Evalucion!X19=Datos!$C$18,Datos!$D$18,IF(Evalucion!X19=Datos!$C$19,Datos!$D$19,"=")))))</f>
        <v>5</v>
      </c>
      <c r="X21">
        <f>IF(Evalucion!Y19=Datos!$C$15,Datos!$D$15,IF(Evalucion!Y19=Datos!$C$16,Datos!$D$16,IF(Evalucion!Y19=Datos!$C$17,Datos!$D$17,IF(Evalucion!Y19=Datos!$C$18,Datos!$D$18,IF(Evalucion!Y19=Datos!$C$19,Datos!$D$19,"=")))))</f>
        <v>5</v>
      </c>
      <c r="Y21">
        <f>IF(Evalucion!Z19=Datos!$C$15,Datos!$D$15,IF(Evalucion!Z19=Datos!$C$16,Datos!$D$16,IF(Evalucion!Z19=Datos!$C$17,Datos!$D$17,IF(Evalucion!Z19=Datos!$C$18,Datos!$D$18,IF(Evalucion!Z19=Datos!$C$19,Datos!$D$19,"=")))))</f>
        <v>5</v>
      </c>
      <c r="Z21">
        <f>IF(Evalucion!AA19=Datos!$C$15,Datos!$D$15,IF(Evalucion!AA19=Datos!$C$16,Datos!$D$16,IF(Evalucion!AA19=Datos!$C$17,Datos!$D$17,IF(Evalucion!AA19=Datos!$C$18,Datos!$D$18,IF(Evalucion!AA19=Datos!$C$19,Datos!$D$19,"=")))))</f>
        <v>5</v>
      </c>
      <c r="AA21">
        <f>IF(Evalucion!AB19=Datos!$C$15,Datos!$D$15,IF(Evalucion!AB19=Datos!$C$16,Datos!$D$16,IF(Evalucion!AB19=Datos!$C$17,Datos!$D$17,IF(Evalucion!AB19=Datos!$C$18,Datos!$D$18,IF(Evalucion!AB19=Datos!$C$19,Datos!$D$19,"=")))))</f>
        <v>5</v>
      </c>
      <c r="AB21">
        <f>IF(Evalucion!AC19=Datos!$C$15,Datos!$D$15,IF(Evalucion!AC19=Datos!$C$16,Datos!$D$16,IF(Evalucion!AC19=Datos!$C$17,Datos!$D$17,IF(Evalucion!AC19=Datos!$C$18,Datos!$D$18,IF(Evalucion!AC19=Datos!$C$19,Datos!$D$19,"=")))))</f>
        <v>5</v>
      </c>
      <c r="AC21">
        <f>IF(Evalucion!AD19=Datos!$C$15,Datos!$D$15,IF(Evalucion!AD19=Datos!$C$16,Datos!$D$16,IF(Evalucion!AD19=Datos!$C$17,Datos!$D$17,IF(Evalucion!AD19=Datos!$C$18,Datos!$D$18,IF(Evalucion!AD19=Datos!$C$19,Datos!$D$19,"=")))))</f>
        <v>5</v>
      </c>
      <c r="AD21">
        <f>IF(Evalucion!AE19=Datos!$C$15,Datos!$D$15,IF(Evalucion!AE19=Datos!$C$16,Datos!$D$16,IF(Evalucion!AE19=Datos!$C$17,Datos!$D$17,IF(Evalucion!AE19=Datos!$C$18,Datos!$D$18,IF(Evalucion!AE19=Datos!$C$19,Datos!$D$19,"=")))))</f>
        <v>3</v>
      </c>
      <c r="AE21">
        <f>IF(Evalucion!AF19=Datos!$C$15,Datos!$D$15,IF(Evalucion!AF19=Datos!$C$16,Datos!$D$16,IF(Evalucion!AF19=Datos!$C$17,Datos!$D$17,IF(Evalucion!AF19=Datos!$C$18,Datos!$D$18,IF(Evalucion!AF19=Datos!$C$19,Datos!$D$19,"=")))))</f>
        <v>5</v>
      </c>
      <c r="AF21">
        <f>IF(Evalucion!AG19=Datos!$C$15,Datos!$D$15,IF(Evalucion!AG19=Datos!$C$16,Datos!$D$16,IF(Evalucion!AG19=Datos!$C$17,Datos!$D$17,IF(Evalucion!AG19=Datos!$C$18,Datos!$D$18,IF(Evalucion!AG19=Datos!$C$19,Datos!$D$19,"=")))))</f>
        <v>5</v>
      </c>
      <c r="AO21">
        <f>IF(Evalucion!AP19=Datos!$C$15,Datos!$D$15,IF(Evalucion!AP19=Datos!$C$16,Datos!$D$16,IF(Evalucion!AP19=Datos!$C$17,Datos!$D$17,IF(Evalucion!AP19=Datos!$C$18,Datos!$D$18,IF(Evalucion!AP19=Datos!$C$19,Datos!$D$19,"=")))))</f>
        <v>5</v>
      </c>
      <c r="AP21">
        <f>IF(Evalucion!AQ19=Datos!$C$15,Datos!$D$15,IF(Evalucion!AQ19=Datos!$C$16,Datos!$D$16,IF(Evalucion!AQ19=Datos!$C$17,Datos!$D$17,IF(Evalucion!AQ19=Datos!$C$18,Datos!$D$18,IF(Evalucion!AQ19=Datos!$C$19,Datos!$D$19,"=")))))</f>
        <v>3</v>
      </c>
      <c r="AQ21">
        <f>IF(Evalucion!AR19=Datos!$C$15,Datos!$D$15,IF(Evalucion!AR19=Datos!$C$16,Datos!$D$16,IF(Evalucion!AR19=Datos!$C$17,Datos!$D$17,IF(Evalucion!AR19=Datos!$C$18,Datos!$D$18,IF(Evalucion!AR19=Datos!$C$19,Datos!$D$19,"=")))))</f>
        <v>1</v>
      </c>
      <c r="AR21">
        <f>IF(Evalucion!AS19=Datos!$C$15,Datos!$D$15,IF(Evalucion!AS19=Datos!$C$16,Datos!$D$16,IF(Evalucion!AS19=Datos!$C$17,Datos!$D$17,IF(Evalucion!AS19=Datos!$C$18,Datos!$D$18,IF(Evalucion!AS19=Datos!$C$19,Datos!$D$19,"=")))))</f>
        <v>1</v>
      </c>
      <c r="AS21">
        <f>IF(Evalucion!AT19=Datos!$C$15,Datos!$D$15,IF(Evalucion!AT19=Datos!$C$16,Datos!$D$16,IF(Evalucion!AT19=Datos!$C$17,Datos!$D$17,IF(Evalucion!AT19=Datos!$C$18,Datos!$D$18,IF(Evalucion!AT19=Datos!$C$19,Datos!$D$19,"=")))))</f>
        <v>5</v>
      </c>
      <c r="AT21">
        <f>IF(Evalucion!AU19=Datos!$C$15,Datos!$D$15,IF(Evalucion!AU19=Datos!$C$16,Datos!$D$16,IF(Evalucion!AU19=Datos!$C$17,Datos!$D$17,IF(Evalucion!AU19=Datos!$C$18,Datos!$D$18,IF(Evalucion!AU19=Datos!$C$19,Datos!$D$19,"=")))))</f>
        <v>5</v>
      </c>
      <c r="AV21">
        <f>IF(Evalucion!AW19=Datos!$C$15,Datos!$D$15,IF(Evalucion!AW19=Datos!$C$16,Datos!$D$16,IF(Evalucion!AW19=Datos!$C$17,Datos!$D$17,IF(Evalucion!AW19=Datos!$C$18,Datos!$D$18,IF(Evalucion!AW19=Datos!$C$19,Datos!$D$19,"=")))))</f>
        <v>5</v>
      </c>
      <c r="AW21">
        <f>IF(Evalucion!AX19=Datos!$C$15,Datos!$D$15,IF(Evalucion!AX19=Datos!$C$16,Datos!$D$16,IF(Evalucion!AX19=Datos!$C$17,Datos!$D$17,IF(Evalucion!AX19=Datos!$C$18,Datos!$D$18,IF(Evalucion!AX19=Datos!$C$19,Datos!$D$19,"=")))))</f>
        <v>5</v>
      </c>
      <c r="AX21">
        <f>IF(Evalucion!AY19=Datos!$C$15,Datos!$D$15,IF(Evalucion!AY19=Datos!$C$16,Datos!$D$16,IF(Evalucion!AY19=Datos!$C$17,Datos!$D$17,IF(Evalucion!AY19=Datos!$C$18,Datos!$D$18,IF(Evalucion!AY19=Datos!$C$19,Datos!$D$19,"=")))))</f>
        <v>5</v>
      </c>
      <c r="AY21">
        <f>IF(Evalucion!AZ19=Datos!$C$15,Datos!$D$15,IF(Evalucion!AZ19=Datos!$C$16,Datos!$D$16,IF(Evalucion!AZ19=Datos!$C$17,Datos!$D$17,IF(Evalucion!AZ19=Datos!$C$18,Datos!$D$18,IF(Evalucion!AZ19=Datos!$C$19,Datos!$D$19,"=")))))</f>
        <v>5</v>
      </c>
      <c r="AZ21">
        <f>IF(Evalucion!BA19=Datos!$C$15,Datos!$D$15,IF(Evalucion!BA19=Datos!$C$16,Datos!$D$16,IF(Evalucion!BA19=Datos!$C$17,Datos!$D$17,IF(Evalucion!BA19=Datos!$C$18,Datos!$D$18,IF(Evalucion!BA19=Datos!$C$19,Datos!$D$19,"=")))))</f>
        <v>5</v>
      </c>
      <c r="BA21">
        <f>IF(Evalucion!BB19=Datos!$C$15,Datos!$D$15,IF(Evalucion!BB19=Datos!$C$16,Datos!$D$16,IF(Evalucion!BB19=Datos!$C$17,Datos!$D$17,IF(Evalucion!BB19=Datos!$C$18,Datos!$D$18,IF(Evalucion!BB19=Datos!$C$19,Datos!$D$19,"=")))))</f>
        <v>5</v>
      </c>
      <c r="BB21">
        <f>IF(Evalucion!BC19=Datos!$C$15,Datos!$D$15,IF(Evalucion!BC19=Datos!$C$16,Datos!$D$16,IF(Evalucion!BC19=Datos!$C$17,Datos!$D$17,IF(Evalucion!BC19=Datos!$C$18,Datos!$D$18,IF(Evalucion!BC19=Datos!$C$19,Datos!$D$19,"=")))))</f>
        <v>5</v>
      </c>
      <c r="BC21">
        <f>IF(Evalucion!BD19=Datos!$C$15,Datos!$D$15,IF(Evalucion!BD19=Datos!$C$16,Datos!$D$16,IF(Evalucion!BD19=Datos!$C$17,Datos!$D$17,IF(Evalucion!BD19=Datos!$C$18,Datos!$D$18,IF(Evalucion!BD19=Datos!$C$19,Datos!$D$19,"=")))))</f>
        <v>1</v>
      </c>
      <c r="BD21">
        <f>IF(Evalucion!BE19=Datos!$C$15,Datos!$D$15,IF(Evalucion!BE19=Datos!$C$16,Datos!$D$16,IF(Evalucion!BE19=Datos!$C$17,Datos!$D$17,IF(Evalucion!BE19=Datos!$C$18,Datos!$D$18,IF(Evalucion!BE19=Datos!$C$19,Datos!$D$19,"=")))))</f>
        <v>5</v>
      </c>
      <c r="BE21">
        <f>IF(Evalucion!BF19=Datos!$C$15,Datos!$D$15,IF(Evalucion!BF19=Datos!$C$16,Datos!$D$16,IF(Evalucion!BF19=Datos!$C$17,Datos!$D$17,IF(Evalucion!BF19=Datos!$C$18,Datos!$D$18,IF(Evalucion!BF19=Datos!$C$19,Datos!$D$19,"=")))))</f>
        <v>1</v>
      </c>
      <c r="BF21">
        <f>IF(Evalucion!BG19=Datos!$C$15,Datos!$D$15,IF(Evalucion!BG19=Datos!$C$16,Datos!$D$16,IF(Evalucion!BG19=Datos!$C$17,Datos!$D$17,IF(Evalucion!BG19=Datos!$C$18,Datos!$D$18,IF(Evalucion!BG19=Datos!$C$19,Datos!$D$19,"=")))))</f>
        <v>5</v>
      </c>
      <c r="BG21">
        <f>IF(Evalucion!BH19=Datos!$C$15,Datos!$D$15,IF(Evalucion!BH19=Datos!$C$16,Datos!$D$16,IF(Evalucion!BH19=Datos!$C$17,Datos!$D$17,IF(Evalucion!BH19=Datos!$C$18,Datos!$D$18,IF(Evalucion!BH19=Datos!$C$19,Datos!$D$19,"=")))))</f>
        <v>5</v>
      </c>
      <c r="BH21">
        <f>IF(Evalucion!BI19=Datos!$C$15,Datos!$D$15,IF(Evalucion!BI19=Datos!$C$16,Datos!$D$16,IF(Evalucion!BI19=Datos!$C$17,Datos!$D$17,IF(Evalucion!BI19=Datos!$C$18,Datos!$D$18,IF(Evalucion!BI19=Datos!$C$19,Datos!$D$19,"=")))))</f>
        <v>5</v>
      </c>
      <c r="BI21">
        <f>IF(Evalucion!BJ19=Datos!$C$15,Datos!$D$15,IF(Evalucion!BJ19=Datos!$C$16,Datos!$D$16,IF(Evalucion!BJ19=Datos!$C$17,Datos!$D$17,IF(Evalucion!BJ19=Datos!$C$18,Datos!$D$18,IF(Evalucion!BJ19=Datos!$C$19,Datos!$D$19,"=")))))</f>
        <v>5</v>
      </c>
      <c r="BJ21">
        <f>IF(Evalucion!BK19=Datos!$C$15,Datos!$D$15,IF(Evalucion!BK19=Datos!$C$16,Datos!$D$16,IF(Evalucion!BK19=Datos!$C$17,Datos!$D$17,IF(Evalucion!BK19=Datos!$C$18,Datos!$D$18,IF(Evalucion!BK19=Datos!$C$19,Datos!$D$19,"=")))))</f>
        <v>5</v>
      </c>
      <c r="BK21">
        <f>IF(Evalucion!BL19=Datos!$C$15,Datos!$D$15,IF(Evalucion!BL19=Datos!$C$16,Datos!$D$16,IF(Evalucion!BL19=Datos!$C$17,Datos!$D$17,IF(Evalucion!BL19=Datos!$C$18,Datos!$D$18,IF(Evalucion!BL19=Datos!$C$19,Datos!$D$19,"=")))))</f>
        <v>5</v>
      </c>
      <c r="BL21">
        <f>IF(Evalucion!BM19=Datos!$C$15,Datos!$D$15,IF(Evalucion!BM19=Datos!$C$16,Datos!$D$16,IF(Evalucion!BM19=Datos!$C$17,Datos!$D$17,IF(Evalucion!BM19=Datos!$C$18,Datos!$D$18,IF(Evalucion!BM19=Datos!$C$19,Datos!$D$19,"=")))))</f>
        <v>5</v>
      </c>
      <c r="BM21">
        <f>IF(Evalucion!BN19=Datos!$C$15,Datos!$D$15,IF(Evalucion!BN19=Datos!$C$16,Datos!$D$16,IF(Evalucion!BN19=Datos!$C$17,Datos!$D$17,IF(Evalucion!BN19=Datos!$C$18,Datos!$D$18,IF(Evalucion!BN19=Datos!$C$19,Datos!$D$19,"=")))))</f>
        <v>5</v>
      </c>
      <c r="BN21">
        <f>IF(Evalucion!BO19=Datos!$C$15,Datos!$D$15,IF(Evalucion!BO19=Datos!$C$16,Datos!$D$16,IF(Evalucion!BO19=Datos!$C$17,Datos!$D$17,IF(Evalucion!BO19=Datos!$C$18,Datos!$D$18,IF(Evalucion!BO19=Datos!$C$19,Datos!$D$19,"=")))))</f>
        <v>5</v>
      </c>
      <c r="BO21">
        <f>IF(Evalucion!BP19=Datos!$C$15,Datos!$D$15,IF(Evalucion!BP19=Datos!$C$16,Datos!$D$16,IF(Evalucion!BP19=Datos!$C$17,Datos!$D$17,IF(Evalucion!BP19=Datos!$C$18,Datos!$D$18,IF(Evalucion!BP19=Datos!$C$19,Datos!$D$19,"=")))))</f>
        <v>5</v>
      </c>
      <c r="BP21">
        <f>IF(Evalucion!BQ19=Datos!$C$15,Datos!$D$15,IF(Evalucion!BQ19=Datos!$C$16,Datos!$D$16,IF(Evalucion!BQ19=Datos!$C$17,Datos!$D$17,IF(Evalucion!BQ19=Datos!$C$18,Datos!$D$18,IF(Evalucion!BQ19=Datos!$C$19,Datos!$D$19,"=")))))</f>
        <v>5</v>
      </c>
      <c r="BQ21">
        <f>IF(Evalucion!BR19=Datos!$C$15,Datos!$D$15,IF(Evalucion!BR19=Datos!$C$16,Datos!$D$16,IF(Evalucion!BR19=Datos!$C$17,Datos!$D$17,IF(Evalucion!BR19=Datos!$C$18,Datos!$D$18,IF(Evalucion!BR19=Datos!$C$19,Datos!$D$19,"=")))))</f>
        <v>5</v>
      </c>
      <c r="BR21">
        <f>IF(Evalucion!BS19=Datos!$C$15,Datos!$D$15,IF(Evalucion!BS19=Datos!$C$16,Datos!$D$16,IF(Evalucion!BS19=Datos!$C$17,Datos!$D$17,IF(Evalucion!BS19=Datos!$C$18,Datos!$D$18,IF(Evalucion!BS19=Datos!$C$19,Datos!$D$19,"=")))))</f>
        <v>5</v>
      </c>
      <c r="BS21">
        <f>IF(Evalucion!BT19=Datos!$C$15,Datos!$D$15,IF(Evalucion!BT19=Datos!$C$16,Datos!$D$16,IF(Evalucion!BT19=Datos!$C$17,Datos!$D$17,IF(Evalucion!BT19=Datos!$C$18,Datos!$D$18,IF(Evalucion!BT19=Datos!$C$19,Datos!$D$19,"=")))))</f>
        <v>3</v>
      </c>
      <c r="BT21">
        <f>IF(Evalucion!BU19=Datos!$C$15,Datos!$D$15,IF(Evalucion!BU19=Datos!$C$16,Datos!$D$16,IF(Evalucion!BU19=Datos!$C$17,Datos!$D$17,IF(Evalucion!BU19=Datos!$C$18,Datos!$D$18,IF(Evalucion!BU19=Datos!$C$19,Datos!$D$19,"=")))))</f>
        <v>5</v>
      </c>
      <c r="BU21">
        <f>IF(Evalucion!BV19=Datos!$C$15,Datos!$D$15,IF(Evalucion!BV19=Datos!$C$16,Datos!$D$16,IF(Evalucion!BV19=Datos!$C$17,Datos!$D$17,IF(Evalucion!BV19=Datos!$C$18,Datos!$D$18,IF(Evalucion!BV19=Datos!$C$19,Datos!$D$19,"=")))))</f>
        <v>3</v>
      </c>
      <c r="BV21">
        <f>IF(Evalucion!BW19=Datos!$C$15,Datos!$D$15,IF(Evalucion!BW19=Datos!$C$16,Datos!$D$16,IF(Evalucion!BW19=Datos!$C$17,Datos!$D$17,IF(Evalucion!BW19=Datos!$C$18,Datos!$D$18,IF(Evalucion!BW19=Datos!$C$19,Datos!$D$19,"=")))))</f>
        <v>5</v>
      </c>
      <c r="BW21">
        <f>IF(Evalucion!BX19=Datos!$C$15,Datos!$D$15,IF(Evalucion!BX19=Datos!$C$16,Datos!$D$16,IF(Evalucion!BX19=Datos!$C$17,Datos!$D$17,IF(Evalucion!BX19=Datos!$C$18,Datos!$D$18,IF(Evalucion!BX19=Datos!$C$19,Datos!$D$19,"=")))))</f>
        <v>5</v>
      </c>
      <c r="BX21">
        <f>IF(Evalucion!BY19=Datos!$C$15,Datos!$D$15,IF(Evalucion!BY19=Datos!$C$16,Datos!$D$16,IF(Evalucion!BY19=Datos!$C$17,Datos!$D$17,IF(Evalucion!BY19=Datos!$C$18,Datos!$D$18,IF(Evalucion!BY19=Datos!$C$19,Datos!$D$19,"=")))))</f>
        <v>5</v>
      </c>
      <c r="BY21">
        <f>IF(Evalucion!BZ19=Datos!$C$15,Datos!$D$15,IF(Evalucion!BZ19=Datos!$C$16,Datos!$D$16,IF(Evalucion!BZ19=Datos!$C$17,Datos!$D$17,IF(Evalucion!BZ19=Datos!$C$18,Datos!$D$18,IF(Evalucion!BZ19=Datos!$C$19,Datos!$D$19,"=")))))</f>
        <v>5</v>
      </c>
      <c r="BZ21">
        <f>IF(Evalucion!CA19=Datos!$C$15,Datos!$D$15,IF(Evalucion!CA19=Datos!$C$16,Datos!$D$16,IF(Evalucion!CA19=Datos!$C$17,Datos!$D$17,IF(Evalucion!CA19=Datos!$C$18,Datos!$D$18,IF(Evalucion!CA19=Datos!$C$19,Datos!$D$19,"=")))))</f>
        <v>5</v>
      </c>
      <c r="CA21">
        <f>IF(Evalucion!CB19=Datos!$C$15,Datos!$D$15,IF(Evalucion!CB19=Datos!$C$16,Datos!$D$16,IF(Evalucion!CB19=Datos!$C$17,Datos!$D$17,IF(Evalucion!CB19=Datos!$C$18,Datos!$D$18,IF(Evalucion!CB19=Datos!$C$19,Datos!$D$19,"=")))))</f>
        <v>5</v>
      </c>
      <c r="CB21">
        <f>IF(Evalucion!CC19=Datos!$C$15,Datos!$D$15,IF(Evalucion!CC19=Datos!$C$16,Datos!$D$16,IF(Evalucion!CC19=Datos!$C$17,Datos!$D$17,IF(Evalucion!CC19=Datos!$C$18,Datos!$D$18,IF(Evalucion!CC19=Datos!$C$19,Datos!$D$19,"=")))))</f>
        <v>5</v>
      </c>
      <c r="CC21">
        <f>IF(Evalucion!CD19=Datos!$C$15,Datos!$D$15,IF(Evalucion!CD19=Datos!$C$16,Datos!$D$16,IF(Evalucion!CD19=Datos!$C$17,Datos!$D$17,IF(Evalucion!CD19=Datos!$C$18,Datos!$D$18,IF(Evalucion!CD19=Datos!$C$19,Datos!$D$19,"=")))))</f>
        <v>5</v>
      </c>
      <c r="CD21">
        <f>IF(Evalucion!CE19=Datos!$C$15,Datos!$D$15,IF(Evalucion!CE19=Datos!$C$16,Datos!$D$16,IF(Evalucion!CE19=Datos!$C$17,Datos!$D$17,IF(Evalucion!CE19=Datos!$C$18,Datos!$D$18,IF(Evalucion!CE19=Datos!$C$19,Datos!$D$19,"=")))))</f>
        <v>5</v>
      </c>
      <c r="CE21">
        <f>IF(Evalucion!CF19=Datos!$C$15,Datos!$D$15,IF(Evalucion!CF19=Datos!$C$16,Datos!$D$16,IF(Evalucion!CF19=Datos!$C$17,Datos!$D$17,IF(Evalucion!CF19=Datos!$C$18,Datos!$D$18,IF(Evalucion!CF19=Datos!$C$19,Datos!$D$19,"=")))))</f>
        <v>3</v>
      </c>
      <c r="CF21">
        <f>IF(Evalucion!CG19=Datos!$C$15,Datos!$D$15,IF(Evalucion!CG19=Datos!$C$16,Datos!$D$16,IF(Evalucion!CG19=Datos!$C$17,Datos!$D$17,IF(Evalucion!CG19=Datos!$C$18,Datos!$D$18,IF(Evalucion!CG19=Datos!$C$19,Datos!$D$19,"=")))))</f>
        <v>5</v>
      </c>
      <c r="CG21">
        <f>IF(Evalucion!CH19=Datos!$C$15,Datos!$D$15,IF(Evalucion!CH19=Datos!$C$16,Datos!$D$16,IF(Evalucion!CH19=Datos!$C$17,Datos!$D$17,IF(Evalucion!CH19=Datos!$C$18,Datos!$D$18,IF(Evalucion!CH19=Datos!$C$19,Datos!$D$19,"=")))))</f>
        <v>3</v>
      </c>
      <c r="CH21">
        <f>IF(Evalucion!CI19=Datos!$C$15,Datos!$D$15,IF(Evalucion!CI19=Datos!$C$16,Datos!$D$16,IF(Evalucion!CI19=Datos!$C$17,Datos!$D$17,IF(Evalucion!CI19=Datos!$C$18,Datos!$D$18,IF(Evalucion!CI19=Datos!$C$19,Datos!$D$19,"=")))))</f>
        <v>5</v>
      </c>
      <c r="CI21">
        <f>IF(Evalucion!CJ19=Datos!$C$15,Datos!$D$15,IF(Evalucion!CJ19=Datos!$C$16,Datos!$D$16,IF(Evalucion!CJ19=Datos!$C$17,Datos!$D$17,IF(Evalucion!CJ19=Datos!$C$18,Datos!$D$18,IF(Evalucion!CJ19=Datos!$C$19,Datos!$D$19,"=")))))</f>
        <v>3</v>
      </c>
      <c r="CJ21">
        <f>IF(Evalucion!CK19=Datos!$C$15,Datos!$D$15,IF(Evalucion!CK19=Datos!$C$16,Datos!$D$16,IF(Evalucion!CK19=Datos!$C$17,Datos!$D$17,IF(Evalucion!CK19=Datos!$C$18,Datos!$D$18,IF(Evalucion!CK19=Datos!$C$19,Datos!$D$19,"=")))))</f>
        <v>5</v>
      </c>
      <c r="CK21">
        <f>IF(Evalucion!CL19=Datos!$C$15,Datos!$D$15,IF(Evalucion!CL19=Datos!$C$16,Datos!$D$16,IF(Evalucion!CL19=Datos!$C$17,Datos!$D$17,IF(Evalucion!CL19=Datos!$C$18,Datos!$D$18,IF(Evalucion!CL19=Datos!$C$19,Datos!$D$19,"=")))))</f>
        <v>5</v>
      </c>
      <c r="CL21">
        <f>IF(Evalucion!CM19=Datos!$C$15,Datos!$D$15,IF(Evalucion!CM19=Datos!$C$16,Datos!$D$16,IF(Evalucion!CM19=Datos!$C$17,Datos!$D$17,IF(Evalucion!CM19=Datos!$C$18,Datos!$D$18,IF(Evalucion!CM19=Datos!$C$19,Datos!$D$19,"=")))))</f>
        <v>5</v>
      </c>
      <c r="CM21">
        <f>IF(Evalucion!CN19=Datos!$C$15,Datos!$D$15,IF(Evalucion!CN19=Datos!$C$16,Datos!$D$16,IF(Evalucion!CN19=Datos!$C$17,Datos!$D$17,IF(Evalucion!CN19=Datos!$C$18,Datos!$D$18,IF(Evalucion!CN19=Datos!$C$19,Datos!$D$19,"=")))))</f>
        <v>5</v>
      </c>
      <c r="CN21">
        <f>IF(Evalucion!CO19=Datos!$C$15,Datos!$D$15,IF(Evalucion!CO19=Datos!$C$16,Datos!$D$16,IF(Evalucion!CO19=Datos!$C$17,Datos!$D$17,IF(Evalucion!CO19=Datos!$C$18,Datos!$D$18,IF(Evalucion!CO19=Datos!$C$19,Datos!$D$19,"=")))))</f>
        <v>5</v>
      </c>
      <c r="CO21">
        <f>IF(Evalucion!CP19=Datos!$C$15,Datos!$D$15,IF(Evalucion!CP19=Datos!$C$16,Datos!$D$16,IF(Evalucion!CP19=Datos!$C$17,Datos!$D$17,IF(Evalucion!CP19=Datos!$C$18,Datos!$D$18,IF(Evalucion!CP19=Datos!$C$19,Datos!$D$19,"=")))))</f>
        <v>5</v>
      </c>
      <c r="CP21">
        <f>IF(Evalucion!CQ19=Datos!$C$15,Datos!$D$15,IF(Evalucion!CQ19=Datos!$C$16,Datos!$D$16,IF(Evalucion!CQ19=Datos!$C$17,Datos!$D$17,IF(Evalucion!CQ19=Datos!$C$18,Datos!$D$18,IF(Evalucion!CQ19=Datos!$C$19,Datos!$D$19,"=")))))</f>
        <v>5</v>
      </c>
      <c r="CQ21">
        <f>IF(Evalucion!CR19=Datos!$C$15,Datos!$D$15,IF(Evalucion!CR19=Datos!$C$16,Datos!$D$16,IF(Evalucion!CR19=Datos!$C$17,Datos!$D$17,IF(Evalucion!CR19=Datos!$C$18,Datos!$D$18,IF(Evalucion!CR19=Datos!$C$19,Datos!$D$19,"=")))))</f>
        <v>3</v>
      </c>
      <c r="CR21">
        <f>IF(Evalucion!CS19=Datos!$C$15,Datos!$D$15,IF(Evalucion!CS19=Datos!$C$16,Datos!$D$16,IF(Evalucion!CS19=Datos!$C$17,Datos!$D$17,IF(Evalucion!CS19=Datos!$C$18,Datos!$D$18,IF(Evalucion!CS19=Datos!$C$19,Datos!$D$19,"=")))))</f>
        <v>5</v>
      </c>
      <c r="CS21">
        <f>IF(Evalucion!CT19=Datos!$C$15,Datos!$D$15,IF(Evalucion!CT19=Datos!$C$16,Datos!$D$16,IF(Evalucion!CT19=Datos!$C$17,Datos!$D$17,IF(Evalucion!CT19=Datos!$C$18,Datos!$D$18,IF(Evalucion!CT19=Datos!$C$19,Datos!$D$19,"=")))))</f>
        <v>3</v>
      </c>
      <c r="CT21">
        <f>IF(Evalucion!CU19=Datos!$C$15,Datos!$D$15,IF(Evalucion!CU19=Datos!$C$16,Datos!$D$16,IF(Evalucion!CU19=Datos!$C$17,Datos!$D$17,IF(Evalucion!CU19=Datos!$C$18,Datos!$D$18,IF(Evalucion!CU19=Datos!$C$19,Datos!$D$19,"=")))))</f>
        <v>5</v>
      </c>
      <c r="CU21">
        <f>IF(Evalucion!CV19=Datos!$C$15,Datos!$D$15,IF(Evalucion!CV19=Datos!$C$16,Datos!$D$16,IF(Evalucion!CV19=Datos!$C$17,Datos!$D$17,IF(Evalucion!CV19=Datos!$C$18,Datos!$D$18,IF(Evalucion!CV19=Datos!$C$19,Datos!$D$19,"=")))))</f>
        <v>3</v>
      </c>
      <c r="CV21">
        <f>IF(Evalucion!CW19=Datos!$C$15,Datos!$D$15,IF(Evalucion!CW19=Datos!$C$16,Datos!$D$16,IF(Evalucion!CW19=Datos!$C$17,Datos!$D$17,IF(Evalucion!CW19=Datos!$C$18,Datos!$D$18,IF(Evalucion!CW19=Datos!$C$19,Datos!$D$19,"=")))))</f>
        <v>5</v>
      </c>
      <c r="CW21">
        <f>IF(Evalucion!CX19=Datos!$C$15,Datos!$D$15,IF(Evalucion!CX19=Datos!$C$16,Datos!$D$16,IF(Evalucion!CX19=Datos!$C$17,Datos!$D$17,IF(Evalucion!CX19=Datos!$C$18,Datos!$D$18,IF(Evalucion!CX19=Datos!$C$19,Datos!$D$19,"=")))))</f>
        <v>3</v>
      </c>
      <c r="CX21">
        <f>IF(Evalucion!CY19=Datos!$C$15,Datos!$D$15,IF(Evalucion!CY19=Datos!$C$16,Datos!$D$16,IF(Evalucion!CY19=Datos!$C$17,Datos!$D$17,IF(Evalucion!CY19=Datos!$C$18,Datos!$D$18,IF(Evalucion!CY19=Datos!$C$19,Datos!$D$19,"=")))))</f>
        <v>5</v>
      </c>
      <c r="CY21">
        <f>IF(Evalucion!CZ19=Datos!$C$15,Datos!$D$15,IF(Evalucion!CZ19=Datos!$C$16,Datos!$D$16,IF(Evalucion!CZ19=Datos!$C$17,Datos!$D$17,IF(Evalucion!CZ19=Datos!$C$18,Datos!$D$18,IF(Evalucion!CZ19=Datos!$C$19,Datos!$D$19,"=")))))</f>
        <v>3</v>
      </c>
      <c r="CZ21">
        <f>IF(Evalucion!DA19=Datos!$C$15,Datos!$D$15,IF(Evalucion!DA19=Datos!$C$16,Datos!$D$16,IF(Evalucion!DA19=Datos!$C$17,Datos!$D$17,IF(Evalucion!DA19=Datos!$C$18,Datos!$D$18,IF(Evalucion!DA19=Datos!$C$19,Datos!$D$19,"=")))))</f>
        <v>5</v>
      </c>
      <c r="DA21">
        <f>IF(Evalucion!DB19=Datos!$C$15,Datos!$D$15,IF(Evalucion!DB19=Datos!$C$16,Datos!$D$16,IF(Evalucion!DB19=Datos!$C$17,Datos!$D$17,IF(Evalucion!DB19=Datos!$C$18,Datos!$D$18,IF(Evalucion!DB19=Datos!$C$19,Datos!$D$19,"=")))))</f>
        <v>3</v>
      </c>
      <c r="DB21">
        <f>IF(Evalucion!DC19=Datos!$C$15,Datos!$D$15,IF(Evalucion!DC19=Datos!$C$16,Datos!$D$16,IF(Evalucion!DC19=Datos!$C$17,Datos!$D$17,IF(Evalucion!DC19=Datos!$C$18,Datos!$D$18,IF(Evalucion!DC19=Datos!$C$19,Datos!$D$19,"=")))))</f>
        <v>5</v>
      </c>
      <c r="DC21">
        <f>IF(Evalucion!DD19=Datos!$C$15,Datos!$D$15,IF(Evalucion!DD19=Datos!$C$16,Datos!$D$16,IF(Evalucion!DD19=Datos!$C$17,Datos!$D$17,IF(Evalucion!DD19=Datos!$C$18,Datos!$D$18,IF(Evalucion!DD19=Datos!$C$19,Datos!$D$19,"=")))))</f>
        <v>5</v>
      </c>
      <c r="DD21">
        <f>IF(Evalucion!DE19=Datos!$C$15,Datos!$D$15,IF(Evalucion!DE19=Datos!$C$16,Datos!$D$16,IF(Evalucion!DE19=Datos!$C$17,Datos!$D$17,IF(Evalucion!DE19=Datos!$C$18,Datos!$D$18,IF(Evalucion!DE19=Datos!$C$19,Datos!$D$19,"=")))))</f>
        <v>1</v>
      </c>
      <c r="DE21">
        <f>IF(Evalucion!DF19=Datos!$C$15,Datos!$D$15,IF(Evalucion!DF19=Datos!$C$16,Datos!$D$16,IF(Evalucion!DF19=Datos!$C$17,Datos!$D$17,IF(Evalucion!DF19=Datos!$C$18,Datos!$D$18,IF(Evalucion!DF19=Datos!$C$19,Datos!$D$19,"=")))))</f>
        <v>1</v>
      </c>
      <c r="DF21">
        <f>IF(Evalucion!DG19=Datos!$C$15,Datos!$D$15,IF(Evalucion!DG19=Datos!$C$16,Datos!$D$16,IF(Evalucion!DG19=Datos!$C$17,Datos!$D$17,IF(Evalucion!DG19=Datos!$C$18,Datos!$D$18,IF(Evalucion!DG19=Datos!$C$19,Datos!$D$19,"=")))))</f>
        <v>5</v>
      </c>
      <c r="DG21">
        <f>IF(Evalucion!DH19=Datos!$C$15,Datos!$D$15,IF(Evalucion!DH19=Datos!$C$16,Datos!$D$16,IF(Evalucion!DH19=Datos!$C$17,Datos!$D$17,IF(Evalucion!DH19=Datos!$C$18,Datos!$D$18,IF(Evalucion!DH19=Datos!$C$19,Datos!$D$19,"=")))))</f>
        <v>5</v>
      </c>
      <c r="DH21">
        <f>IF(Evalucion!DI19=Datos!$C$15,Datos!$D$15,IF(Evalucion!DI19=Datos!$C$16,Datos!$D$16,IF(Evalucion!DI19=Datos!$C$17,Datos!$D$17,IF(Evalucion!DI19=Datos!$C$18,Datos!$D$18,IF(Evalucion!DI19=Datos!$C$19,Datos!$D$19,"=")))))</f>
        <v>1</v>
      </c>
      <c r="DI21">
        <f>IF(Evalucion!DJ19=Datos!$C$15,Datos!$D$15,IF(Evalucion!DJ19=Datos!$C$16,Datos!$D$16,IF(Evalucion!DJ19=Datos!$C$17,Datos!$D$17,IF(Evalucion!DJ19=Datos!$C$18,Datos!$D$18,IF(Evalucion!DJ19=Datos!$C$19,Datos!$D$19,"=")))))</f>
        <v>1</v>
      </c>
      <c r="DJ21">
        <f>IF(Evalucion!DK19=Datos!$C$15,Datos!$D$15,IF(Evalucion!DK19=Datos!$C$16,Datos!$D$16,IF(Evalucion!DK19=Datos!$C$17,Datos!$D$17,IF(Evalucion!DK19=Datos!$C$18,Datos!$D$18,IF(Evalucion!DK19=Datos!$C$19,Datos!$D$19,"=")))))</f>
        <v>1</v>
      </c>
      <c r="DK21">
        <f>IF(Evalucion!DL19=Datos!$C$15,Datos!$D$15,IF(Evalucion!DL19=Datos!$C$16,Datos!$D$16,IF(Evalucion!DL19=Datos!$C$17,Datos!$D$17,IF(Evalucion!DL19=Datos!$C$18,Datos!$D$18,IF(Evalucion!DL19=Datos!$C$19,Datos!$D$19,"=")))))</f>
        <v>1</v>
      </c>
      <c r="DL21">
        <f>IF(Evalucion!DM19=Datos!$C$15,Datos!$D$15,IF(Evalucion!DM19=Datos!$C$16,Datos!$D$16,IF(Evalucion!DM19=Datos!$C$17,Datos!$D$17,IF(Evalucion!DM19=Datos!$C$18,Datos!$D$18,IF(Evalucion!DM19=Datos!$C$19,Datos!$D$19,"=")))))</f>
        <v>5</v>
      </c>
      <c r="DM21">
        <f>IF(Evalucion!DN19=Datos!$C$15,Datos!$D$15,IF(Evalucion!DN19=Datos!$C$16,Datos!$D$16,IF(Evalucion!DN19=Datos!$C$17,Datos!$D$17,IF(Evalucion!DN19=Datos!$C$18,Datos!$D$18,IF(Evalucion!DN19=Datos!$C$19,Datos!$D$19,"=")))))</f>
        <v>3</v>
      </c>
      <c r="DN21">
        <f>IF(Evalucion!DO19=Datos!$C$15,Datos!$D$15,IF(Evalucion!DO19=Datos!$C$16,Datos!$D$16,IF(Evalucion!DO19=Datos!$C$17,Datos!$D$17,IF(Evalucion!DO19=Datos!$C$18,Datos!$D$18,IF(Evalucion!DO19=Datos!$C$19,Datos!$D$19,"=")))))</f>
        <v>5</v>
      </c>
      <c r="DO21">
        <f>IF(Evalucion!DP19=Datos!$C$15,Datos!$D$15,IF(Evalucion!DP19=Datos!$C$16,Datos!$D$16,IF(Evalucion!DP19=Datos!$C$17,Datos!$D$17,IF(Evalucion!DP19=Datos!$C$18,Datos!$D$18,IF(Evalucion!DP19=Datos!$C$19,Datos!$D$19,"=")))))</f>
        <v>5</v>
      </c>
      <c r="DP21">
        <f>IF(Evalucion!DQ19=Datos!$C$15,Datos!$D$15,IF(Evalucion!DQ19=Datos!$C$16,Datos!$D$16,IF(Evalucion!DQ19=Datos!$C$17,Datos!$D$17,IF(Evalucion!DQ19=Datos!$C$18,Datos!$D$18,IF(Evalucion!DQ19=Datos!$C$19,Datos!$D$19,"=")))))</f>
        <v>5</v>
      </c>
      <c r="DQ21">
        <f>IF(Evalucion!DR19=Datos!$C$15,Datos!$D$15,IF(Evalucion!DR19=Datos!$C$16,Datos!$D$16,IF(Evalucion!DR19=Datos!$C$17,Datos!$D$17,IF(Evalucion!DR19=Datos!$C$18,Datos!$D$18,IF(Evalucion!DR19=Datos!$C$19,Datos!$D$19,"=")))))</f>
        <v>3</v>
      </c>
      <c r="DR21">
        <f>IF(Evalucion!DS19=Datos!$C$15,Datos!$D$15,IF(Evalucion!DS19=Datos!$C$16,Datos!$D$16,IF(Evalucion!DS19=Datos!$C$17,Datos!$D$17,IF(Evalucion!DS19=Datos!$C$18,Datos!$D$18,IF(Evalucion!DS19=Datos!$C$19,Datos!$D$19,"=")))))</f>
        <v>5</v>
      </c>
      <c r="DS21">
        <f>IF(Evalucion!DT19=Datos!$C$15,Datos!$D$15,IF(Evalucion!DT19=Datos!$C$16,Datos!$D$16,IF(Evalucion!DT19=Datos!$C$17,Datos!$D$17,IF(Evalucion!DT19=Datos!$C$18,Datos!$D$18,IF(Evalucion!DT19=Datos!$C$19,Datos!$D$19,"=")))))</f>
        <v>3</v>
      </c>
      <c r="DT21">
        <f>IF(Evalucion!DU19=Datos!$C$15,Datos!$D$15,IF(Evalucion!DU19=Datos!$C$16,Datos!$D$16,IF(Evalucion!DU19=Datos!$C$17,Datos!$D$17,IF(Evalucion!DU19=Datos!$C$18,Datos!$D$18,IF(Evalucion!DU19=Datos!$C$19,Datos!$D$19,"=")))))</f>
        <v>5</v>
      </c>
      <c r="DU21">
        <f>IF(Evalucion!DV19=Datos!$C$15,Datos!$D$15,IF(Evalucion!DV19=Datos!$C$16,Datos!$D$16,IF(Evalucion!DV19=Datos!$C$17,Datos!$D$17,IF(Evalucion!DV19=Datos!$C$18,Datos!$D$18,IF(Evalucion!DV19=Datos!$C$19,Datos!$D$19,"=")))))</f>
        <v>3</v>
      </c>
      <c r="DV21">
        <f>IF(Evalucion!DW19=Datos!$C$15,Datos!$D$15,IF(Evalucion!DW19=Datos!$C$16,Datos!$D$16,IF(Evalucion!DW19=Datos!$C$17,Datos!$D$17,IF(Evalucion!DW19=Datos!$C$18,Datos!$D$18,IF(Evalucion!DW19=Datos!$C$19,Datos!$D$19,"=")))))</f>
        <v>5</v>
      </c>
      <c r="DW21">
        <f>IF(Evalucion!DX19=Datos!$C$15,Datos!$D$15,IF(Evalucion!DX19=Datos!$C$16,Datos!$D$16,IF(Evalucion!DX19=Datos!$C$17,Datos!$D$17,IF(Evalucion!DX19=Datos!$C$18,Datos!$D$18,IF(Evalucion!DX19=Datos!$C$19,Datos!$D$19,"=")))))</f>
        <v>3</v>
      </c>
      <c r="DX21">
        <f>IF(Evalucion!DY19=Datos!$C$15,Datos!$D$15,IF(Evalucion!DY19=Datos!$C$16,Datos!$D$16,IF(Evalucion!DY19=Datos!$C$17,Datos!$D$17,IF(Evalucion!DY19=Datos!$C$18,Datos!$D$18,IF(Evalucion!DY19=Datos!$C$19,Datos!$D$19,"=")))))</f>
        <v>5</v>
      </c>
      <c r="DY21">
        <f>IF(Evalucion!DZ19=Datos!$C$15,Datos!$D$15,IF(Evalucion!DZ19=Datos!$C$16,Datos!$D$16,IF(Evalucion!DZ19=Datos!$C$17,Datos!$D$17,IF(Evalucion!DZ19=Datos!$C$18,Datos!$D$18,IF(Evalucion!DZ19=Datos!$C$19,Datos!$D$19,"=")))))</f>
        <v>3</v>
      </c>
      <c r="DZ21">
        <f>IF(Evalucion!EA19=Datos!$C$15,Datos!$D$15,IF(Evalucion!EA19=Datos!$C$16,Datos!$D$16,IF(Evalucion!EA19=Datos!$C$17,Datos!$D$17,IF(Evalucion!EA19=Datos!$C$18,Datos!$D$18,IF(Evalucion!EA19=Datos!$C$19,Datos!$D$19,"=")))))</f>
        <v>5</v>
      </c>
      <c r="EA21">
        <f>IF(Evalucion!EB19=Datos!$C$15,Datos!$D$15,IF(Evalucion!EB19=Datos!$C$16,Datos!$D$16,IF(Evalucion!EB19=Datos!$C$17,Datos!$D$17,IF(Evalucion!EB19=Datos!$C$18,Datos!$D$18,IF(Evalucion!EB19=Datos!$C$19,Datos!$D$19,"=")))))</f>
        <v>5</v>
      </c>
      <c r="EB21">
        <f>IF(Evalucion!EC19=Datos!$C$15,Datos!$D$15,IF(Evalucion!EC19=Datos!$C$16,Datos!$D$16,IF(Evalucion!EC19=Datos!$C$17,Datos!$D$17,IF(Evalucion!EC19=Datos!$C$18,Datos!$D$18,IF(Evalucion!EC19=Datos!$C$19,Datos!$D$19,"=")))))</f>
        <v>5</v>
      </c>
      <c r="EC21">
        <f>IF(Evalucion!ED19=Datos!$C$15,Datos!$D$15,IF(Evalucion!ED19=Datos!$C$16,Datos!$D$16,IF(Evalucion!ED19=Datos!$C$17,Datos!$D$17,IF(Evalucion!ED19=Datos!$C$18,Datos!$D$18,IF(Evalucion!ED19=Datos!$C$19,Datos!$D$19,"=")))))</f>
        <v>3</v>
      </c>
      <c r="ED21">
        <f>IF(Evalucion!EE19=Datos!$C$15,Datos!$D$15,IF(Evalucion!EE19=Datos!$C$16,Datos!$D$16,IF(Evalucion!EE19=Datos!$C$17,Datos!$D$17,IF(Evalucion!EE19=Datos!$C$18,Datos!$D$18,IF(Evalucion!EE19=Datos!$C$19,Datos!$D$19,"=")))))</f>
        <v>5</v>
      </c>
      <c r="EE21">
        <f>IF(Evalucion!EF19=Datos!$C$15,Datos!$D$15,IF(Evalucion!EF19=Datos!$C$16,Datos!$D$16,IF(Evalucion!EF19=Datos!$C$17,Datos!$D$17,IF(Evalucion!EF19=Datos!$C$18,Datos!$D$18,IF(Evalucion!EF19=Datos!$C$19,Datos!$D$19,"=")))))</f>
        <v>5</v>
      </c>
      <c r="EF21">
        <f>IF(Evalucion!EG19=Datos!$C$15,Datos!$D$15,IF(Evalucion!EG19=Datos!$C$16,Datos!$D$16,IF(Evalucion!EG19=Datos!$C$17,Datos!$D$17,IF(Evalucion!EG19=Datos!$C$18,Datos!$D$18,IF(Evalucion!EG19=Datos!$C$19,Datos!$D$19,"=")))))</f>
        <v>5</v>
      </c>
      <c r="EG21">
        <f>IF(Evalucion!EH19=Datos!$C$15,Datos!$D$15,IF(Evalucion!EH19=Datos!$C$16,Datos!$D$16,IF(Evalucion!EH19=Datos!$C$17,Datos!$D$17,IF(Evalucion!EH19=Datos!$C$18,Datos!$D$18,IF(Evalucion!EH19=Datos!$C$19,Datos!$D$19,"=")))))</f>
        <v>5</v>
      </c>
      <c r="EH21">
        <f>IF(Evalucion!EI19=Datos!$C$15,Datos!$D$15,IF(Evalucion!EI19=Datos!$C$16,Datos!$D$16,IF(Evalucion!EI19=Datos!$C$17,Datos!$D$17,IF(Evalucion!EI19=Datos!$C$18,Datos!$D$18,IF(Evalucion!EI19=Datos!$C$19,Datos!$D$19,"=")))))</f>
        <v>5</v>
      </c>
      <c r="EI21">
        <f>IF(Evalucion!EJ19=Datos!$C$15,Datos!$D$15,IF(Evalucion!EJ19=Datos!$C$16,Datos!$D$16,IF(Evalucion!EJ19=Datos!$C$17,Datos!$D$17,IF(Evalucion!EJ19=Datos!$C$18,Datos!$D$18,IF(Evalucion!EJ19=Datos!$C$19,Datos!$D$19,"=")))))</f>
        <v>5</v>
      </c>
      <c r="EJ21">
        <f>IF(Evalucion!EK19=Datos!$C$15,Datos!$D$15,IF(Evalucion!EK19=Datos!$C$16,Datos!$D$16,IF(Evalucion!EK19=Datos!$C$17,Datos!$D$17,IF(Evalucion!EK19=Datos!$C$18,Datos!$D$18,IF(Evalucion!EK19=Datos!$C$19,Datos!$D$19,"=")))))</f>
        <v>5</v>
      </c>
      <c r="EK21">
        <f>IF(Evalucion!EL19=Datos!$C$15,Datos!$D$15,IF(Evalucion!EL19=Datos!$C$16,Datos!$D$16,IF(Evalucion!EL19=Datos!$C$17,Datos!$D$17,IF(Evalucion!EL19=Datos!$C$18,Datos!$D$18,IF(Evalucion!EL19=Datos!$C$19,Datos!$D$19,"=")))))</f>
        <v>5</v>
      </c>
      <c r="EL21">
        <f>IF(Evalucion!EM19=Datos!$C$15,Datos!$D$15,IF(Evalucion!EM19=Datos!$C$16,Datos!$D$16,IF(Evalucion!EM19=Datos!$C$17,Datos!$D$17,IF(Evalucion!EM19=Datos!$C$18,Datos!$D$18,IF(Evalucion!EM19=Datos!$C$19,Datos!$D$19,"=")))))</f>
        <v>5</v>
      </c>
      <c r="EM21">
        <f>IF(Evalucion!EN19=Datos!$C$15,Datos!$D$15,IF(Evalucion!EN19=Datos!$C$16,Datos!$D$16,IF(Evalucion!EN19=Datos!$C$17,Datos!$D$17,IF(Evalucion!EN19=Datos!$C$18,Datos!$D$18,IF(Evalucion!EN19=Datos!$C$19,Datos!$D$19,"=")))))</f>
        <v>5</v>
      </c>
      <c r="EN21">
        <f>IF(Evalucion!EO19=Datos!$C$15,Datos!$D$15,IF(Evalucion!EO19=Datos!$C$16,Datos!$D$16,IF(Evalucion!EO19=Datos!$C$17,Datos!$D$17,IF(Evalucion!EO19=Datos!$C$18,Datos!$D$18,IF(Evalucion!EO19=Datos!$C$19,Datos!$D$19,"=")))))</f>
        <v>5</v>
      </c>
      <c r="EO21">
        <f>IF(Evalucion!EP19=Datos!$C$15,Datos!$D$15,IF(Evalucion!EP19=Datos!$C$16,Datos!$D$16,IF(Evalucion!EP19=Datos!$C$17,Datos!$D$17,IF(Evalucion!EP19=Datos!$C$18,Datos!$D$18,IF(Evalucion!EP19=Datos!$C$19,Datos!$D$19,"=")))))</f>
        <v>5</v>
      </c>
      <c r="EP21">
        <f>IF(Evalucion!EQ19=Datos!$C$15,Datos!$D$15,IF(Evalucion!EQ19=Datos!$C$16,Datos!$D$16,IF(Evalucion!EQ19=Datos!$C$17,Datos!$D$17,IF(Evalucion!EQ19=Datos!$C$18,Datos!$D$18,IF(Evalucion!EQ19=Datos!$C$19,Datos!$D$19,"=")))))</f>
        <v>5</v>
      </c>
      <c r="EQ21">
        <f>IF(Evalucion!ER19=Datos!$C$15,Datos!$D$15,IF(Evalucion!ER19=Datos!$C$16,Datos!$D$16,IF(Evalucion!ER19=Datos!$C$17,Datos!$D$17,IF(Evalucion!ER19=Datos!$C$18,Datos!$D$18,IF(Evalucion!ER19=Datos!$C$19,Datos!$D$19,"=")))))</f>
        <v>5</v>
      </c>
      <c r="ER21">
        <f>IF(Evalucion!ES19=Datos!$C$15,Datos!$D$15,IF(Evalucion!ES19=Datos!$C$16,Datos!$D$16,IF(Evalucion!ES19=Datos!$C$17,Datos!$D$17,IF(Evalucion!ES19=Datos!$C$18,Datos!$D$18,IF(Evalucion!ES19=Datos!$C$19,Datos!$D$19,"=")))))</f>
        <v>5</v>
      </c>
      <c r="ES21">
        <f>IF(Evalucion!ET19=Datos!$C$15,Datos!$D$15,IF(Evalucion!ET19=Datos!$C$16,Datos!$D$16,IF(Evalucion!ET19=Datos!$C$17,Datos!$D$17,IF(Evalucion!ET19=Datos!$C$18,Datos!$D$18,IF(Evalucion!ET19=Datos!$C$19,Datos!$D$19,"=")))))</f>
        <v>5</v>
      </c>
      <c r="ET21">
        <f>IF(Evalucion!EU19=Datos!$C$15,Datos!$D$15,IF(Evalucion!EU19=Datos!$C$16,Datos!$D$16,IF(Evalucion!EU19=Datos!$C$17,Datos!$D$17,IF(Evalucion!EU19=Datos!$C$18,Datos!$D$18,IF(Evalucion!EU19=Datos!$C$19,Datos!$D$19,"=")))))</f>
        <v>5</v>
      </c>
      <c r="EU21">
        <f>IF(Evalucion!EV19=Datos!$C$15,Datos!$D$15,IF(Evalucion!EV19=Datos!$C$16,Datos!$D$16,IF(Evalucion!EV19=Datos!$C$17,Datos!$D$17,IF(Evalucion!EV19=Datos!$C$18,Datos!$D$18,IF(Evalucion!EV19=Datos!$C$19,Datos!$D$19,"=")))))</f>
        <v>3</v>
      </c>
      <c r="EV21">
        <f>IF(Evalucion!EW19=Datos!$C$15,Datos!$D$15,IF(Evalucion!EW19=Datos!$C$16,Datos!$D$16,IF(Evalucion!EW19=Datos!$C$17,Datos!$D$17,IF(Evalucion!EW19=Datos!$C$18,Datos!$D$18,IF(Evalucion!EW19=Datos!$C$19,Datos!$D$19,"=")))))</f>
        <v>5</v>
      </c>
      <c r="EW21">
        <f>IF(Evalucion!EX19=Datos!$C$15,Datos!$D$15,IF(Evalucion!EX19=Datos!$C$16,Datos!$D$16,IF(Evalucion!EX19=Datos!$C$17,Datos!$D$17,IF(Evalucion!EX19=Datos!$C$18,Datos!$D$18,IF(Evalucion!EX19=Datos!$C$19,Datos!$D$19,"=")))))</f>
        <v>5</v>
      </c>
      <c r="EX21">
        <f>IF(Evalucion!EY19=Datos!$C$15,Datos!$D$15,IF(Evalucion!EY19=Datos!$C$16,Datos!$D$16,IF(Evalucion!EY19=Datos!$C$17,Datos!$D$17,IF(Evalucion!EY19=Datos!$C$18,Datos!$D$18,IF(Evalucion!EY19=Datos!$C$19,Datos!$D$19,"=")))))</f>
        <v>5</v>
      </c>
      <c r="EY21">
        <f>IF(Evalucion!EZ19=Datos!$C$15,Datos!$D$15,IF(Evalucion!EZ19=Datos!$C$16,Datos!$D$16,IF(Evalucion!EZ19=Datos!$C$17,Datos!$D$17,IF(Evalucion!EZ19=Datos!$C$18,Datos!$D$18,IF(Evalucion!EZ19=Datos!$C$19,Datos!$D$19,"=")))))</f>
        <v>3</v>
      </c>
      <c r="FA21">
        <f t="shared" ref="FA21:FB53" si="8">SUMIF($E$2:$EY$2,FA$3,$E21:$EY21)</f>
        <v>335</v>
      </c>
      <c r="FB21">
        <f t="shared" si="8"/>
        <v>279</v>
      </c>
      <c r="FC21" s="3">
        <f t="shared" si="4"/>
        <v>0.74399999999999999</v>
      </c>
      <c r="FD21" t="str">
        <f t="shared" si="0"/>
        <v>Conf_CR</v>
      </c>
      <c r="FF21">
        <f t="shared" si="5"/>
        <v>614</v>
      </c>
      <c r="FG21">
        <f t="shared" si="6"/>
        <v>0</v>
      </c>
    </row>
    <row r="22" spans="1:163" x14ac:dyDescent="0.2">
      <c r="A22">
        <f t="shared" si="7"/>
        <v>19</v>
      </c>
      <c r="B22" t="s">
        <v>264</v>
      </c>
      <c r="C22" t="s">
        <v>194</v>
      </c>
      <c r="D22" s="6">
        <v>43493</v>
      </c>
      <c r="E22">
        <f>IF(Evalucion!F20=Datos!$C$15,Datos!$D$15,IF(Evalucion!F20=Datos!$C$16,Datos!$D$16,IF(Evalucion!F20=Datos!$C$17,Datos!$D$17,IF(Evalucion!F20=Datos!$C$18,Datos!$D$18,IF(Evalucion!F20=Datos!$C$19,Datos!$D$19,"=")))))</f>
        <v>5</v>
      </c>
      <c r="F22">
        <f>IF(Evalucion!G20=Datos!$C$15,Datos!$D$15,IF(Evalucion!G20=Datos!$C$16,Datos!$D$16,IF(Evalucion!G20=Datos!$C$17,Datos!$D$17,IF(Evalucion!G20=Datos!$C$18,Datos!$D$18,IF(Evalucion!G20=Datos!$C$19,Datos!$D$19,"=")))))</f>
        <v>5</v>
      </c>
      <c r="G22">
        <f>IF(Evalucion!H20=Datos!$C$15,Datos!$D$15,IF(Evalucion!H20=Datos!$C$16,Datos!$D$16,IF(Evalucion!H20=Datos!$C$17,Datos!$D$17,IF(Evalucion!H20=Datos!$C$18,Datos!$D$18,IF(Evalucion!H20=Datos!$C$19,Datos!$D$19,"=")))))</f>
        <v>5</v>
      </c>
      <c r="H22">
        <f>IF(Evalucion!I20=Datos!$C$15,Datos!$D$15,IF(Evalucion!I20=Datos!$C$16,Datos!$D$16,IF(Evalucion!I20=Datos!$C$17,Datos!$D$17,IF(Evalucion!I20=Datos!$C$18,Datos!$D$18,IF(Evalucion!I20=Datos!$C$19,Datos!$D$19,"=")))))</f>
        <v>1</v>
      </c>
      <c r="I22">
        <f>IF(Evalucion!J20=Datos!$C$15,Datos!$D$15,IF(Evalucion!J20=Datos!$C$16,Datos!$D$16,IF(Evalucion!J20=Datos!$C$17,Datos!$D$17,IF(Evalucion!J20=Datos!$C$18,Datos!$D$18,IF(Evalucion!J20=Datos!$C$19,Datos!$D$19,"=")))))</f>
        <v>1</v>
      </c>
      <c r="J22">
        <f>IF(Evalucion!K20=Datos!$C$15,Datos!$D$15,IF(Evalucion!K20=Datos!$C$16,Datos!$D$16,IF(Evalucion!K20=Datos!$C$17,Datos!$D$17,IF(Evalucion!K20=Datos!$C$18,Datos!$D$18,IF(Evalucion!K20=Datos!$C$19,Datos!$D$19,"=")))))</f>
        <v>1</v>
      </c>
      <c r="K22">
        <f>IF(Evalucion!L20=Datos!$C$15,Datos!$D$15,IF(Evalucion!L20=Datos!$C$16,Datos!$D$16,IF(Evalucion!L20=Datos!$C$17,Datos!$D$17,IF(Evalucion!L20=Datos!$C$18,Datos!$D$18,IF(Evalucion!L20=Datos!$C$19,Datos!$D$19,"=")))))</f>
        <v>5</v>
      </c>
      <c r="L22">
        <f>IF(Evalucion!M20=Datos!$C$15,Datos!$D$15,IF(Evalucion!M20=Datos!$C$16,Datos!$D$16,IF(Evalucion!M20=Datos!$C$17,Datos!$D$17,IF(Evalucion!M20=Datos!$C$18,Datos!$D$18,IF(Evalucion!M20=Datos!$C$19,Datos!$D$19,"=")))))</f>
        <v>5</v>
      </c>
      <c r="M22">
        <f>IF(Evalucion!N20=Datos!$C$15,Datos!$D$15,IF(Evalucion!N20=Datos!$C$16,Datos!$D$16,IF(Evalucion!N20=Datos!$C$17,Datos!$D$17,IF(Evalucion!N20=Datos!$C$18,Datos!$D$18,IF(Evalucion!N20=Datos!$C$19,Datos!$D$19,"=")))))</f>
        <v>5</v>
      </c>
      <c r="N22">
        <f>IF(Evalucion!O20=Datos!$C$15,Datos!$D$15,IF(Evalucion!O20=Datos!$C$16,Datos!$D$16,IF(Evalucion!O20=Datos!$C$17,Datos!$D$17,IF(Evalucion!O20=Datos!$C$18,Datos!$D$18,IF(Evalucion!O20=Datos!$C$19,Datos!$D$19,"=")))))</f>
        <v>5</v>
      </c>
      <c r="O22">
        <f>IF(Evalucion!P20=Datos!$C$15,Datos!$D$15,IF(Evalucion!P20=Datos!$C$16,Datos!$D$16,IF(Evalucion!P20=Datos!$C$17,Datos!$D$17,IF(Evalucion!P20=Datos!$C$18,Datos!$D$18,IF(Evalucion!P20=Datos!$C$19,Datos!$D$19,"=")))))</f>
        <v>5</v>
      </c>
      <c r="P22">
        <f>IF(Evalucion!Q20=Datos!$C$15,Datos!$D$15,IF(Evalucion!Q20=Datos!$C$16,Datos!$D$16,IF(Evalucion!Q20=Datos!$C$17,Datos!$D$17,IF(Evalucion!Q20=Datos!$C$18,Datos!$D$18,IF(Evalucion!Q20=Datos!$C$19,Datos!$D$19,"=")))))</f>
        <v>5</v>
      </c>
      <c r="Q22">
        <f>IF(Evalucion!R20=Datos!$C$15,Datos!$D$15,IF(Evalucion!R20=Datos!$C$16,Datos!$D$16,IF(Evalucion!R20=Datos!$C$17,Datos!$D$17,IF(Evalucion!R20=Datos!$C$18,Datos!$D$18,IF(Evalucion!R20=Datos!$C$19,Datos!$D$19,"=")))))</f>
        <v>5</v>
      </c>
      <c r="R22">
        <f>IF(Evalucion!S20=Datos!$C$15,Datos!$D$15,IF(Evalucion!S20=Datos!$C$16,Datos!$D$16,IF(Evalucion!S20=Datos!$C$17,Datos!$D$17,IF(Evalucion!S20=Datos!$C$18,Datos!$D$18,IF(Evalucion!S20=Datos!$C$19,Datos!$D$19,"=")))))</f>
        <v>5</v>
      </c>
      <c r="S22">
        <f>IF(Evalucion!T20=Datos!$C$15,Datos!$D$15,IF(Evalucion!T20=Datos!$C$16,Datos!$D$16,IF(Evalucion!T20=Datos!$C$17,Datos!$D$17,IF(Evalucion!T20=Datos!$C$18,Datos!$D$18,IF(Evalucion!T20=Datos!$C$19,Datos!$D$19,"=")))))</f>
        <v>5</v>
      </c>
      <c r="T22">
        <f>IF(Evalucion!U20=Datos!$C$15,Datos!$D$15,IF(Evalucion!U20=Datos!$C$16,Datos!$D$16,IF(Evalucion!U20=Datos!$C$17,Datos!$D$17,IF(Evalucion!U20=Datos!$C$18,Datos!$D$18,IF(Evalucion!U20=Datos!$C$19,Datos!$D$19,"=")))))</f>
        <v>5</v>
      </c>
      <c r="U22">
        <f>IF(Evalucion!V20=Datos!$C$15,Datos!$D$15,IF(Evalucion!V20=Datos!$C$16,Datos!$D$16,IF(Evalucion!V20=Datos!$C$17,Datos!$D$17,IF(Evalucion!V20=Datos!$C$18,Datos!$D$18,IF(Evalucion!V20=Datos!$C$19,Datos!$D$19,"=")))))</f>
        <v>5</v>
      </c>
      <c r="V22">
        <f>IF(Evalucion!W20=Datos!$C$15,Datos!$D$15,IF(Evalucion!W20=Datos!$C$16,Datos!$D$16,IF(Evalucion!W20=Datos!$C$17,Datos!$D$17,IF(Evalucion!W20=Datos!$C$18,Datos!$D$18,IF(Evalucion!W20=Datos!$C$19,Datos!$D$19,"=")))))</f>
        <v>5</v>
      </c>
      <c r="W22">
        <f>IF(Evalucion!X20=Datos!$C$15,Datos!$D$15,IF(Evalucion!X20=Datos!$C$16,Datos!$D$16,IF(Evalucion!X20=Datos!$C$17,Datos!$D$17,IF(Evalucion!X20=Datos!$C$18,Datos!$D$18,IF(Evalucion!X20=Datos!$C$19,Datos!$D$19,"=")))))</f>
        <v>5</v>
      </c>
      <c r="X22">
        <f>IF(Evalucion!Y20=Datos!$C$15,Datos!$D$15,IF(Evalucion!Y20=Datos!$C$16,Datos!$D$16,IF(Evalucion!Y20=Datos!$C$17,Datos!$D$17,IF(Evalucion!Y20=Datos!$C$18,Datos!$D$18,IF(Evalucion!Y20=Datos!$C$19,Datos!$D$19,"=")))))</f>
        <v>5</v>
      </c>
      <c r="Y22">
        <f>IF(Evalucion!Z20=Datos!$C$15,Datos!$D$15,IF(Evalucion!Z20=Datos!$C$16,Datos!$D$16,IF(Evalucion!Z20=Datos!$C$17,Datos!$D$17,IF(Evalucion!Z20=Datos!$C$18,Datos!$D$18,IF(Evalucion!Z20=Datos!$C$19,Datos!$D$19,"=")))))</f>
        <v>5</v>
      </c>
      <c r="Z22">
        <f>IF(Evalucion!AA20=Datos!$C$15,Datos!$D$15,IF(Evalucion!AA20=Datos!$C$16,Datos!$D$16,IF(Evalucion!AA20=Datos!$C$17,Datos!$D$17,IF(Evalucion!AA20=Datos!$C$18,Datos!$D$18,IF(Evalucion!AA20=Datos!$C$19,Datos!$D$19,"=")))))</f>
        <v>5</v>
      </c>
      <c r="AA22">
        <f>IF(Evalucion!AB20=Datos!$C$15,Datos!$D$15,IF(Evalucion!AB20=Datos!$C$16,Datos!$D$16,IF(Evalucion!AB20=Datos!$C$17,Datos!$D$17,IF(Evalucion!AB20=Datos!$C$18,Datos!$D$18,IF(Evalucion!AB20=Datos!$C$19,Datos!$D$19,"=")))))</f>
        <v>5</v>
      </c>
      <c r="AB22">
        <f>IF(Evalucion!AC20=Datos!$C$15,Datos!$D$15,IF(Evalucion!AC20=Datos!$C$16,Datos!$D$16,IF(Evalucion!AC20=Datos!$C$17,Datos!$D$17,IF(Evalucion!AC20=Datos!$C$18,Datos!$D$18,IF(Evalucion!AC20=Datos!$C$19,Datos!$D$19,"=")))))</f>
        <v>5</v>
      </c>
      <c r="AC22">
        <f>IF(Evalucion!AD20=Datos!$C$15,Datos!$D$15,IF(Evalucion!AD20=Datos!$C$16,Datos!$D$16,IF(Evalucion!AD20=Datos!$C$17,Datos!$D$17,IF(Evalucion!AD20=Datos!$C$18,Datos!$D$18,IF(Evalucion!AD20=Datos!$C$19,Datos!$D$19,"=")))))</f>
        <v>5</v>
      </c>
      <c r="AD22">
        <f>IF(Evalucion!AE20=Datos!$C$15,Datos!$D$15,IF(Evalucion!AE20=Datos!$C$16,Datos!$D$16,IF(Evalucion!AE20=Datos!$C$17,Datos!$D$17,IF(Evalucion!AE20=Datos!$C$18,Datos!$D$18,IF(Evalucion!AE20=Datos!$C$19,Datos!$D$19,"=")))))</f>
        <v>3</v>
      </c>
      <c r="AE22">
        <f>IF(Evalucion!AF20=Datos!$C$15,Datos!$D$15,IF(Evalucion!AF20=Datos!$C$16,Datos!$D$16,IF(Evalucion!AF20=Datos!$C$17,Datos!$D$17,IF(Evalucion!AF20=Datos!$C$18,Datos!$D$18,IF(Evalucion!AF20=Datos!$C$19,Datos!$D$19,"=")))))</f>
        <v>5</v>
      </c>
      <c r="AF22">
        <f>IF(Evalucion!AG20=Datos!$C$15,Datos!$D$15,IF(Evalucion!AG20=Datos!$C$16,Datos!$D$16,IF(Evalucion!AG20=Datos!$C$17,Datos!$D$17,IF(Evalucion!AG20=Datos!$C$18,Datos!$D$18,IF(Evalucion!AG20=Datos!$C$19,Datos!$D$19,"=")))))</f>
        <v>5</v>
      </c>
      <c r="AO22">
        <f>IF(Evalucion!AP20=Datos!$C$15,Datos!$D$15,IF(Evalucion!AP20=Datos!$C$16,Datos!$D$16,IF(Evalucion!AP20=Datos!$C$17,Datos!$D$17,IF(Evalucion!AP20=Datos!$C$18,Datos!$D$18,IF(Evalucion!AP20=Datos!$C$19,Datos!$D$19,"=")))))</f>
        <v>5</v>
      </c>
      <c r="AP22">
        <f>IF(Evalucion!AQ20=Datos!$C$15,Datos!$D$15,IF(Evalucion!AQ20=Datos!$C$16,Datos!$D$16,IF(Evalucion!AQ20=Datos!$C$17,Datos!$D$17,IF(Evalucion!AQ20=Datos!$C$18,Datos!$D$18,IF(Evalucion!AQ20=Datos!$C$19,Datos!$D$19,"=")))))</f>
        <v>3</v>
      </c>
      <c r="AQ22">
        <f>IF(Evalucion!AR20=Datos!$C$15,Datos!$D$15,IF(Evalucion!AR20=Datos!$C$16,Datos!$D$16,IF(Evalucion!AR20=Datos!$C$17,Datos!$D$17,IF(Evalucion!AR20=Datos!$C$18,Datos!$D$18,IF(Evalucion!AR20=Datos!$C$19,Datos!$D$19,"=")))))</f>
        <v>1</v>
      </c>
      <c r="AR22">
        <f>IF(Evalucion!AS20=Datos!$C$15,Datos!$D$15,IF(Evalucion!AS20=Datos!$C$16,Datos!$D$16,IF(Evalucion!AS20=Datos!$C$17,Datos!$D$17,IF(Evalucion!AS20=Datos!$C$18,Datos!$D$18,IF(Evalucion!AS20=Datos!$C$19,Datos!$D$19,"=")))))</f>
        <v>1</v>
      </c>
      <c r="AS22">
        <f>IF(Evalucion!AT20=Datos!$C$15,Datos!$D$15,IF(Evalucion!AT20=Datos!$C$16,Datos!$D$16,IF(Evalucion!AT20=Datos!$C$17,Datos!$D$17,IF(Evalucion!AT20=Datos!$C$18,Datos!$D$18,IF(Evalucion!AT20=Datos!$C$19,Datos!$D$19,"=")))))</f>
        <v>5</v>
      </c>
      <c r="AT22">
        <f>IF(Evalucion!AU20=Datos!$C$15,Datos!$D$15,IF(Evalucion!AU20=Datos!$C$16,Datos!$D$16,IF(Evalucion!AU20=Datos!$C$17,Datos!$D$17,IF(Evalucion!AU20=Datos!$C$18,Datos!$D$18,IF(Evalucion!AU20=Datos!$C$19,Datos!$D$19,"=")))))</f>
        <v>5</v>
      </c>
      <c r="AV22">
        <f>IF(Evalucion!AW20=Datos!$C$15,Datos!$D$15,IF(Evalucion!AW20=Datos!$C$16,Datos!$D$16,IF(Evalucion!AW20=Datos!$C$17,Datos!$D$17,IF(Evalucion!AW20=Datos!$C$18,Datos!$D$18,IF(Evalucion!AW20=Datos!$C$19,Datos!$D$19,"=")))))</f>
        <v>5</v>
      </c>
      <c r="AW22">
        <f>IF(Evalucion!AX20=Datos!$C$15,Datos!$D$15,IF(Evalucion!AX20=Datos!$C$16,Datos!$D$16,IF(Evalucion!AX20=Datos!$C$17,Datos!$D$17,IF(Evalucion!AX20=Datos!$C$18,Datos!$D$18,IF(Evalucion!AX20=Datos!$C$19,Datos!$D$19,"=")))))</f>
        <v>5</v>
      </c>
      <c r="AX22">
        <f>IF(Evalucion!AY20=Datos!$C$15,Datos!$D$15,IF(Evalucion!AY20=Datos!$C$16,Datos!$D$16,IF(Evalucion!AY20=Datos!$C$17,Datos!$D$17,IF(Evalucion!AY20=Datos!$C$18,Datos!$D$18,IF(Evalucion!AY20=Datos!$C$19,Datos!$D$19,"=")))))</f>
        <v>5</v>
      </c>
      <c r="AY22">
        <f>IF(Evalucion!AZ20=Datos!$C$15,Datos!$D$15,IF(Evalucion!AZ20=Datos!$C$16,Datos!$D$16,IF(Evalucion!AZ20=Datos!$C$17,Datos!$D$17,IF(Evalucion!AZ20=Datos!$C$18,Datos!$D$18,IF(Evalucion!AZ20=Datos!$C$19,Datos!$D$19,"=")))))</f>
        <v>5</v>
      </c>
      <c r="AZ22">
        <f>IF(Evalucion!BA20=Datos!$C$15,Datos!$D$15,IF(Evalucion!BA20=Datos!$C$16,Datos!$D$16,IF(Evalucion!BA20=Datos!$C$17,Datos!$D$17,IF(Evalucion!BA20=Datos!$C$18,Datos!$D$18,IF(Evalucion!BA20=Datos!$C$19,Datos!$D$19,"=")))))</f>
        <v>5</v>
      </c>
      <c r="BA22">
        <f>IF(Evalucion!BB20=Datos!$C$15,Datos!$D$15,IF(Evalucion!BB20=Datos!$C$16,Datos!$D$16,IF(Evalucion!BB20=Datos!$C$17,Datos!$D$17,IF(Evalucion!BB20=Datos!$C$18,Datos!$D$18,IF(Evalucion!BB20=Datos!$C$19,Datos!$D$19,"=")))))</f>
        <v>5</v>
      </c>
      <c r="BB22">
        <f>IF(Evalucion!BC20=Datos!$C$15,Datos!$D$15,IF(Evalucion!BC20=Datos!$C$16,Datos!$D$16,IF(Evalucion!BC20=Datos!$C$17,Datos!$D$17,IF(Evalucion!BC20=Datos!$C$18,Datos!$D$18,IF(Evalucion!BC20=Datos!$C$19,Datos!$D$19,"=")))))</f>
        <v>5</v>
      </c>
      <c r="BC22">
        <f>IF(Evalucion!BD20=Datos!$C$15,Datos!$D$15,IF(Evalucion!BD20=Datos!$C$16,Datos!$D$16,IF(Evalucion!BD20=Datos!$C$17,Datos!$D$17,IF(Evalucion!BD20=Datos!$C$18,Datos!$D$18,IF(Evalucion!BD20=Datos!$C$19,Datos!$D$19,"=")))))</f>
        <v>3</v>
      </c>
      <c r="BD22">
        <f>IF(Evalucion!BE20=Datos!$C$15,Datos!$D$15,IF(Evalucion!BE20=Datos!$C$16,Datos!$D$16,IF(Evalucion!BE20=Datos!$C$17,Datos!$D$17,IF(Evalucion!BE20=Datos!$C$18,Datos!$D$18,IF(Evalucion!BE20=Datos!$C$19,Datos!$D$19,"=")))))</f>
        <v>5</v>
      </c>
      <c r="BE22">
        <f>IF(Evalucion!BF20=Datos!$C$15,Datos!$D$15,IF(Evalucion!BF20=Datos!$C$16,Datos!$D$16,IF(Evalucion!BF20=Datos!$C$17,Datos!$D$17,IF(Evalucion!BF20=Datos!$C$18,Datos!$D$18,IF(Evalucion!BF20=Datos!$C$19,Datos!$D$19,"=")))))</f>
        <v>1</v>
      </c>
      <c r="BF22">
        <f>IF(Evalucion!BG20=Datos!$C$15,Datos!$D$15,IF(Evalucion!BG20=Datos!$C$16,Datos!$D$16,IF(Evalucion!BG20=Datos!$C$17,Datos!$D$17,IF(Evalucion!BG20=Datos!$C$18,Datos!$D$18,IF(Evalucion!BG20=Datos!$C$19,Datos!$D$19,"=")))))</f>
        <v>5</v>
      </c>
      <c r="BG22">
        <f>IF(Evalucion!BH20=Datos!$C$15,Datos!$D$15,IF(Evalucion!BH20=Datos!$C$16,Datos!$D$16,IF(Evalucion!BH20=Datos!$C$17,Datos!$D$17,IF(Evalucion!BH20=Datos!$C$18,Datos!$D$18,IF(Evalucion!BH20=Datos!$C$19,Datos!$D$19,"=")))))</f>
        <v>5</v>
      </c>
      <c r="BH22">
        <f>IF(Evalucion!BI20=Datos!$C$15,Datos!$D$15,IF(Evalucion!BI20=Datos!$C$16,Datos!$D$16,IF(Evalucion!BI20=Datos!$C$17,Datos!$D$17,IF(Evalucion!BI20=Datos!$C$18,Datos!$D$18,IF(Evalucion!BI20=Datos!$C$19,Datos!$D$19,"=")))))</f>
        <v>5</v>
      </c>
      <c r="BI22">
        <f>IF(Evalucion!BJ20=Datos!$C$15,Datos!$D$15,IF(Evalucion!BJ20=Datos!$C$16,Datos!$D$16,IF(Evalucion!BJ20=Datos!$C$17,Datos!$D$17,IF(Evalucion!BJ20=Datos!$C$18,Datos!$D$18,IF(Evalucion!BJ20=Datos!$C$19,Datos!$D$19,"=")))))</f>
        <v>5</v>
      </c>
      <c r="BJ22">
        <f>IF(Evalucion!BK20=Datos!$C$15,Datos!$D$15,IF(Evalucion!BK20=Datos!$C$16,Datos!$D$16,IF(Evalucion!BK20=Datos!$C$17,Datos!$D$17,IF(Evalucion!BK20=Datos!$C$18,Datos!$D$18,IF(Evalucion!BK20=Datos!$C$19,Datos!$D$19,"=")))))</f>
        <v>5</v>
      </c>
      <c r="BK22">
        <f>IF(Evalucion!BL20=Datos!$C$15,Datos!$D$15,IF(Evalucion!BL20=Datos!$C$16,Datos!$D$16,IF(Evalucion!BL20=Datos!$C$17,Datos!$D$17,IF(Evalucion!BL20=Datos!$C$18,Datos!$D$18,IF(Evalucion!BL20=Datos!$C$19,Datos!$D$19,"=")))))</f>
        <v>5</v>
      </c>
      <c r="BL22">
        <f>IF(Evalucion!BM20=Datos!$C$15,Datos!$D$15,IF(Evalucion!BM20=Datos!$C$16,Datos!$D$16,IF(Evalucion!BM20=Datos!$C$17,Datos!$D$17,IF(Evalucion!BM20=Datos!$C$18,Datos!$D$18,IF(Evalucion!BM20=Datos!$C$19,Datos!$D$19,"=")))))</f>
        <v>5</v>
      </c>
      <c r="BM22">
        <f>IF(Evalucion!BN20=Datos!$C$15,Datos!$D$15,IF(Evalucion!BN20=Datos!$C$16,Datos!$D$16,IF(Evalucion!BN20=Datos!$C$17,Datos!$D$17,IF(Evalucion!BN20=Datos!$C$18,Datos!$D$18,IF(Evalucion!BN20=Datos!$C$19,Datos!$D$19,"=")))))</f>
        <v>5</v>
      </c>
      <c r="BN22">
        <f>IF(Evalucion!BO20=Datos!$C$15,Datos!$D$15,IF(Evalucion!BO20=Datos!$C$16,Datos!$D$16,IF(Evalucion!BO20=Datos!$C$17,Datos!$D$17,IF(Evalucion!BO20=Datos!$C$18,Datos!$D$18,IF(Evalucion!BO20=Datos!$C$19,Datos!$D$19,"=")))))</f>
        <v>5</v>
      </c>
      <c r="BO22">
        <f>IF(Evalucion!BP20=Datos!$C$15,Datos!$D$15,IF(Evalucion!BP20=Datos!$C$16,Datos!$D$16,IF(Evalucion!BP20=Datos!$C$17,Datos!$D$17,IF(Evalucion!BP20=Datos!$C$18,Datos!$D$18,IF(Evalucion!BP20=Datos!$C$19,Datos!$D$19,"=")))))</f>
        <v>5</v>
      </c>
      <c r="BP22">
        <f>IF(Evalucion!BQ20=Datos!$C$15,Datos!$D$15,IF(Evalucion!BQ20=Datos!$C$16,Datos!$D$16,IF(Evalucion!BQ20=Datos!$C$17,Datos!$D$17,IF(Evalucion!BQ20=Datos!$C$18,Datos!$D$18,IF(Evalucion!BQ20=Datos!$C$19,Datos!$D$19,"=")))))</f>
        <v>5</v>
      </c>
      <c r="BQ22">
        <f>IF(Evalucion!BR20=Datos!$C$15,Datos!$D$15,IF(Evalucion!BR20=Datos!$C$16,Datos!$D$16,IF(Evalucion!BR20=Datos!$C$17,Datos!$D$17,IF(Evalucion!BR20=Datos!$C$18,Datos!$D$18,IF(Evalucion!BR20=Datos!$C$19,Datos!$D$19,"=")))))</f>
        <v>5</v>
      </c>
      <c r="BR22">
        <f>IF(Evalucion!BS20=Datos!$C$15,Datos!$D$15,IF(Evalucion!BS20=Datos!$C$16,Datos!$D$16,IF(Evalucion!BS20=Datos!$C$17,Datos!$D$17,IF(Evalucion!BS20=Datos!$C$18,Datos!$D$18,IF(Evalucion!BS20=Datos!$C$19,Datos!$D$19,"=")))))</f>
        <v>5</v>
      </c>
      <c r="BS22">
        <f>IF(Evalucion!BT20=Datos!$C$15,Datos!$D$15,IF(Evalucion!BT20=Datos!$C$16,Datos!$D$16,IF(Evalucion!BT20=Datos!$C$17,Datos!$D$17,IF(Evalucion!BT20=Datos!$C$18,Datos!$D$18,IF(Evalucion!BT20=Datos!$C$19,Datos!$D$19,"=")))))</f>
        <v>5</v>
      </c>
      <c r="BT22">
        <f>IF(Evalucion!BU20=Datos!$C$15,Datos!$D$15,IF(Evalucion!BU20=Datos!$C$16,Datos!$D$16,IF(Evalucion!BU20=Datos!$C$17,Datos!$D$17,IF(Evalucion!BU20=Datos!$C$18,Datos!$D$18,IF(Evalucion!BU20=Datos!$C$19,Datos!$D$19,"=")))))</f>
        <v>5</v>
      </c>
      <c r="BU22">
        <f>IF(Evalucion!BV20=Datos!$C$15,Datos!$D$15,IF(Evalucion!BV20=Datos!$C$16,Datos!$D$16,IF(Evalucion!BV20=Datos!$C$17,Datos!$D$17,IF(Evalucion!BV20=Datos!$C$18,Datos!$D$18,IF(Evalucion!BV20=Datos!$C$19,Datos!$D$19,"=")))))</f>
        <v>5</v>
      </c>
      <c r="BV22">
        <f>IF(Evalucion!BW20=Datos!$C$15,Datos!$D$15,IF(Evalucion!BW20=Datos!$C$16,Datos!$D$16,IF(Evalucion!BW20=Datos!$C$17,Datos!$D$17,IF(Evalucion!BW20=Datos!$C$18,Datos!$D$18,IF(Evalucion!BW20=Datos!$C$19,Datos!$D$19,"=")))))</f>
        <v>5</v>
      </c>
      <c r="BW22">
        <f>IF(Evalucion!BX20=Datos!$C$15,Datos!$D$15,IF(Evalucion!BX20=Datos!$C$16,Datos!$D$16,IF(Evalucion!BX20=Datos!$C$17,Datos!$D$17,IF(Evalucion!BX20=Datos!$C$18,Datos!$D$18,IF(Evalucion!BX20=Datos!$C$19,Datos!$D$19,"=")))))</f>
        <v>5</v>
      </c>
      <c r="BX22">
        <f>IF(Evalucion!BY20=Datos!$C$15,Datos!$D$15,IF(Evalucion!BY20=Datos!$C$16,Datos!$D$16,IF(Evalucion!BY20=Datos!$C$17,Datos!$D$17,IF(Evalucion!BY20=Datos!$C$18,Datos!$D$18,IF(Evalucion!BY20=Datos!$C$19,Datos!$D$19,"=")))))</f>
        <v>5</v>
      </c>
      <c r="BY22">
        <f>IF(Evalucion!BZ20=Datos!$C$15,Datos!$D$15,IF(Evalucion!BZ20=Datos!$C$16,Datos!$D$16,IF(Evalucion!BZ20=Datos!$C$17,Datos!$D$17,IF(Evalucion!BZ20=Datos!$C$18,Datos!$D$18,IF(Evalucion!BZ20=Datos!$C$19,Datos!$D$19,"=")))))</f>
        <v>5</v>
      </c>
      <c r="BZ22">
        <f>IF(Evalucion!CA20=Datos!$C$15,Datos!$D$15,IF(Evalucion!CA20=Datos!$C$16,Datos!$D$16,IF(Evalucion!CA20=Datos!$C$17,Datos!$D$17,IF(Evalucion!CA20=Datos!$C$18,Datos!$D$18,IF(Evalucion!CA20=Datos!$C$19,Datos!$D$19,"=")))))</f>
        <v>5</v>
      </c>
      <c r="CA22">
        <f>IF(Evalucion!CB20=Datos!$C$15,Datos!$D$15,IF(Evalucion!CB20=Datos!$C$16,Datos!$D$16,IF(Evalucion!CB20=Datos!$C$17,Datos!$D$17,IF(Evalucion!CB20=Datos!$C$18,Datos!$D$18,IF(Evalucion!CB20=Datos!$C$19,Datos!$D$19,"=")))))</f>
        <v>5</v>
      </c>
      <c r="CB22">
        <f>IF(Evalucion!CC20=Datos!$C$15,Datos!$D$15,IF(Evalucion!CC20=Datos!$C$16,Datos!$D$16,IF(Evalucion!CC20=Datos!$C$17,Datos!$D$17,IF(Evalucion!CC20=Datos!$C$18,Datos!$D$18,IF(Evalucion!CC20=Datos!$C$19,Datos!$D$19,"=")))))</f>
        <v>5</v>
      </c>
      <c r="CC22">
        <f>IF(Evalucion!CD20=Datos!$C$15,Datos!$D$15,IF(Evalucion!CD20=Datos!$C$16,Datos!$D$16,IF(Evalucion!CD20=Datos!$C$17,Datos!$D$17,IF(Evalucion!CD20=Datos!$C$18,Datos!$D$18,IF(Evalucion!CD20=Datos!$C$19,Datos!$D$19,"=")))))</f>
        <v>5</v>
      </c>
      <c r="CD22">
        <f>IF(Evalucion!CE20=Datos!$C$15,Datos!$D$15,IF(Evalucion!CE20=Datos!$C$16,Datos!$D$16,IF(Evalucion!CE20=Datos!$C$17,Datos!$D$17,IF(Evalucion!CE20=Datos!$C$18,Datos!$D$18,IF(Evalucion!CE20=Datos!$C$19,Datos!$D$19,"=")))))</f>
        <v>5</v>
      </c>
      <c r="CE22">
        <f>IF(Evalucion!CF20=Datos!$C$15,Datos!$D$15,IF(Evalucion!CF20=Datos!$C$16,Datos!$D$16,IF(Evalucion!CF20=Datos!$C$17,Datos!$D$17,IF(Evalucion!CF20=Datos!$C$18,Datos!$D$18,IF(Evalucion!CF20=Datos!$C$19,Datos!$D$19,"=")))))</f>
        <v>3</v>
      </c>
      <c r="CF22">
        <f>IF(Evalucion!CG20=Datos!$C$15,Datos!$D$15,IF(Evalucion!CG20=Datos!$C$16,Datos!$D$16,IF(Evalucion!CG20=Datos!$C$17,Datos!$D$17,IF(Evalucion!CG20=Datos!$C$18,Datos!$D$18,IF(Evalucion!CG20=Datos!$C$19,Datos!$D$19,"=")))))</f>
        <v>5</v>
      </c>
      <c r="CG22">
        <f>IF(Evalucion!CH20=Datos!$C$15,Datos!$D$15,IF(Evalucion!CH20=Datos!$C$16,Datos!$D$16,IF(Evalucion!CH20=Datos!$C$17,Datos!$D$17,IF(Evalucion!CH20=Datos!$C$18,Datos!$D$18,IF(Evalucion!CH20=Datos!$C$19,Datos!$D$19,"=")))))</f>
        <v>3</v>
      </c>
      <c r="CH22">
        <f>IF(Evalucion!CI20=Datos!$C$15,Datos!$D$15,IF(Evalucion!CI20=Datos!$C$16,Datos!$D$16,IF(Evalucion!CI20=Datos!$C$17,Datos!$D$17,IF(Evalucion!CI20=Datos!$C$18,Datos!$D$18,IF(Evalucion!CI20=Datos!$C$19,Datos!$D$19,"=")))))</f>
        <v>1</v>
      </c>
      <c r="CI22">
        <f>IF(Evalucion!CJ20=Datos!$C$15,Datos!$D$15,IF(Evalucion!CJ20=Datos!$C$16,Datos!$D$16,IF(Evalucion!CJ20=Datos!$C$17,Datos!$D$17,IF(Evalucion!CJ20=Datos!$C$18,Datos!$D$18,IF(Evalucion!CJ20=Datos!$C$19,Datos!$D$19,"=")))))</f>
        <v>1</v>
      </c>
      <c r="CJ22">
        <f>IF(Evalucion!CK20=Datos!$C$15,Datos!$D$15,IF(Evalucion!CK20=Datos!$C$16,Datos!$D$16,IF(Evalucion!CK20=Datos!$C$17,Datos!$D$17,IF(Evalucion!CK20=Datos!$C$18,Datos!$D$18,IF(Evalucion!CK20=Datos!$C$19,Datos!$D$19,"=")))))</f>
        <v>5</v>
      </c>
      <c r="CK22">
        <f>IF(Evalucion!CL20=Datos!$C$15,Datos!$D$15,IF(Evalucion!CL20=Datos!$C$16,Datos!$D$16,IF(Evalucion!CL20=Datos!$C$17,Datos!$D$17,IF(Evalucion!CL20=Datos!$C$18,Datos!$D$18,IF(Evalucion!CL20=Datos!$C$19,Datos!$D$19,"=")))))</f>
        <v>5</v>
      </c>
      <c r="CL22">
        <f>IF(Evalucion!CM20=Datos!$C$15,Datos!$D$15,IF(Evalucion!CM20=Datos!$C$16,Datos!$D$16,IF(Evalucion!CM20=Datos!$C$17,Datos!$D$17,IF(Evalucion!CM20=Datos!$C$18,Datos!$D$18,IF(Evalucion!CM20=Datos!$C$19,Datos!$D$19,"=")))))</f>
        <v>5</v>
      </c>
      <c r="CM22">
        <f>IF(Evalucion!CN20=Datos!$C$15,Datos!$D$15,IF(Evalucion!CN20=Datos!$C$16,Datos!$D$16,IF(Evalucion!CN20=Datos!$C$17,Datos!$D$17,IF(Evalucion!CN20=Datos!$C$18,Datos!$D$18,IF(Evalucion!CN20=Datos!$C$19,Datos!$D$19,"=")))))</f>
        <v>3</v>
      </c>
      <c r="CN22">
        <f>IF(Evalucion!CO20=Datos!$C$15,Datos!$D$15,IF(Evalucion!CO20=Datos!$C$16,Datos!$D$16,IF(Evalucion!CO20=Datos!$C$17,Datos!$D$17,IF(Evalucion!CO20=Datos!$C$18,Datos!$D$18,IF(Evalucion!CO20=Datos!$C$19,Datos!$D$19,"=")))))</f>
        <v>5</v>
      </c>
      <c r="CO22">
        <f>IF(Evalucion!CP20=Datos!$C$15,Datos!$D$15,IF(Evalucion!CP20=Datos!$C$16,Datos!$D$16,IF(Evalucion!CP20=Datos!$C$17,Datos!$D$17,IF(Evalucion!CP20=Datos!$C$18,Datos!$D$18,IF(Evalucion!CP20=Datos!$C$19,Datos!$D$19,"=")))))</f>
        <v>5</v>
      </c>
      <c r="CP22">
        <f>IF(Evalucion!CQ20=Datos!$C$15,Datos!$D$15,IF(Evalucion!CQ20=Datos!$C$16,Datos!$D$16,IF(Evalucion!CQ20=Datos!$C$17,Datos!$D$17,IF(Evalucion!CQ20=Datos!$C$18,Datos!$D$18,IF(Evalucion!CQ20=Datos!$C$19,Datos!$D$19,"=")))))</f>
        <v>5</v>
      </c>
      <c r="CQ22">
        <f>IF(Evalucion!CR20=Datos!$C$15,Datos!$D$15,IF(Evalucion!CR20=Datos!$C$16,Datos!$D$16,IF(Evalucion!CR20=Datos!$C$17,Datos!$D$17,IF(Evalucion!CR20=Datos!$C$18,Datos!$D$18,IF(Evalucion!CR20=Datos!$C$19,Datos!$D$19,"=")))))</f>
        <v>3</v>
      </c>
      <c r="CR22">
        <f>IF(Evalucion!CS20=Datos!$C$15,Datos!$D$15,IF(Evalucion!CS20=Datos!$C$16,Datos!$D$16,IF(Evalucion!CS20=Datos!$C$17,Datos!$D$17,IF(Evalucion!CS20=Datos!$C$18,Datos!$D$18,IF(Evalucion!CS20=Datos!$C$19,Datos!$D$19,"=")))))</f>
        <v>5</v>
      </c>
      <c r="CS22">
        <f>IF(Evalucion!CT20=Datos!$C$15,Datos!$D$15,IF(Evalucion!CT20=Datos!$C$16,Datos!$D$16,IF(Evalucion!CT20=Datos!$C$17,Datos!$D$17,IF(Evalucion!CT20=Datos!$C$18,Datos!$D$18,IF(Evalucion!CT20=Datos!$C$19,Datos!$D$19,"=")))))</f>
        <v>3</v>
      </c>
      <c r="CT22">
        <f>IF(Evalucion!CU20=Datos!$C$15,Datos!$D$15,IF(Evalucion!CU20=Datos!$C$16,Datos!$D$16,IF(Evalucion!CU20=Datos!$C$17,Datos!$D$17,IF(Evalucion!CU20=Datos!$C$18,Datos!$D$18,IF(Evalucion!CU20=Datos!$C$19,Datos!$D$19,"=")))))</f>
        <v>5</v>
      </c>
      <c r="CU22">
        <f>IF(Evalucion!CV20=Datos!$C$15,Datos!$D$15,IF(Evalucion!CV20=Datos!$C$16,Datos!$D$16,IF(Evalucion!CV20=Datos!$C$17,Datos!$D$17,IF(Evalucion!CV20=Datos!$C$18,Datos!$D$18,IF(Evalucion!CV20=Datos!$C$19,Datos!$D$19,"=")))))</f>
        <v>3</v>
      </c>
      <c r="CV22">
        <f>IF(Evalucion!CW20=Datos!$C$15,Datos!$D$15,IF(Evalucion!CW20=Datos!$C$16,Datos!$D$16,IF(Evalucion!CW20=Datos!$C$17,Datos!$D$17,IF(Evalucion!CW20=Datos!$C$18,Datos!$D$18,IF(Evalucion!CW20=Datos!$C$19,Datos!$D$19,"=")))))</f>
        <v>5</v>
      </c>
      <c r="CW22">
        <f>IF(Evalucion!CX20=Datos!$C$15,Datos!$D$15,IF(Evalucion!CX20=Datos!$C$16,Datos!$D$16,IF(Evalucion!CX20=Datos!$C$17,Datos!$D$17,IF(Evalucion!CX20=Datos!$C$18,Datos!$D$18,IF(Evalucion!CX20=Datos!$C$19,Datos!$D$19,"=")))))</f>
        <v>3</v>
      </c>
      <c r="CX22">
        <f>IF(Evalucion!CY20=Datos!$C$15,Datos!$D$15,IF(Evalucion!CY20=Datos!$C$16,Datos!$D$16,IF(Evalucion!CY20=Datos!$C$17,Datos!$D$17,IF(Evalucion!CY20=Datos!$C$18,Datos!$D$18,IF(Evalucion!CY20=Datos!$C$19,Datos!$D$19,"=")))))</f>
        <v>5</v>
      </c>
      <c r="CY22">
        <f>IF(Evalucion!CZ20=Datos!$C$15,Datos!$D$15,IF(Evalucion!CZ20=Datos!$C$16,Datos!$D$16,IF(Evalucion!CZ20=Datos!$C$17,Datos!$D$17,IF(Evalucion!CZ20=Datos!$C$18,Datos!$D$18,IF(Evalucion!CZ20=Datos!$C$19,Datos!$D$19,"=")))))</f>
        <v>3</v>
      </c>
      <c r="CZ22">
        <f>IF(Evalucion!DA20=Datos!$C$15,Datos!$D$15,IF(Evalucion!DA20=Datos!$C$16,Datos!$D$16,IF(Evalucion!DA20=Datos!$C$17,Datos!$D$17,IF(Evalucion!DA20=Datos!$C$18,Datos!$D$18,IF(Evalucion!DA20=Datos!$C$19,Datos!$D$19,"=")))))</f>
        <v>5</v>
      </c>
      <c r="DA22">
        <f>IF(Evalucion!DB20=Datos!$C$15,Datos!$D$15,IF(Evalucion!DB20=Datos!$C$16,Datos!$D$16,IF(Evalucion!DB20=Datos!$C$17,Datos!$D$17,IF(Evalucion!DB20=Datos!$C$18,Datos!$D$18,IF(Evalucion!DB20=Datos!$C$19,Datos!$D$19,"=")))))</f>
        <v>3</v>
      </c>
      <c r="DB22">
        <f>IF(Evalucion!DC20=Datos!$C$15,Datos!$D$15,IF(Evalucion!DC20=Datos!$C$16,Datos!$D$16,IF(Evalucion!DC20=Datos!$C$17,Datos!$D$17,IF(Evalucion!DC20=Datos!$C$18,Datos!$D$18,IF(Evalucion!DC20=Datos!$C$19,Datos!$D$19,"=")))))</f>
        <v>5</v>
      </c>
      <c r="DC22">
        <f>IF(Evalucion!DD20=Datos!$C$15,Datos!$D$15,IF(Evalucion!DD20=Datos!$C$16,Datos!$D$16,IF(Evalucion!DD20=Datos!$C$17,Datos!$D$17,IF(Evalucion!DD20=Datos!$C$18,Datos!$D$18,IF(Evalucion!DD20=Datos!$C$19,Datos!$D$19,"=")))))</f>
        <v>5</v>
      </c>
      <c r="DD22">
        <f>IF(Evalucion!DE20=Datos!$C$15,Datos!$D$15,IF(Evalucion!DE20=Datos!$C$16,Datos!$D$16,IF(Evalucion!DE20=Datos!$C$17,Datos!$D$17,IF(Evalucion!DE20=Datos!$C$18,Datos!$D$18,IF(Evalucion!DE20=Datos!$C$19,Datos!$D$19,"=")))))</f>
        <v>1</v>
      </c>
      <c r="DE22">
        <f>IF(Evalucion!DF20=Datos!$C$15,Datos!$D$15,IF(Evalucion!DF20=Datos!$C$16,Datos!$D$16,IF(Evalucion!DF20=Datos!$C$17,Datos!$D$17,IF(Evalucion!DF20=Datos!$C$18,Datos!$D$18,IF(Evalucion!DF20=Datos!$C$19,Datos!$D$19,"=")))))</f>
        <v>1</v>
      </c>
      <c r="DF22">
        <f>IF(Evalucion!DG20=Datos!$C$15,Datos!$D$15,IF(Evalucion!DG20=Datos!$C$16,Datos!$D$16,IF(Evalucion!DG20=Datos!$C$17,Datos!$D$17,IF(Evalucion!DG20=Datos!$C$18,Datos!$D$18,IF(Evalucion!DG20=Datos!$C$19,Datos!$D$19,"=")))))</f>
        <v>5</v>
      </c>
      <c r="DG22">
        <f>IF(Evalucion!DH20=Datos!$C$15,Datos!$D$15,IF(Evalucion!DH20=Datos!$C$16,Datos!$D$16,IF(Evalucion!DH20=Datos!$C$17,Datos!$D$17,IF(Evalucion!DH20=Datos!$C$18,Datos!$D$18,IF(Evalucion!DH20=Datos!$C$19,Datos!$D$19,"=")))))</f>
        <v>5</v>
      </c>
      <c r="DH22">
        <f>IF(Evalucion!DI20=Datos!$C$15,Datos!$D$15,IF(Evalucion!DI20=Datos!$C$16,Datos!$D$16,IF(Evalucion!DI20=Datos!$C$17,Datos!$D$17,IF(Evalucion!DI20=Datos!$C$18,Datos!$D$18,IF(Evalucion!DI20=Datos!$C$19,Datos!$D$19,"=")))))</f>
        <v>1</v>
      </c>
      <c r="DI22">
        <f>IF(Evalucion!DJ20=Datos!$C$15,Datos!$D$15,IF(Evalucion!DJ20=Datos!$C$16,Datos!$D$16,IF(Evalucion!DJ20=Datos!$C$17,Datos!$D$17,IF(Evalucion!DJ20=Datos!$C$18,Datos!$D$18,IF(Evalucion!DJ20=Datos!$C$19,Datos!$D$19,"=")))))</f>
        <v>1</v>
      </c>
      <c r="DJ22">
        <f>IF(Evalucion!DK20=Datos!$C$15,Datos!$D$15,IF(Evalucion!DK20=Datos!$C$16,Datos!$D$16,IF(Evalucion!DK20=Datos!$C$17,Datos!$D$17,IF(Evalucion!DK20=Datos!$C$18,Datos!$D$18,IF(Evalucion!DK20=Datos!$C$19,Datos!$D$19,"=")))))</f>
        <v>1</v>
      </c>
      <c r="DK22">
        <f>IF(Evalucion!DL20=Datos!$C$15,Datos!$D$15,IF(Evalucion!DL20=Datos!$C$16,Datos!$D$16,IF(Evalucion!DL20=Datos!$C$17,Datos!$D$17,IF(Evalucion!DL20=Datos!$C$18,Datos!$D$18,IF(Evalucion!DL20=Datos!$C$19,Datos!$D$19,"=")))))</f>
        <v>1</v>
      </c>
      <c r="DL22">
        <f>IF(Evalucion!DM20=Datos!$C$15,Datos!$D$15,IF(Evalucion!DM20=Datos!$C$16,Datos!$D$16,IF(Evalucion!DM20=Datos!$C$17,Datos!$D$17,IF(Evalucion!DM20=Datos!$C$18,Datos!$D$18,IF(Evalucion!DM20=Datos!$C$19,Datos!$D$19,"=")))))</f>
        <v>5</v>
      </c>
      <c r="DM22">
        <f>IF(Evalucion!DN20=Datos!$C$15,Datos!$D$15,IF(Evalucion!DN20=Datos!$C$16,Datos!$D$16,IF(Evalucion!DN20=Datos!$C$17,Datos!$D$17,IF(Evalucion!DN20=Datos!$C$18,Datos!$D$18,IF(Evalucion!DN20=Datos!$C$19,Datos!$D$19,"=")))))</f>
        <v>3</v>
      </c>
      <c r="DN22">
        <f>IF(Evalucion!DO20=Datos!$C$15,Datos!$D$15,IF(Evalucion!DO20=Datos!$C$16,Datos!$D$16,IF(Evalucion!DO20=Datos!$C$17,Datos!$D$17,IF(Evalucion!DO20=Datos!$C$18,Datos!$D$18,IF(Evalucion!DO20=Datos!$C$19,Datos!$D$19,"=")))))</f>
        <v>5</v>
      </c>
      <c r="DO22">
        <f>IF(Evalucion!DP20=Datos!$C$15,Datos!$D$15,IF(Evalucion!DP20=Datos!$C$16,Datos!$D$16,IF(Evalucion!DP20=Datos!$C$17,Datos!$D$17,IF(Evalucion!DP20=Datos!$C$18,Datos!$D$18,IF(Evalucion!DP20=Datos!$C$19,Datos!$D$19,"=")))))</f>
        <v>5</v>
      </c>
      <c r="DP22">
        <f>IF(Evalucion!DQ20=Datos!$C$15,Datos!$D$15,IF(Evalucion!DQ20=Datos!$C$16,Datos!$D$16,IF(Evalucion!DQ20=Datos!$C$17,Datos!$D$17,IF(Evalucion!DQ20=Datos!$C$18,Datos!$D$18,IF(Evalucion!DQ20=Datos!$C$19,Datos!$D$19,"=")))))</f>
        <v>5</v>
      </c>
      <c r="DQ22">
        <f>IF(Evalucion!DR20=Datos!$C$15,Datos!$D$15,IF(Evalucion!DR20=Datos!$C$16,Datos!$D$16,IF(Evalucion!DR20=Datos!$C$17,Datos!$D$17,IF(Evalucion!DR20=Datos!$C$18,Datos!$D$18,IF(Evalucion!DR20=Datos!$C$19,Datos!$D$19,"=")))))</f>
        <v>3</v>
      </c>
      <c r="DR22">
        <f>IF(Evalucion!DS20=Datos!$C$15,Datos!$D$15,IF(Evalucion!DS20=Datos!$C$16,Datos!$D$16,IF(Evalucion!DS20=Datos!$C$17,Datos!$D$17,IF(Evalucion!DS20=Datos!$C$18,Datos!$D$18,IF(Evalucion!DS20=Datos!$C$19,Datos!$D$19,"=")))))</f>
        <v>5</v>
      </c>
      <c r="DS22">
        <f>IF(Evalucion!DT20=Datos!$C$15,Datos!$D$15,IF(Evalucion!DT20=Datos!$C$16,Datos!$D$16,IF(Evalucion!DT20=Datos!$C$17,Datos!$D$17,IF(Evalucion!DT20=Datos!$C$18,Datos!$D$18,IF(Evalucion!DT20=Datos!$C$19,Datos!$D$19,"=")))))</f>
        <v>3</v>
      </c>
      <c r="DT22">
        <f>IF(Evalucion!DU20=Datos!$C$15,Datos!$D$15,IF(Evalucion!DU20=Datos!$C$16,Datos!$D$16,IF(Evalucion!DU20=Datos!$C$17,Datos!$D$17,IF(Evalucion!DU20=Datos!$C$18,Datos!$D$18,IF(Evalucion!DU20=Datos!$C$19,Datos!$D$19,"=")))))</f>
        <v>5</v>
      </c>
      <c r="DU22">
        <f>IF(Evalucion!DV20=Datos!$C$15,Datos!$D$15,IF(Evalucion!DV20=Datos!$C$16,Datos!$D$16,IF(Evalucion!DV20=Datos!$C$17,Datos!$D$17,IF(Evalucion!DV20=Datos!$C$18,Datos!$D$18,IF(Evalucion!DV20=Datos!$C$19,Datos!$D$19,"=")))))</f>
        <v>5</v>
      </c>
      <c r="DV22">
        <f>IF(Evalucion!DW20=Datos!$C$15,Datos!$D$15,IF(Evalucion!DW20=Datos!$C$16,Datos!$D$16,IF(Evalucion!DW20=Datos!$C$17,Datos!$D$17,IF(Evalucion!DW20=Datos!$C$18,Datos!$D$18,IF(Evalucion!DW20=Datos!$C$19,Datos!$D$19,"=")))))</f>
        <v>5</v>
      </c>
      <c r="DW22">
        <f>IF(Evalucion!DX20=Datos!$C$15,Datos!$D$15,IF(Evalucion!DX20=Datos!$C$16,Datos!$D$16,IF(Evalucion!DX20=Datos!$C$17,Datos!$D$17,IF(Evalucion!DX20=Datos!$C$18,Datos!$D$18,IF(Evalucion!DX20=Datos!$C$19,Datos!$D$19,"=")))))</f>
        <v>5</v>
      </c>
      <c r="DX22">
        <f>IF(Evalucion!DY20=Datos!$C$15,Datos!$D$15,IF(Evalucion!DY20=Datos!$C$16,Datos!$D$16,IF(Evalucion!DY20=Datos!$C$17,Datos!$D$17,IF(Evalucion!DY20=Datos!$C$18,Datos!$D$18,IF(Evalucion!DY20=Datos!$C$19,Datos!$D$19,"=")))))</f>
        <v>5</v>
      </c>
      <c r="DY22">
        <f>IF(Evalucion!DZ20=Datos!$C$15,Datos!$D$15,IF(Evalucion!DZ20=Datos!$C$16,Datos!$D$16,IF(Evalucion!DZ20=Datos!$C$17,Datos!$D$17,IF(Evalucion!DZ20=Datos!$C$18,Datos!$D$18,IF(Evalucion!DZ20=Datos!$C$19,Datos!$D$19,"=")))))</f>
        <v>1</v>
      </c>
      <c r="DZ22">
        <f>IF(Evalucion!EA20=Datos!$C$15,Datos!$D$15,IF(Evalucion!EA20=Datos!$C$16,Datos!$D$16,IF(Evalucion!EA20=Datos!$C$17,Datos!$D$17,IF(Evalucion!EA20=Datos!$C$18,Datos!$D$18,IF(Evalucion!EA20=Datos!$C$19,Datos!$D$19,"=")))))</f>
        <v>5</v>
      </c>
      <c r="EA22">
        <f>IF(Evalucion!EB20=Datos!$C$15,Datos!$D$15,IF(Evalucion!EB20=Datos!$C$16,Datos!$D$16,IF(Evalucion!EB20=Datos!$C$17,Datos!$D$17,IF(Evalucion!EB20=Datos!$C$18,Datos!$D$18,IF(Evalucion!EB20=Datos!$C$19,Datos!$D$19,"=")))))</f>
        <v>5</v>
      </c>
      <c r="EB22">
        <f>IF(Evalucion!EC20=Datos!$C$15,Datos!$D$15,IF(Evalucion!EC20=Datos!$C$16,Datos!$D$16,IF(Evalucion!EC20=Datos!$C$17,Datos!$D$17,IF(Evalucion!EC20=Datos!$C$18,Datos!$D$18,IF(Evalucion!EC20=Datos!$C$19,Datos!$D$19,"=")))))</f>
        <v>5</v>
      </c>
      <c r="EC22">
        <f>IF(Evalucion!ED20=Datos!$C$15,Datos!$D$15,IF(Evalucion!ED20=Datos!$C$16,Datos!$D$16,IF(Evalucion!ED20=Datos!$C$17,Datos!$D$17,IF(Evalucion!ED20=Datos!$C$18,Datos!$D$18,IF(Evalucion!ED20=Datos!$C$19,Datos!$D$19,"=")))))</f>
        <v>3</v>
      </c>
      <c r="ED22">
        <f>IF(Evalucion!EE20=Datos!$C$15,Datos!$D$15,IF(Evalucion!EE20=Datos!$C$16,Datos!$D$16,IF(Evalucion!EE20=Datos!$C$17,Datos!$D$17,IF(Evalucion!EE20=Datos!$C$18,Datos!$D$18,IF(Evalucion!EE20=Datos!$C$19,Datos!$D$19,"=")))))</f>
        <v>5</v>
      </c>
      <c r="EE22">
        <f>IF(Evalucion!EF20=Datos!$C$15,Datos!$D$15,IF(Evalucion!EF20=Datos!$C$16,Datos!$D$16,IF(Evalucion!EF20=Datos!$C$17,Datos!$D$17,IF(Evalucion!EF20=Datos!$C$18,Datos!$D$18,IF(Evalucion!EF20=Datos!$C$19,Datos!$D$19,"=")))))</f>
        <v>5</v>
      </c>
      <c r="EF22">
        <f>IF(Evalucion!EG20=Datos!$C$15,Datos!$D$15,IF(Evalucion!EG20=Datos!$C$16,Datos!$D$16,IF(Evalucion!EG20=Datos!$C$17,Datos!$D$17,IF(Evalucion!EG20=Datos!$C$18,Datos!$D$18,IF(Evalucion!EG20=Datos!$C$19,Datos!$D$19,"=")))))</f>
        <v>5</v>
      </c>
      <c r="EG22">
        <f>IF(Evalucion!EH20=Datos!$C$15,Datos!$D$15,IF(Evalucion!EH20=Datos!$C$16,Datos!$D$16,IF(Evalucion!EH20=Datos!$C$17,Datos!$D$17,IF(Evalucion!EH20=Datos!$C$18,Datos!$D$18,IF(Evalucion!EH20=Datos!$C$19,Datos!$D$19,"=")))))</f>
        <v>5</v>
      </c>
      <c r="EH22">
        <f>IF(Evalucion!EI20=Datos!$C$15,Datos!$D$15,IF(Evalucion!EI20=Datos!$C$16,Datos!$D$16,IF(Evalucion!EI20=Datos!$C$17,Datos!$D$17,IF(Evalucion!EI20=Datos!$C$18,Datos!$D$18,IF(Evalucion!EI20=Datos!$C$19,Datos!$D$19,"=")))))</f>
        <v>5</v>
      </c>
      <c r="EI22">
        <f>IF(Evalucion!EJ20=Datos!$C$15,Datos!$D$15,IF(Evalucion!EJ20=Datos!$C$16,Datos!$D$16,IF(Evalucion!EJ20=Datos!$C$17,Datos!$D$17,IF(Evalucion!EJ20=Datos!$C$18,Datos!$D$18,IF(Evalucion!EJ20=Datos!$C$19,Datos!$D$19,"=")))))</f>
        <v>5</v>
      </c>
      <c r="EJ22">
        <f>IF(Evalucion!EK20=Datos!$C$15,Datos!$D$15,IF(Evalucion!EK20=Datos!$C$16,Datos!$D$16,IF(Evalucion!EK20=Datos!$C$17,Datos!$D$17,IF(Evalucion!EK20=Datos!$C$18,Datos!$D$18,IF(Evalucion!EK20=Datos!$C$19,Datos!$D$19,"=")))))</f>
        <v>5</v>
      </c>
      <c r="EK22">
        <f>IF(Evalucion!EL20=Datos!$C$15,Datos!$D$15,IF(Evalucion!EL20=Datos!$C$16,Datos!$D$16,IF(Evalucion!EL20=Datos!$C$17,Datos!$D$17,IF(Evalucion!EL20=Datos!$C$18,Datos!$D$18,IF(Evalucion!EL20=Datos!$C$19,Datos!$D$19,"=")))))</f>
        <v>5</v>
      </c>
      <c r="EL22">
        <f>IF(Evalucion!EM20=Datos!$C$15,Datos!$D$15,IF(Evalucion!EM20=Datos!$C$16,Datos!$D$16,IF(Evalucion!EM20=Datos!$C$17,Datos!$D$17,IF(Evalucion!EM20=Datos!$C$18,Datos!$D$18,IF(Evalucion!EM20=Datos!$C$19,Datos!$D$19,"=")))))</f>
        <v>5</v>
      </c>
      <c r="EM22">
        <f>IF(Evalucion!EN20=Datos!$C$15,Datos!$D$15,IF(Evalucion!EN20=Datos!$C$16,Datos!$D$16,IF(Evalucion!EN20=Datos!$C$17,Datos!$D$17,IF(Evalucion!EN20=Datos!$C$18,Datos!$D$18,IF(Evalucion!EN20=Datos!$C$19,Datos!$D$19,"=")))))</f>
        <v>5</v>
      </c>
      <c r="EN22">
        <f>IF(Evalucion!EO20=Datos!$C$15,Datos!$D$15,IF(Evalucion!EO20=Datos!$C$16,Datos!$D$16,IF(Evalucion!EO20=Datos!$C$17,Datos!$D$17,IF(Evalucion!EO20=Datos!$C$18,Datos!$D$18,IF(Evalucion!EO20=Datos!$C$19,Datos!$D$19,"=")))))</f>
        <v>5</v>
      </c>
      <c r="EO22">
        <f>IF(Evalucion!EP20=Datos!$C$15,Datos!$D$15,IF(Evalucion!EP20=Datos!$C$16,Datos!$D$16,IF(Evalucion!EP20=Datos!$C$17,Datos!$D$17,IF(Evalucion!EP20=Datos!$C$18,Datos!$D$18,IF(Evalucion!EP20=Datos!$C$19,Datos!$D$19,"=")))))</f>
        <v>5</v>
      </c>
      <c r="EP22">
        <f>IF(Evalucion!EQ20=Datos!$C$15,Datos!$D$15,IF(Evalucion!EQ20=Datos!$C$16,Datos!$D$16,IF(Evalucion!EQ20=Datos!$C$17,Datos!$D$17,IF(Evalucion!EQ20=Datos!$C$18,Datos!$D$18,IF(Evalucion!EQ20=Datos!$C$19,Datos!$D$19,"=")))))</f>
        <v>5</v>
      </c>
      <c r="EQ22">
        <f>IF(Evalucion!ER20=Datos!$C$15,Datos!$D$15,IF(Evalucion!ER20=Datos!$C$16,Datos!$D$16,IF(Evalucion!ER20=Datos!$C$17,Datos!$D$17,IF(Evalucion!ER20=Datos!$C$18,Datos!$D$18,IF(Evalucion!ER20=Datos!$C$19,Datos!$D$19,"=")))))</f>
        <v>5</v>
      </c>
      <c r="ER22">
        <f>IF(Evalucion!ES20=Datos!$C$15,Datos!$D$15,IF(Evalucion!ES20=Datos!$C$16,Datos!$D$16,IF(Evalucion!ES20=Datos!$C$17,Datos!$D$17,IF(Evalucion!ES20=Datos!$C$18,Datos!$D$18,IF(Evalucion!ES20=Datos!$C$19,Datos!$D$19,"=")))))</f>
        <v>5</v>
      </c>
      <c r="ES22">
        <f>IF(Evalucion!ET20=Datos!$C$15,Datos!$D$15,IF(Evalucion!ET20=Datos!$C$16,Datos!$D$16,IF(Evalucion!ET20=Datos!$C$17,Datos!$D$17,IF(Evalucion!ET20=Datos!$C$18,Datos!$D$18,IF(Evalucion!ET20=Datos!$C$19,Datos!$D$19,"=")))))</f>
        <v>5</v>
      </c>
      <c r="ET22">
        <f>IF(Evalucion!EU20=Datos!$C$15,Datos!$D$15,IF(Evalucion!EU20=Datos!$C$16,Datos!$D$16,IF(Evalucion!EU20=Datos!$C$17,Datos!$D$17,IF(Evalucion!EU20=Datos!$C$18,Datos!$D$18,IF(Evalucion!EU20=Datos!$C$19,Datos!$D$19,"=")))))</f>
        <v>5</v>
      </c>
      <c r="EU22">
        <f>IF(Evalucion!EV20=Datos!$C$15,Datos!$D$15,IF(Evalucion!EV20=Datos!$C$16,Datos!$D$16,IF(Evalucion!EV20=Datos!$C$17,Datos!$D$17,IF(Evalucion!EV20=Datos!$C$18,Datos!$D$18,IF(Evalucion!EV20=Datos!$C$19,Datos!$D$19,"=")))))</f>
        <v>3</v>
      </c>
      <c r="EV22">
        <f>IF(Evalucion!EW20=Datos!$C$15,Datos!$D$15,IF(Evalucion!EW20=Datos!$C$16,Datos!$D$16,IF(Evalucion!EW20=Datos!$C$17,Datos!$D$17,IF(Evalucion!EW20=Datos!$C$18,Datos!$D$18,IF(Evalucion!EW20=Datos!$C$19,Datos!$D$19,"=")))))</f>
        <v>5</v>
      </c>
      <c r="EW22">
        <f>IF(Evalucion!EX20=Datos!$C$15,Datos!$D$15,IF(Evalucion!EX20=Datos!$C$16,Datos!$D$16,IF(Evalucion!EX20=Datos!$C$17,Datos!$D$17,IF(Evalucion!EX20=Datos!$C$18,Datos!$D$18,IF(Evalucion!EX20=Datos!$C$19,Datos!$D$19,"=")))))</f>
        <v>5</v>
      </c>
      <c r="EX22">
        <f>IF(Evalucion!EY20=Datos!$C$15,Datos!$D$15,IF(Evalucion!EY20=Datos!$C$16,Datos!$D$16,IF(Evalucion!EY20=Datos!$C$17,Datos!$D$17,IF(Evalucion!EY20=Datos!$C$18,Datos!$D$18,IF(Evalucion!EY20=Datos!$C$19,Datos!$D$19,"=")))))</f>
        <v>5</v>
      </c>
      <c r="EY22">
        <f>IF(Evalucion!EZ20=Datos!$C$15,Datos!$D$15,IF(Evalucion!EZ20=Datos!$C$16,Datos!$D$16,IF(Evalucion!EZ20=Datos!$C$17,Datos!$D$17,IF(Evalucion!EZ20=Datos!$C$18,Datos!$D$18,IF(Evalucion!EZ20=Datos!$C$19,Datos!$D$19,"=")))))</f>
        <v>3</v>
      </c>
      <c r="FA22">
        <f t="shared" si="8"/>
        <v>331</v>
      </c>
      <c r="FB22">
        <f t="shared" si="8"/>
        <v>283</v>
      </c>
      <c r="FC22" s="3">
        <f t="shared" si="4"/>
        <v>0.75466666666666671</v>
      </c>
      <c r="FD22" t="str">
        <f t="shared" si="0"/>
        <v>Conf_CR</v>
      </c>
      <c r="FF22">
        <f t="shared" si="5"/>
        <v>614</v>
      </c>
      <c r="FG22">
        <f t="shared" si="6"/>
        <v>0</v>
      </c>
    </row>
    <row r="23" spans="1:163" x14ac:dyDescent="0.2">
      <c r="A23">
        <f t="shared" si="7"/>
        <v>20</v>
      </c>
      <c r="B23" t="s">
        <v>259</v>
      </c>
      <c r="C23" t="s">
        <v>194</v>
      </c>
      <c r="D23" s="6">
        <v>43236</v>
      </c>
      <c r="E23">
        <f>IF(Evalucion!F21=Datos!$C$15,Datos!$D$15,IF(Evalucion!F21=Datos!$C$16,Datos!$D$16,IF(Evalucion!F21=Datos!$C$17,Datos!$D$17,IF(Evalucion!F21=Datos!$C$18,Datos!$D$18,IF(Evalucion!F21=Datos!$C$19,Datos!$D$19,"=")))))</f>
        <v>5</v>
      </c>
      <c r="F23">
        <f>IF(Evalucion!G21=Datos!$C$15,Datos!$D$15,IF(Evalucion!G21=Datos!$C$16,Datos!$D$16,IF(Evalucion!G21=Datos!$C$17,Datos!$D$17,IF(Evalucion!G21=Datos!$C$18,Datos!$D$18,IF(Evalucion!G21=Datos!$C$19,Datos!$D$19,"=")))))</f>
        <v>5</v>
      </c>
      <c r="G23">
        <f>IF(Evalucion!H21=Datos!$C$15,Datos!$D$15,IF(Evalucion!H21=Datos!$C$16,Datos!$D$16,IF(Evalucion!H21=Datos!$C$17,Datos!$D$17,IF(Evalucion!H21=Datos!$C$18,Datos!$D$18,IF(Evalucion!H21=Datos!$C$19,Datos!$D$19,"=")))))</f>
        <v>5</v>
      </c>
      <c r="H23">
        <f>IF(Evalucion!I21=Datos!$C$15,Datos!$D$15,IF(Evalucion!I21=Datos!$C$16,Datos!$D$16,IF(Evalucion!I21=Datos!$C$17,Datos!$D$17,IF(Evalucion!I21=Datos!$C$18,Datos!$D$18,IF(Evalucion!I21=Datos!$C$19,Datos!$D$19,"=")))))</f>
        <v>1</v>
      </c>
      <c r="I23">
        <f>IF(Evalucion!J21=Datos!$C$15,Datos!$D$15,IF(Evalucion!J21=Datos!$C$16,Datos!$D$16,IF(Evalucion!J21=Datos!$C$17,Datos!$D$17,IF(Evalucion!J21=Datos!$C$18,Datos!$D$18,IF(Evalucion!J21=Datos!$C$19,Datos!$D$19,"=")))))</f>
        <v>1</v>
      </c>
      <c r="J23">
        <f>IF(Evalucion!K21=Datos!$C$15,Datos!$D$15,IF(Evalucion!K21=Datos!$C$16,Datos!$D$16,IF(Evalucion!K21=Datos!$C$17,Datos!$D$17,IF(Evalucion!K21=Datos!$C$18,Datos!$D$18,IF(Evalucion!K21=Datos!$C$19,Datos!$D$19,"=")))))</f>
        <v>1</v>
      </c>
      <c r="K23">
        <f>IF(Evalucion!L21=Datos!$C$15,Datos!$D$15,IF(Evalucion!L21=Datos!$C$16,Datos!$D$16,IF(Evalucion!L21=Datos!$C$17,Datos!$D$17,IF(Evalucion!L21=Datos!$C$18,Datos!$D$18,IF(Evalucion!L21=Datos!$C$19,Datos!$D$19,"=")))))</f>
        <v>5</v>
      </c>
      <c r="L23">
        <f>IF(Evalucion!M21=Datos!$C$15,Datos!$D$15,IF(Evalucion!M21=Datos!$C$16,Datos!$D$16,IF(Evalucion!M21=Datos!$C$17,Datos!$D$17,IF(Evalucion!M21=Datos!$C$18,Datos!$D$18,IF(Evalucion!M21=Datos!$C$19,Datos!$D$19,"=")))))</f>
        <v>5</v>
      </c>
      <c r="M23">
        <f>IF(Evalucion!N21=Datos!$C$15,Datos!$D$15,IF(Evalucion!N21=Datos!$C$16,Datos!$D$16,IF(Evalucion!N21=Datos!$C$17,Datos!$D$17,IF(Evalucion!N21=Datos!$C$18,Datos!$D$18,IF(Evalucion!N21=Datos!$C$19,Datos!$D$19,"=")))))</f>
        <v>5</v>
      </c>
      <c r="N23">
        <f>IF(Evalucion!O21=Datos!$C$15,Datos!$D$15,IF(Evalucion!O21=Datos!$C$16,Datos!$D$16,IF(Evalucion!O21=Datos!$C$17,Datos!$D$17,IF(Evalucion!O21=Datos!$C$18,Datos!$D$18,IF(Evalucion!O21=Datos!$C$19,Datos!$D$19,"=")))))</f>
        <v>5</v>
      </c>
      <c r="O23">
        <f>IF(Evalucion!P21=Datos!$C$15,Datos!$D$15,IF(Evalucion!P21=Datos!$C$16,Datos!$D$16,IF(Evalucion!P21=Datos!$C$17,Datos!$D$17,IF(Evalucion!P21=Datos!$C$18,Datos!$D$18,IF(Evalucion!P21=Datos!$C$19,Datos!$D$19,"=")))))</f>
        <v>5</v>
      </c>
      <c r="P23">
        <f>IF(Evalucion!Q21=Datos!$C$15,Datos!$D$15,IF(Evalucion!Q21=Datos!$C$16,Datos!$D$16,IF(Evalucion!Q21=Datos!$C$17,Datos!$D$17,IF(Evalucion!Q21=Datos!$C$18,Datos!$D$18,IF(Evalucion!Q21=Datos!$C$19,Datos!$D$19,"=")))))</f>
        <v>5</v>
      </c>
      <c r="Q23">
        <f>IF(Evalucion!R21=Datos!$C$15,Datos!$D$15,IF(Evalucion!R21=Datos!$C$16,Datos!$D$16,IF(Evalucion!R21=Datos!$C$17,Datos!$D$17,IF(Evalucion!R21=Datos!$C$18,Datos!$D$18,IF(Evalucion!R21=Datos!$C$19,Datos!$D$19,"=")))))</f>
        <v>5</v>
      </c>
      <c r="R23">
        <f>IF(Evalucion!S21=Datos!$C$15,Datos!$D$15,IF(Evalucion!S21=Datos!$C$16,Datos!$D$16,IF(Evalucion!S21=Datos!$C$17,Datos!$D$17,IF(Evalucion!S21=Datos!$C$18,Datos!$D$18,IF(Evalucion!S21=Datos!$C$19,Datos!$D$19,"=")))))</f>
        <v>5</v>
      </c>
      <c r="S23">
        <f>IF(Evalucion!T21=Datos!$C$15,Datos!$D$15,IF(Evalucion!T21=Datos!$C$16,Datos!$D$16,IF(Evalucion!T21=Datos!$C$17,Datos!$D$17,IF(Evalucion!T21=Datos!$C$18,Datos!$D$18,IF(Evalucion!T21=Datos!$C$19,Datos!$D$19,"=")))))</f>
        <v>5</v>
      </c>
      <c r="T23">
        <f>IF(Evalucion!U21=Datos!$C$15,Datos!$D$15,IF(Evalucion!U21=Datos!$C$16,Datos!$D$16,IF(Evalucion!U21=Datos!$C$17,Datos!$D$17,IF(Evalucion!U21=Datos!$C$18,Datos!$D$18,IF(Evalucion!U21=Datos!$C$19,Datos!$D$19,"=")))))</f>
        <v>5</v>
      </c>
      <c r="U23">
        <f>IF(Evalucion!V21=Datos!$C$15,Datos!$D$15,IF(Evalucion!V21=Datos!$C$16,Datos!$D$16,IF(Evalucion!V21=Datos!$C$17,Datos!$D$17,IF(Evalucion!V21=Datos!$C$18,Datos!$D$18,IF(Evalucion!V21=Datos!$C$19,Datos!$D$19,"=")))))</f>
        <v>5</v>
      </c>
      <c r="V23">
        <f>IF(Evalucion!W21=Datos!$C$15,Datos!$D$15,IF(Evalucion!W21=Datos!$C$16,Datos!$D$16,IF(Evalucion!W21=Datos!$C$17,Datos!$D$17,IF(Evalucion!W21=Datos!$C$18,Datos!$D$18,IF(Evalucion!W21=Datos!$C$19,Datos!$D$19,"=")))))</f>
        <v>5</v>
      </c>
      <c r="W23">
        <f>IF(Evalucion!X21=Datos!$C$15,Datos!$D$15,IF(Evalucion!X21=Datos!$C$16,Datos!$D$16,IF(Evalucion!X21=Datos!$C$17,Datos!$D$17,IF(Evalucion!X21=Datos!$C$18,Datos!$D$18,IF(Evalucion!X21=Datos!$C$19,Datos!$D$19,"=")))))</f>
        <v>5</v>
      </c>
      <c r="X23">
        <f>IF(Evalucion!Y21=Datos!$C$15,Datos!$D$15,IF(Evalucion!Y21=Datos!$C$16,Datos!$D$16,IF(Evalucion!Y21=Datos!$C$17,Datos!$D$17,IF(Evalucion!Y21=Datos!$C$18,Datos!$D$18,IF(Evalucion!Y21=Datos!$C$19,Datos!$D$19,"=")))))</f>
        <v>5</v>
      </c>
      <c r="Y23">
        <f>IF(Evalucion!Z21=Datos!$C$15,Datos!$D$15,IF(Evalucion!Z21=Datos!$C$16,Datos!$D$16,IF(Evalucion!Z21=Datos!$C$17,Datos!$D$17,IF(Evalucion!Z21=Datos!$C$18,Datos!$D$18,IF(Evalucion!Z21=Datos!$C$19,Datos!$D$19,"=")))))</f>
        <v>5</v>
      </c>
      <c r="Z23">
        <f>IF(Evalucion!AA21=Datos!$C$15,Datos!$D$15,IF(Evalucion!AA21=Datos!$C$16,Datos!$D$16,IF(Evalucion!AA21=Datos!$C$17,Datos!$D$17,IF(Evalucion!AA21=Datos!$C$18,Datos!$D$18,IF(Evalucion!AA21=Datos!$C$19,Datos!$D$19,"=")))))</f>
        <v>5</v>
      </c>
      <c r="AA23">
        <f>IF(Evalucion!AB21=Datos!$C$15,Datos!$D$15,IF(Evalucion!AB21=Datos!$C$16,Datos!$D$16,IF(Evalucion!AB21=Datos!$C$17,Datos!$D$17,IF(Evalucion!AB21=Datos!$C$18,Datos!$D$18,IF(Evalucion!AB21=Datos!$C$19,Datos!$D$19,"=")))))</f>
        <v>5</v>
      </c>
      <c r="AB23">
        <f>IF(Evalucion!AC21=Datos!$C$15,Datos!$D$15,IF(Evalucion!AC21=Datos!$C$16,Datos!$D$16,IF(Evalucion!AC21=Datos!$C$17,Datos!$D$17,IF(Evalucion!AC21=Datos!$C$18,Datos!$D$18,IF(Evalucion!AC21=Datos!$C$19,Datos!$D$19,"=")))))</f>
        <v>5</v>
      </c>
      <c r="AC23">
        <f>IF(Evalucion!AD21=Datos!$C$15,Datos!$D$15,IF(Evalucion!AD21=Datos!$C$16,Datos!$D$16,IF(Evalucion!AD21=Datos!$C$17,Datos!$D$17,IF(Evalucion!AD21=Datos!$C$18,Datos!$D$18,IF(Evalucion!AD21=Datos!$C$19,Datos!$D$19,"=")))))</f>
        <v>5</v>
      </c>
      <c r="AD23">
        <f>IF(Evalucion!AE21=Datos!$C$15,Datos!$D$15,IF(Evalucion!AE21=Datos!$C$16,Datos!$D$16,IF(Evalucion!AE21=Datos!$C$17,Datos!$D$17,IF(Evalucion!AE21=Datos!$C$18,Datos!$D$18,IF(Evalucion!AE21=Datos!$C$19,Datos!$D$19,"=")))))</f>
        <v>3</v>
      </c>
      <c r="AE23">
        <f>IF(Evalucion!AF21=Datos!$C$15,Datos!$D$15,IF(Evalucion!AF21=Datos!$C$16,Datos!$D$16,IF(Evalucion!AF21=Datos!$C$17,Datos!$D$17,IF(Evalucion!AF21=Datos!$C$18,Datos!$D$18,IF(Evalucion!AF21=Datos!$C$19,Datos!$D$19,"=")))))</f>
        <v>5</v>
      </c>
      <c r="AF23">
        <f>IF(Evalucion!AG21=Datos!$C$15,Datos!$D$15,IF(Evalucion!AG21=Datos!$C$16,Datos!$D$16,IF(Evalucion!AG21=Datos!$C$17,Datos!$D$17,IF(Evalucion!AG21=Datos!$C$18,Datos!$D$18,IF(Evalucion!AG21=Datos!$C$19,Datos!$D$19,"=")))))</f>
        <v>5</v>
      </c>
      <c r="AO23">
        <f>IF(Evalucion!AP21=Datos!$C$15,Datos!$D$15,IF(Evalucion!AP21=Datos!$C$16,Datos!$D$16,IF(Evalucion!AP21=Datos!$C$17,Datos!$D$17,IF(Evalucion!AP21=Datos!$C$18,Datos!$D$18,IF(Evalucion!AP21=Datos!$C$19,Datos!$D$19,"=")))))</f>
        <v>5</v>
      </c>
      <c r="AP23">
        <f>IF(Evalucion!AQ21=Datos!$C$15,Datos!$D$15,IF(Evalucion!AQ21=Datos!$C$16,Datos!$D$16,IF(Evalucion!AQ21=Datos!$C$17,Datos!$D$17,IF(Evalucion!AQ21=Datos!$C$18,Datos!$D$18,IF(Evalucion!AQ21=Datos!$C$19,Datos!$D$19,"=")))))</f>
        <v>3</v>
      </c>
      <c r="AQ23">
        <f>IF(Evalucion!AR21=Datos!$C$15,Datos!$D$15,IF(Evalucion!AR21=Datos!$C$16,Datos!$D$16,IF(Evalucion!AR21=Datos!$C$17,Datos!$D$17,IF(Evalucion!AR21=Datos!$C$18,Datos!$D$18,IF(Evalucion!AR21=Datos!$C$19,Datos!$D$19,"=")))))</f>
        <v>1</v>
      </c>
      <c r="AR23">
        <f>IF(Evalucion!AS21=Datos!$C$15,Datos!$D$15,IF(Evalucion!AS21=Datos!$C$16,Datos!$D$16,IF(Evalucion!AS21=Datos!$C$17,Datos!$D$17,IF(Evalucion!AS21=Datos!$C$18,Datos!$D$18,IF(Evalucion!AS21=Datos!$C$19,Datos!$D$19,"=")))))</f>
        <v>1</v>
      </c>
      <c r="AS23">
        <f>IF(Evalucion!AT21=Datos!$C$15,Datos!$D$15,IF(Evalucion!AT21=Datos!$C$16,Datos!$D$16,IF(Evalucion!AT21=Datos!$C$17,Datos!$D$17,IF(Evalucion!AT21=Datos!$C$18,Datos!$D$18,IF(Evalucion!AT21=Datos!$C$19,Datos!$D$19,"=")))))</f>
        <v>5</v>
      </c>
      <c r="AT23">
        <f>IF(Evalucion!AU21=Datos!$C$15,Datos!$D$15,IF(Evalucion!AU21=Datos!$C$16,Datos!$D$16,IF(Evalucion!AU21=Datos!$C$17,Datos!$D$17,IF(Evalucion!AU21=Datos!$C$18,Datos!$D$18,IF(Evalucion!AU21=Datos!$C$19,Datos!$D$19,"=")))))</f>
        <v>5</v>
      </c>
      <c r="AV23">
        <f>IF(Evalucion!AW21=Datos!$C$15,Datos!$D$15,IF(Evalucion!AW21=Datos!$C$16,Datos!$D$16,IF(Evalucion!AW21=Datos!$C$17,Datos!$D$17,IF(Evalucion!AW21=Datos!$C$18,Datos!$D$18,IF(Evalucion!AW21=Datos!$C$19,Datos!$D$19,"=")))))</f>
        <v>5</v>
      </c>
      <c r="AW23">
        <f>IF(Evalucion!AX21=Datos!$C$15,Datos!$D$15,IF(Evalucion!AX21=Datos!$C$16,Datos!$D$16,IF(Evalucion!AX21=Datos!$C$17,Datos!$D$17,IF(Evalucion!AX21=Datos!$C$18,Datos!$D$18,IF(Evalucion!AX21=Datos!$C$19,Datos!$D$19,"=")))))</f>
        <v>5</v>
      </c>
      <c r="AX23">
        <f>IF(Evalucion!AY21=Datos!$C$15,Datos!$D$15,IF(Evalucion!AY21=Datos!$C$16,Datos!$D$16,IF(Evalucion!AY21=Datos!$C$17,Datos!$D$17,IF(Evalucion!AY21=Datos!$C$18,Datos!$D$18,IF(Evalucion!AY21=Datos!$C$19,Datos!$D$19,"=")))))</f>
        <v>5</v>
      </c>
      <c r="AY23">
        <f>IF(Evalucion!AZ21=Datos!$C$15,Datos!$D$15,IF(Evalucion!AZ21=Datos!$C$16,Datos!$D$16,IF(Evalucion!AZ21=Datos!$C$17,Datos!$D$17,IF(Evalucion!AZ21=Datos!$C$18,Datos!$D$18,IF(Evalucion!AZ21=Datos!$C$19,Datos!$D$19,"=")))))</f>
        <v>5</v>
      </c>
      <c r="AZ23">
        <f>IF(Evalucion!BA21=Datos!$C$15,Datos!$D$15,IF(Evalucion!BA21=Datos!$C$16,Datos!$D$16,IF(Evalucion!BA21=Datos!$C$17,Datos!$D$17,IF(Evalucion!BA21=Datos!$C$18,Datos!$D$18,IF(Evalucion!BA21=Datos!$C$19,Datos!$D$19,"=")))))</f>
        <v>5</v>
      </c>
      <c r="BA23">
        <f>IF(Evalucion!BB21=Datos!$C$15,Datos!$D$15,IF(Evalucion!BB21=Datos!$C$16,Datos!$D$16,IF(Evalucion!BB21=Datos!$C$17,Datos!$D$17,IF(Evalucion!BB21=Datos!$C$18,Datos!$D$18,IF(Evalucion!BB21=Datos!$C$19,Datos!$D$19,"=")))))</f>
        <v>5</v>
      </c>
      <c r="BB23">
        <f>IF(Evalucion!BC21=Datos!$C$15,Datos!$D$15,IF(Evalucion!BC21=Datos!$C$16,Datos!$D$16,IF(Evalucion!BC21=Datos!$C$17,Datos!$D$17,IF(Evalucion!BC21=Datos!$C$18,Datos!$D$18,IF(Evalucion!BC21=Datos!$C$19,Datos!$D$19,"=")))))</f>
        <v>5</v>
      </c>
      <c r="BC23">
        <f>IF(Evalucion!BD21=Datos!$C$15,Datos!$D$15,IF(Evalucion!BD21=Datos!$C$16,Datos!$D$16,IF(Evalucion!BD21=Datos!$C$17,Datos!$D$17,IF(Evalucion!BD21=Datos!$C$18,Datos!$D$18,IF(Evalucion!BD21=Datos!$C$19,Datos!$D$19,"=")))))</f>
        <v>1</v>
      </c>
      <c r="BD23">
        <f>IF(Evalucion!BE21=Datos!$C$15,Datos!$D$15,IF(Evalucion!BE21=Datos!$C$16,Datos!$D$16,IF(Evalucion!BE21=Datos!$C$17,Datos!$D$17,IF(Evalucion!BE21=Datos!$C$18,Datos!$D$18,IF(Evalucion!BE21=Datos!$C$19,Datos!$D$19,"=")))))</f>
        <v>5</v>
      </c>
      <c r="BE23">
        <f>IF(Evalucion!BF21=Datos!$C$15,Datos!$D$15,IF(Evalucion!BF21=Datos!$C$16,Datos!$D$16,IF(Evalucion!BF21=Datos!$C$17,Datos!$D$17,IF(Evalucion!BF21=Datos!$C$18,Datos!$D$18,IF(Evalucion!BF21=Datos!$C$19,Datos!$D$19,"=")))))</f>
        <v>1</v>
      </c>
      <c r="BF23">
        <f>IF(Evalucion!BG21=Datos!$C$15,Datos!$D$15,IF(Evalucion!BG21=Datos!$C$16,Datos!$D$16,IF(Evalucion!BG21=Datos!$C$17,Datos!$D$17,IF(Evalucion!BG21=Datos!$C$18,Datos!$D$18,IF(Evalucion!BG21=Datos!$C$19,Datos!$D$19,"=")))))</f>
        <v>5</v>
      </c>
      <c r="BG23">
        <f>IF(Evalucion!BH21=Datos!$C$15,Datos!$D$15,IF(Evalucion!BH21=Datos!$C$16,Datos!$D$16,IF(Evalucion!BH21=Datos!$C$17,Datos!$D$17,IF(Evalucion!BH21=Datos!$C$18,Datos!$D$18,IF(Evalucion!BH21=Datos!$C$19,Datos!$D$19,"=")))))</f>
        <v>5</v>
      </c>
      <c r="BH23">
        <f>IF(Evalucion!BI21=Datos!$C$15,Datos!$D$15,IF(Evalucion!BI21=Datos!$C$16,Datos!$D$16,IF(Evalucion!BI21=Datos!$C$17,Datos!$D$17,IF(Evalucion!BI21=Datos!$C$18,Datos!$D$18,IF(Evalucion!BI21=Datos!$C$19,Datos!$D$19,"=")))))</f>
        <v>5</v>
      </c>
      <c r="BI23">
        <f>IF(Evalucion!BJ21=Datos!$C$15,Datos!$D$15,IF(Evalucion!BJ21=Datos!$C$16,Datos!$D$16,IF(Evalucion!BJ21=Datos!$C$17,Datos!$D$17,IF(Evalucion!BJ21=Datos!$C$18,Datos!$D$18,IF(Evalucion!BJ21=Datos!$C$19,Datos!$D$19,"=")))))</f>
        <v>5</v>
      </c>
      <c r="BJ23">
        <f>IF(Evalucion!BK21=Datos!$C$15,Datos!$D$15,IF(Evalucion!BK21=Datos!$C$16,Datos!$D$16,IF(Evalucion!BK21=Datos!$C$17,Datos!$D$17,IF(Evalucion!BK21=Datos!$C$18,Datos!$D$18,IF(Evalucion!BK21=Datos!$C$19,Datos!$D$19,"=")))))</f>
        <v>5</v>
      </c>
      <c r="BK23">
        <f>IF(Evalucion!BL21=Datos!$C$15,Datos!$D$15,IF(Evalucion!BL21=Datos!$C$16,Datos!$D$16,IF(Evalucion!BL21=Datos!$C$17,Datos!$D$17,IF(Evalucion!BL21=Datos!$C$18,Datos!$D$18,IF(Evalucion!BL21=Datos!$C$19,Datos!$D$19,"=")))))</f>
        <v>5</v>
      </c>
      <c r="BL23">
        <f>IF(Evalucion!BM21=Datos!$C$15,Datos!$D$15,IF(Evalucion!BM21=Datos!$C$16,Datos!$D$16,IF(Evalucion!BM21=Datos!$C$17,Datos!$D$17,IF(Evalucion!BM21=Datos!$C$18,Datos!$D$18,IF(Evalucion!BM21=Datos!$C$19,Datos!$D$19,"=")))))</f>
        <v>5</v>
      </c>
      <c r="BM23">
        <f>IF(Evalucion!BN21=Datos!$C$15,Datos!$D$15,IF(Evalucion!BN21=Datos!$C$16,Datos!$D$16,IF(Evalucion!BN21=Datos!$C$17,Datos!$D$17,IF(Evalucion!BN21=Datos!$C$18,Datos!$D$18,IF(Evalucion!BN21=Datos!$C$19,Datos!$D$19,"=")))))</f>
        <v>5</v>
      </c>
      <c r="BN23">
        <f>IF(Evalucion!BO21=Datos!$C$15,Datos!$D$15,IF(Evalucion!BO21=Datos!$C$16,Datos!$D$16,IF(Evalucion!BO21=Datos!$C$17,Datos!$D$17,IF(Evalucion!BO21=Datos!$C$18,Datos!$D$18,IF(Evalucion!BO21=Datos!$C$19,Datos!$D$19,"=")))))</f>
        <v>5</v>
      </c>
      <c r="BO23">
        <f>IF(Evalucion!BP21=Datos!$C$15,Datos!$D$15,IF(Evalucion!BP21=Datos!$C$16,Datos!$D$16,IF(Evalucion!BP21=Datos!$C$17,Datos!$D$17,IF(Evalucion!BP21=Datos!$C$18,Datos!$D$18,IF(Evalucion!BP21=Datos!$C$19,Datos!$D$19,"=")))))</f>
        <v>5</v>
      </c>
      <c r="BP23">
        <f>IF(Evalucion!BQ21=Datos!$C$15,Datos!$D$15,IF(Evalucion!BQ21=Datos!$C$16,Datos!$D$16,IF(Evalucion!BQ21=Datos!$C$17,Datos!$D$17,IF(Evalucion!BQ21=Datos!$C$18,Datos!$D$18,IF(Evalucion!BQ21=Datos!$C$19,Datos!$D$19,"=")))))</f>
        <v>5</v>
      </c>
      <c r="BQ23">
        <f>IF(Evalucion!BR21=Datos!$C$15,Datos!$D$15,IF(Evalucion!BR21=Datos!$C$16,Datos!$D$16,IF(Evalucion!BR21=Datos!$C$17,Datos!$D$17,IF(Evalucion!BR21=Datos!$C$18,Datos!$D$18,IF(Evalucion!BR21=Datos!$C$19,Datos!$D$19,"=")))))</f>
        <v>3</v>
      </c>
      <c r="BR23">
        <f>IF(Evalucion!BS21=Datos!$C$15,Datos!$D$15,IF(Evalucion!BS21=Datos!$C$16,Datos!$D$16,IF(Evalucion!BS21=Datos!$C$17,Datos!$D$17,IF(Evalucion!BS21=Datos!$C$18,Datos!$D$18,IF(Evalucion!BS21=Datos!$C$19,Datos!$D$19,"=")))))</f>
        <v>5</v>
      </c>
      <c r="BS23">
        <f>IF(Evalucion!BT21=Datos!$C$15,Datos!$D$15,IF(Evalucion!BT21=Datos!$C$16,Datos!$D$16,IF(Evalucion!BT21=Datos!$C$17,Datos!$D$17,IF(Evalucion!BT21=Datos!$C$18,Datos!$D$18,IF(Evalucion!BT21=Datos!$C$19,Datos!$D$19,"=")))))</f>
        <v>3</v>
      </c>
      <c r="BT23">
        <f>IF(Evalucion!BU21=Datos!$C$15,Datos!$D$15,IF(Evalucion!BU21=Datos!$C$16,Datos!$D$16,IF(Evalucion!BU21=Datos!$C$17,Datos!$D$17,IF(Evalucion!BU21=Datos!$C$18,Datos!$D$18,IF(Evalucion!BU21=Datos!$C$19,Datos!$D$19,"=")))))</f>
        <v>5</v>
      </c>
      <c r="BU23">
        <f>IF(Evalucion!BV21=Datos!$C$15,Datos!$D$15,IF(Evalucion!BV21=Datos!$C$16,Datos!$D$16,IF(Evalucion!BV21=Datos!$C$17,Datos!$D$17,IF(Evalucion!BV21=Datos!$C$18,Datos!$D$18,IF(Evalucion!BV21=Datos!$C$19,Datos!$D$19,"=")))))</f>
        <v>3</v>
      </c>
      <c r="BV23">
        <f>IF(Evalucion!BW21=Datos!$C$15,Datos!$D$15,IF(Evalucion!BW21=Datos!$C$16,Datos!$D$16,IF(Evalucion!BW21=Datos!$C$17,Datos!$D$17,IF(Evalucion!BW21=Datos!$C$18,Datos!$D$18,IF(Evalucion!BW21=Datos!$C$19,Datos!$D$19,"=")))))</f>
        <v>5</v>
      </c>
      <c r="BW23">
        <f>IF(Evalucion!BX21=Datos!$C$15,Datos!$D$15,IF(Evalucion!BX21=Datos!$C$16,Datos!$D$16,IF(Evalucion!BX21=Datos!$C$17,Datos!$D$17,IF(Evalucion!BX21=Datos!$C$18,Datos!$D$18,IF(Evalucion!BX21=Datos!$C$19,Datos!$D$19,"=")))))</f>
        <v>5</v>
      </c>
      <c r="BX23">
        <f>IF(Evalucion!BY21=Datos!$C$15,Datos!$D$15,IF(Evalucion!BY21=Datos!$C$16,Datos!$D$16,IF(Evalucion!BY21=Datos!$C$17,Datos!$D$17,IF(Evalucion!BY21=Datos!$C$18,Datos!$D$18,IF(Evalucion!BY21=Datos!$C$19,Datos!$D$19,"=")))))</f>
        <v>5</v>
      </c>
      <c r="BY23">
        <f>IF(Evalucion!BZ21=Datos!$C$15,Datos!$D$15,IF(Evalucion!BZ21=Datos!$C$16,Datos!$D$16,IF(Evalucion!BZ21=Datos!$C$17,Datos!$D$17,IF(Evalucion!BZ21=Datos!$C$18,Datos!$D$18,IF(Evalucion!BZ21=Datos!$C$19,Datos!$D$19,"=")))))</f>
        <v>5</v>
      </c>
      <c r="BZ23">
        <f>IF(Evalucion!CA21=Datos!$C$15,Datos!$D$15,IF(Evalucion!CA21=Datos!$C$16,Datos!$D$16,IF(Evalucion!CA21=Datos!$C$17,Datos!$D$17,IF(Evalucion!CA21=Datos!$C$18,Datos!$D$18,IF(Evalucion!CA21=Datos!$C$19,Datos!$D$19,"=")))))</f>
        <v>5</v>
      </c>
      <c r="CA23">
        <f>IF(Evalucion!CB21=Datos!$C$15,Datos!$D$15,IF(Evalucion!CB21=Datos!$C$16,Datos!$D$16,IF(Evalucion!CB21=Datos!$C$17,Datos!$D$17,IF(Evalucion!CB21=Datos!$C$18,Datos!$D$18,IF(Evalucion!CB21=Datos!$C$19,Datos!$D$19,"=")))))</f>
        <v>5</v>
      </c>
      <c r="CB23">
        <f>IF(Evalucion!CC21=Datos!$C$15,Datos!$D$15,IF(Evalucion!CC21=Datos!$C$16,Datos!$D$16,IF(Evalucion!CC21=Datos!$C$17,Datos!$D$17,IF(Evalucion!CC21=Datos!$C$18,Datos!$D$18,IF(Evalucion!CC21=Datos!$C$19,Datos!$D$19,"=")))))</f>
        <v>5</v>
      </c>
      <c r="CC23">
        <f>IF(Evalucion!CD21=Datos!$C$15,Datos!$D$15,IF(Evalucion!CD21=Datos!$C$16,Datos!$D$16,IF(Evalucion!CD21=Datos!$C$17,Datos!$D$17,IF(Evalucion!CD21=Datos!$C$18,Datos!$D$18,IF(Evalucion!CD21=Datos!$C$19,Datos!$D$19,"=")))))</f>
        <v>5</v>
      </c>
      <c r="CD23">
        <f>IF(Evalucion!CE21=Datos!$C$15,Datos!$D$15,IF(Evalucion!CE21=Datos!$C$16,Datos!$D$16,IF(Evalucion!CE21=Datos!$C$17,Datos!$D$17,IF(Evalucion!CE21=Datos!$C$18,Datos!$D$18,IF(Evalucion!CE21=Datos!$C$19,Datos!$D$19,"=")))))</f>
        <v>5</v>
      </c>
      <c r="CE23">
        <f>IF(Evalucion!CF21=Datos!$C$15,Datos!$D$15,IF(Evalucion!CF21=Datos!$C$16,Datos!$D$16,IF(Evalucion!CF21=Datos!$C$17,Datos!$D$17,IF(Evalucion!CF21=Datos!$C$18,Datos!$D$18,IF(Evalucion!CF21=Datos!$C$19,Datos!$D$19,"=")))))</f>
        <v>3</v>
      </c>
      <c r="CF23">
        <f>IF(Evalucion!CG21=Datos!$C$15,Datos!$D$15,IF(Evalucion!CG21=Datos!$C$16,Datos!$D$16,IF(Evalucion!CG21=Datos!$C$17,Datos!$D$17,IF(Evalucion!CG21=Datos!$C$18,Datos!$D$18,IF(Evalucion!CG21=Datos!$C$19,Datos!$D$19,"=")))))</f>
        <v>5</v>
      </c>
      <c r="CG23">
        <f>IF(Evalucion!CH21=Datos!$C$15,Datos!$D$15,IF(Evalucion!CH21=Datos!$C$16,Datos!$D$16,IF(Evalucion!CH21=Datos!$C$17,Datos!$D$17,IF(Evalucion!CH21=Datos!$C$18,Datos!$D$18,IF(Evalucion!CH21=Datos!$C$19,Datos!$D$19,"=")))))</f>
        <v>1</v>
      </c>
      <c r="CH23">
        <f>IF(Evalucion!CI21=Datos!$C$15,Datos!$D$15,IF(Evalucion!CI21=Datos!$C$16,Datos!$D$16,IF(Evalucion!CI21=Datos!$C$17,Datos!$D$17,IF(Evalucion!CI21=Datos!$C$18,Datos!$D$18,IF(Evalucion!CI21=Datos!$C$19,Datos!$D$19,"=")))))</f>
        <v>5</v>
      </c>
      <c r="CI23">
        <f>IF(Evalucion!CJ21=Datos!$C$15,Datos!$D$15,IF(Evalucion!CJ21=Datos!$C$16,Datos!$D$16,IF(Evalucion!CJ21=Datos!$C$17,Datos!$D$17,IF(Evalucion!CJ21=Datos!$C$18,Datos!$D$18,IF(Evalucion!CJ21=Datos!$C$19,Datos!$D$19,"=")))))</f>
        <v>3</v>
      </c>
      <c r="CJ23">
        <f>IF(Evalucion!CK21=Datos!$C$15,Datos!$D$15,IF(Evalucion!CK21=Datos!$C$16,Datos!$D$16,IF(Evalucion!CK21=Datos!$C$17,Datos!$D$17,IF(Evalucion!CK21=Datos!$C$18,Datos!$D$18,IF(Evalucion!CK21=Datos!$C$19,Datos!$D$19,"=")))))</f>
        <v>5</v>
      </c>
      <c r="CK23">
        <f>IF(Evalucion!CL21=Datos!$C$15,Datos!$D$15,IF(Evalucion!CL21=Datos!$C$16,Datos!$D$16,IF(Evalucion!CL21=Datos!$C$17,Datos!$D$17,IF(Evalucion!CL21=Datos!$C$18,Datos!$D$18,IF(Evalucion!CL21=Datos!$C$19,Datos!$D$19,"=")))))</f>
        <v>5</v>
      </c>
      <c r="CL23">
        <f>IF(Evalucion!CM21=Datos!$C$15,Datos!$D$15,IF(Evalucion!CM21=Datos!$C$16,Datos!$D$16,IF(Evalucion!CM21=Datos!$C$17,Datos!$D$17,IF(Evalucion!CM21=Datos!$C$18,Datos!$D$18,IF(Evalucion!CM21=Datos!$C$19,Datos!$D$19,"=")))))</f>
        <v>5</v>
      </c>
      <c r="CM23">
        <f>IF(Evalucion!CN21=Datos!$C$15,Datos!$D$15,IF(Evalucion!CN21=Datos!$C$16,Datos!$D$16,IF(Evalucion!CN21=Datos!$C$17,Datos!$D$17,IF(Evalucion!CN21=Datos!$C$18,Datos!$D$18,IF(Evalucion!CN21=Datos!$C$19,Datos!$D$19,"=")))))</f>
        <v>5</v>
      </c>
      <c r="CN23">
        <f>IF(Evalucion!CO21=Datos!$C$15,Datos!$D$15,IF(Evalucion!CO21=Datos!$C$16,Datos!$D$16,IF(Evalucion!CO21=Datos!$C$17,Datos!$D$17,IF(Evalucion!CO21=Datos!$C$18,Datos!$D$18,IF(Evalucion!CO21=Datos!$C$19,Datos!$D$19,"=")))))</f>
        <v>5</v>
      </c>
      <c r="CO23">
        <f>IF(Evalucion!CP21=Datos!$C$15,Datos!$D$15,IF(Evalucion!CP21=Datos!$C$16,Datos!$D$16,IF(Evalucion!CP21=Datos!$C$17,Datos!$D$17,IF(Evalucion!CP21=Datos!$C$18,Datos!$D$18,IF(Evalucion!CP21=Datos!$C$19,Datos!$D$19,"=")))))</f>
        <v>5</v>
      </c>
      <c r="CP23">
        <f>IF(Evalucion!CQ21=Datos!$C$15,Datos!$D$15,IF(Evalucion!CQ21=Datos!$C$16,Datos!$D$16,IF(Evalucion!CQ21=Datos!$C$17,Datos!$D$17,IF(Evalucion!CQ21=Datos!$C$18,Datos!$D$18,IF(Evalucion!CQ21=Datos!$C$19,Datos!$D$19,"=")))))</f>
        <v>5</v>
      </c>
      <c r="CQ23">
        <f>IF(Evalucion!CR21=Datos!$C$15,Datos!$D$15,IF(Evalucion!CR21=Datos!$C$16,Datos!$D$16,IF(Evalucion!CR21=Datos!$C$17,Datos!$D$17,IF(Evalucion!CR21=Datos!$C$18,Datos!$D$18,IF(Evalucion!CR21=Datos!$C$19,Datos!$D$19,"=")))))</f>
        <v>3</v>
      </c>
      <c r="CR23">
        <f>IF(Evalucion!CS21=Datos!$C$15,Datos!$D$15,IF(Evalucion!CS21=Datos!$C$16,Datos!$D$16,IF(Evalucion!CS21=Datos!$C$17,Datos!$D$17,IF(Evalucion!CS21=Datos!$C$18,Datos!$D$18,IF(Evalucion!CS21=Datos!$C$19,Datos!$D$19,"=")))))</f>
        <v>5</v>
      </c>
      <c r="CS23">
        <f>IF(Evalucion!CT21=Datos!$C$15,Datos!$D$15,IF(Evalucion!CT21=Datos!$C$16,Datos!$D$16,IF(Evalucion!CT21=Datos!$C$17,Datos!$D$17,IF(Evalucion!CT21=Datos!$C$18,Datos!$D$18,IF(Evalucion!CT21=Datos!$C$19,Datos!$D$19,"=")))))</f>
        <v>3</v>
      </c>
      <c r="CT23">
        <f>IF(Evalucion!CU21=Datos!$C$15,Datos!$D$15,IF(Evalucion!CU21=Datos!$C$16,Datos!$D$16,IF(Evalucion!CU21=Datos!$C$17,Datos!$D$17,IF(Evalucion!CU21=Datos!$C$18,Datos!$D$18,IF(Evalucion!CU21=Datos!$C$19,Datos!$D$19,"=")))))</f>
        <v>5</v>
      </c>
      <c r="CU23">
        <f>IF(Evalucion!CV21=Datos!$C$15,Datos!$D$15,IF(Evalucion!CV21=Datos!$C$16,Datos!$D$16,IF(Evalucion!CV21=Datos!$C$17,Datos!$D$17,IF(Evalucion!CV21=Datos!$C$18,Datos!$D$18,IF(Evalucion!CV21=Datos!$C$19,Datos!$D$19,"=")))))</f>
        <v>3</v>
      </c>
      <c r="CV23">
        <f>IF(Evalucion!CW21=Datos!$C$15,Datos!$D$15,IF(Evalucion!CW21=Datos!$C$16,Datos!$D$16,IF(Evalucion!CW21=Datos!$C$17,Datos!$D$17,IF(Evalucion!CW21=Datos!$C$18,Datos!$D$18,IF(Evalucion!CW21=Datos!$C$19,Datos!$D$19,"=")))))</f>
        <v>5</v>
      </c>
      <c r="CW23">
        <f>IF(Evalucion!CX21=Datos!$C$15,Datos!$D$15,IF(Evalucion!CX21=Datos!$C$16,Datos!$D$16,IF(Evalucion!CX21=Datos!$C$17,Datos!$D$17,IF(Evalucion!CX21=Datos!$C$18,Datos!$D$18,IF(Evalucion!CX21=Datos!$C$19,Datos!$D$19,"=")))))</f>
        <v>3</v>
      </c>
      <c r="CX23">
        <f>IF(Evalucion!CY21=Datos!$C$15,Datos!$D$15,IF(Evalucion!CY21=Datos!$C$16,Datos!$D$16,IF(Evalucion!CY21=Datos!$C$17,Datos!$D$17,IF(Evalucion!CY21=Datos!$C$18,Datos!$D$18,IF(Evalucion!CY21=Datos!$C$19,Datos!$D$19,"=")))))</f>
        <v>5</v>
      </c>
      <c r="CY23">
        <f>IF(Evalucion!CZ21=Datos!$C$15,Datos!$D$15,IF(Evalucion!CZ21=Datos!$C$16,Datos!$D$16,IF(Evalucion!CZ21=Datos!$C$17,Datos!$D$17,IF(Evalucion!CZ21=Datos!$C$18,Datos!$D$18,IF(Evalucion!CZ21=Datos!$C$19,Datos!$D$19,"=")))))</f>
        <v>3</v>
      </c>
      <c r="CZ23">
        <f>IF(Evalucion!DA21=Datos!$C$15,Datos!$D$15,IF(Evalucion!DA21=Datos!$C$16,Datos!$D$16,IF(Evalucion!DA21=Datos!$C$17,Datos!$D$17,IF(Evalucion!DA21=Datos!$C$18,Datos!$D$18,IF(Evalucion!DA21=Datos!$C$19,Datos!$D$19,"=")))))</f>
        <v>5</v>
      </c>
      <c r="DA23">
        <f>IF(Evalucion!DB21=Datos!$C$15,Datos!$D$15,IF(Evalucion!DB21=Datos!$C$16,Datos!$D$16,IF(Evalucion!DB21=Datos!$C$17,Datos!$D$17,IF(Evalucion!DB21=Datos!$C$18,Datos!$D$18,IF(Evalucion!DB21=Datos!$C$19,Datos!$D$19,"=")))))</f>
        <v>3</v>
      </c>
      <c r="DB23">
        <f>IF(Evalucion!DC21=Datos!$C$15,Datos!$D$15,IF(Evalucion!DC21=Datos!$C$16,Datos!$D$16,IF(Evalucion!DC21=Datos!$C$17,Datos!$D$17,IF(Evalucion!DC21=Datos!$C$18,Datos!$D$18,IF(Evalucion!DC21=Datos!$C$19,Datos!$D$19,"=")))))</f>
        <v>5</v>
      </c>
      <c r="DC23">
        <f>IF(Evalucion!DD21=Datos!$C$15,Datos!$D$15,IF(Evalucion!DD21=Datos!$C$16,Datos!$D$16,IF(Evalucion!DD21=Datos!$C$17,Datos!$D$17,IF(Evalucion!DD21=Datos!$C$18,Datos!$D$18,IF(Evalucion!DD21=Datos!$C$19,Datos!$D$19,"=")))))</f>
        <v>5</v>
      </c>
      <c r="DD23">
        <f>IF(Evalucion!DE21=Datos!$C$15,Datos!$D$15,IF(Evalucion!DE21=Datos!$C$16,Datos!$D$16,IF(Evalucion!DE21=Datos!$C$17,Datos!$D$17,IF(Evalucion!DE21=Datos!$C$18,Datos!$D$18,IF(Evalucion!DE21=Datos!$C$19,Datos!$D$19,"=")))))</f>
        <v>1</v>
      </c>
      <c r="DE23">
        <f>IF(Evalucion!DF21=Datos!$C$15,Datos!$D$15,IF(Evalucion!DF21=Datos!$C$16,Datos!$D$16,IF(Evalucion!DF21=Datos!$C$17,Datos!$D$17,IF(Evalucion!DF21=Datos!$C$18,Datos!$D$18,IF(Evalucion!DF21=Datos!$C$19,Datos!$D$19,"=")))))</f>
        <v>1</v>
      </c>
      <c r="DF23">
        <f>IF(Evalucion!DG21=Datos!$C$15,Datos!$D$15,IF(Evalucion!DG21=Datos!$C$16,Datos!$D$16,IF(Evalucion!DG21=Datos!$C$17,Datos!$D$17,IF(Evalucion!DG21=Datos!$C$18,Datos!$D$18,IF(Evalucion!DG21=Datos!$C$19,Datos!$D$19,"=")))))</f>
        <v>5</v>
      </c>
      <c r="DG23">
        <f>IF(Evalucion!DH21=Datos!$C$15,Datos!$D$15,IF(Evalucion!DH21=Datos!$C$16,Datos!$D$16,IF(Evalucion!DH21=Datos!$C$17,Datos!$D$17,IF(Evalucion!DH21=Datos!$C$18,Datos!$D$18,IF(Evalucion!DH21=Datos!$C$19,Datos!$D$19,"=")))))</f>
        <v>5</v>
      </c>
      <c r="DH23">
        <f>IF(Evalucion!DI21=Datos!$C$15,Datos!$D$15,IF(Evalucion!DI21=Datos!$C$16,Datos!$D$16,IF(Evalucion!DI21=Datos!$C$17,Datos!$D$17,IF(Evalucion!DI21=Datos!$C$18,Datos!$D$18,IF(Evalucion!DI21=Datos!$C$19,Datos!$D$19,"=")))))</f>
        <v>1</v>
      </c>
      <c r="DI23">
        <f>IF(Evalucion!DJ21=Datos!$C$15,Datos!$D$15,IF(Evalucion!DJ21=Datos!$C$16,Datos!$D$16,IF(Evalucion!DJ21=Datos!$C$17,Datos!$D$17,IF(Evalucion!DJ21=Datos!$C$18,Datos!$D$18,IF(Evalucion!DJ21=Datos!$C$19,Datos!$D$19,"=")))))</f>
        <v>1</v>
      </c>
      <c r="DJ23">
        <f>IF(Evalucion!DK21=Datos!$C$15,Datos!$D$15,IF(Evalucion!DK21=Datos!$C$16,Datos!$D$16,IF(Evalucion!DK21=Datos!$C$17,Datos!$D$17,IF(Evalucion!DK21=Datos!$C$18,Datos!$D$18,IF(Evalucion!DK21=Datos!$C$19,Datos!$D$19,"=")))))</f>
        <v>1</v>
      </c>
      <c r="DK23">
        <f>IF(Evalucion!DL21=Datos!$C$15,Datos!$D$15,IF(Evalucion!DL21=Datos!$C$16,Datos!$D$16,IF(Evalucion!DL21=Datos!$C$17,Datos!$D$17,IF(Evalucion!DL21=Datos!$C$18,Datos!$D$18,IF(Evalucion!DL21=Datos!$C$19,Datos!$D$19,"=")))))</f>
        <v>1</v>
      </c>
      <c r="DL23">
        <f>IF(Evalucion!DM21=Datos!$C$15,Datos!$D$15,IF(Evalucion!DM21=Datos!$C$16,Datos!$D$16,IF(Evalucion!DM21=Datos!$C$17,Datos!$D$17,IF(Evalucion!DM21=Datos!$C$18,Datos!$D$18,IF(Evalucion!DM21=Datos!$C$19,Datos!$D$19,"=")))))</f>
        <v>1</v>
      </c>
      <c r="DM23">
        <f>IF(Evalucion!DN21=Datos!$C$15,Datos!$D$15,IF(Evalucion!DN21=Datos!$C$16,Datos!$D$16,IF(Evalucion!DN21=Datos!$C$17,Datos!$D$17,IF(Evalucion!DN21=Datos!$C$18,Datos!$D$18,IF(Evalucion!DN21=Datos!$C$19,Datos!$D$19,"=")))))</f>
        <v>1</v>
      </c>
      <c r="DN23">
        <f>IF(Evalucion!DO21=Datos!$C$15,Datos!$D$15,IF(Evalucion!DO21=Datos!$C$16,Datos!$D$16,IF(Evalucion!DO21=Datos!$C$17,Datos!$D$17,IF(Evalucion!DO21=Datos!$C$18,Datos!$D$18,IF(Evalucion!DO21=Datos!$C$19,Datos!$D$19,"=")))))</f>
        <v>5</v>
      </c>
      <c r="DO23">
        <f>IF(Evalucion!DP21=Datos!$C$15,Datos!$D$15,IF(Evalucion!DP21=Datos!$C$16,Datos!$D$16,IF(Evalucion!DP21=Datos!$C$17,Datos!$D$17,IF(Evalucion!DP21=Datos!$C$18,Datos!$D$18,IF(Evalucion!DP21=Datos!$C$19,Datos!$D$19,"=")))))</f>
        <v>5</v>
      </c>
      <c r="DP23">
        <f>IF(Evalucion!DQ21=Datos!$C$15,Datos!$D$15,IF(Evalucion!DQ21=Datos!$C$16,Datos!$D$16,IF(Evalucion!DQ21=Datos!$C$17,Datos!$D$17,IF(Evalucion!DQ21=Datos!$C$18,Datos!$D$18,IF(Evalucion!DQ21=Datos!$C$19,Datos!$D$19,"=")))))</f>
        <v>5</v>
      </c>
      <c r="DQ23">
        <f>IF(Evalucion!DR21=Datos!$C$15,Datos!$D$15,IF(Evalucion!DR21=Datos!$C$16,Datos!$D$16,IF(Evalucion!DR21=Datos!$C$17,Datos!$D$17,IF(Evalucion!DR21=Datos!$C$18,Datos!$D$18,IF(Evalucion!DR21=Datos!$C$19,Datos!$D$19,"=")))))</f>
        <v>3</v>
      </c>
      <c r="DR23">
        <f>IF(Evalucion!DS21=Datos!$C$15,Datos!$D$15,IF(Evalucion!DS21=Datos!$C$16,Datos!$D$16,IF(Evalucion!DS21=Datos!$C$17,Datos!$D$17,IF(Evalucion!DS21=Datos!$C$18,Datos!$D$18,IF(Evalucion!DS21=Datos!$C$19,Datos!$D$19,"=")))))</f>
        <v>5</v>
      </c>
      <c r="DS23">
        <f>IF(Evalucion!DT21=Datos!$C$15,Datos!$D$15,IF(Evalucion!DT21=Datos!$C$16,Datos!$D$16,IF(Evalucion!DT21=Datos!$C$17,Datos!$D$17,IF(Evalucion!DT21=Datos!$C$18,Datos!$D$18,IF(Evalucion!DT21=Datos!$C$19,Datos!$D$19,"=")))))</f>
        <v>3</v>
      </c>
      <c r="DT23">
        <f>IF(Evalucion!DU21=Datos!$C$15,Datos!$D$15,IF(Evalucion!DU21=Datos!$C$16,Datos!$D$16,IF(Evalucion!DU21=Datos!$C$17,Datos!$D$17,IF(Evalucion!DU21=Datos!$C$18,Datos!$D$18,IF(Evalucion!DU21=Datos!$C$19,Datos!$D$19,"=")))))</f>
        <v>5</v>
      </c>
      <c r="DU23">
        <f>IF(Evalucion!DV21=Datos!$C$15,Datos!$D$15,IF(Evalucion!DV21=Datos!$C$16,Datos!$D$16,IF(Evalucion!DV21=Datos!$C$17,Datos!$D$17,IF(Evalucion!DV21=Datos!$C$18,Datos!$D$18,IF(Evalucion!DV21=Datos!$C$19,Datos!$D$19,"=")))))</f>
        <v>5</v>
      </c>
      <c r="DV23">
        <f>IF(Evalucion!DW21=Datos!$C$15,Datos!$D$15,IF(Evalucion!DW21=Datos!$C$16,Datos!$D$16,IF(Evalucion!DW21=Datos!$C$17,Datos!$D$17,IF(Evalucion!DW21=Datos!$C$18,Datos!$D$18,IF(Evalucion!DW21=Datos!$C$19,Datos!$D$19,"=")))))</f>
        <v>5</v>
      </c>
      <c r="DW23">
        <f>IF(Evalucion!DX21=Datos!$C$15,Datos!$D$15,IF(Evalucion!DX21=Datos!$C$16,Datos!$D$16,IF(Evalucion!DX21=Datos!$C$17,Datos!$D$17,IF(Evalucion!DX21=Datos!$C$18,Datos!$D$18,IF(Evalucion!DX21=Datos!$C$19,Datos!$D$19,"=")))))</f>
        <v>5</v>
      </c>
      <c r="DX23">
        <f>IF(Evalucion!DY21=Datos!$C$15,Datos!$D$15,IF(Evalucion!DY21=Datos!$C$16,Datos!$D$16,IF(Evalucion!DY21=Datos!$C$17,Datos!$D$17,IF(Evalucion!DY21=Datos!$C$18,Datos!$D$18,IF(Evalucion!DY21=Datos!$C$19,Datos!$D$19,"=")))))</f>
        <v>5</v>
      </c>
      <c r="DY23">
        <f>IF(Evalucion!DZ21=Datos!$C$15,Datos!$D$15,IF(Evalucion!DZ21=Datos!$C$16,Datos!$D$16,IF(Evalucion!DZ21=Datos!$C$17,Datos!$D$17,IF(Evalucion!DZ21=Datos!$C$18,Datos!$D$18,IF(Evalucion!DZ21=Datos!$C$19,Datos!$D$19,"=")))))</f>
        <v>3</v>
      </c>
      <c r="DZ23">
        <f>IF(Evalucion!EA21=Datos!$C$15,Datos!$D$15,IF(Evalucion!EA21=Datos!$C$16,Datos!$D$16,IF(Evalucion!EA21=Datos!$C$17,Datos!$D$17,IF(Evalucion!EA21=Datos!$C$18,Datos!$D$18,IF(Evalucion!EA21=Datos!$C$19,Datos!$D$19,"=")))))</f>
        <v>5</v>
      </c>
      <c r="EA23">
        <f>IF(Evalucion!EB21=Datos!$C$15,Datos!$D$15,IF(Evalucion!EB21=Datos!$C$16,Datos!$D$16,IF(Evalucion!EB21=Datos!$C$17,Datos!$D$17,IF(Evalucion!EB21=Datos!$C$18,Datos!$D$18,IF(Evalucion!EB21=Datos!$C$19,Datos!$D$19,"=")))))</f>
        <v>5</v>
      </c>
      <c r="EB23">
        <f>IF(Evalucion!EC21=Datos!$C$15,Datos!$D$15,IF(Evalucion!EC21=Datos!$C$16,Datos!$D$16,IF(Evalucion!EC21=Datos!$C$17,Datos!$D$17,IF(Evalucion!EC21=Datos!$C$18,Datos!$D$18,IF(Evalucion!EC21=Datos!$C$19,Datos!$D$19,"=")))))</f>
        <v>5</v>
      </c>
      <c r="EC23">
        <f>IF(Evalucion!ED21=Datos!$C$15,Datos!$D$15,IF(Evalucion!ED21=Datos!$C$16,Datos!$D$16,IF(Evalucion!ED21=Datos!$C$17,Datos!$D$17,IF(Evalucion!ED21=Datos!$C$18,Datos!$D$18,IF(Evalucion!ED21=Datos!$C$19,Datos!$D$19,"=")))))</f>
        <v>3</v>
      </c>
      <c r="ED23">
        <f>IF(Evalucion!EE21=Datos!$C$15,Datos!$D$15,IF(Evalucion!EE21=Datos!$C$16,Datos!$D$16,IF(Evalucion!EE21=Datos!$C$17,Datos!$D$17,IF(Evalucion!EE21=Datos!$C$18,Datos!$D$18,IF(Evalucion!EE21=Datos!$C$19,Datos!$D$19,"=")))))</f>
        <v>5</v>
      </c>
      <c r="EE23">
        <f>IF(Evalucion!EF21=Datos!$C$15,Datos!$D$15,IF(Evalucion!EF21=Datos!$C$16,Datos!$D$16,IF(Evalucion!EF21=Datos!$C$17,Datos!$D$17,IF(Evalucion!EF21=Datos!$C$18,Datos!$D$18,IF(Evalucion!EF21=Datos!$C$19,Datos!$D$19,"=")))))</f>
        <v>5</v>
      </c>
      <c r="EF23">
        <f>IF(Evalucion!EG21=Datos!$C$15,Datos!$D$15,IF(Evalucion!EG21=Datos!$C$16,Datos!$D$16,IF(Evalucion!EG21=Datos!$C$17,Datos!$D$17,IF(Evalucion!EG21=Datos!$C$18,Datos!$D$18,IF(Evalucion!EG21=Datos!$C$19,Datos!$D$19,"=")))))</f>
        <v>5</v>
      </c>
      <c r="EG23">
        <f>IF(Evalucion!EH21=Datos!$C$15,Datos!$D$15,IF(Evalucion!EH21=Datos!$C$16,Datos!$D$16,IF(Evalucion!EH21=Datos!$C$17,Datos!$D$17,IF(Evalucion!EH21=Datos!$C$18,Datos!$D$18,IF(Evalucion!EH21=Datos!$C$19,Datos!$D$19,"=")))))</f>
        <v>5</v>
      </c>
      <c r="EH23">
        <f>IF(Evalucion!EI21=Datos!$C$15,Datos!$D$15,IF(Evalucion!EI21=Datos!$C$16,Datos!$D$16,IF(Evalucion!EI21=Datos!$C$17,Datos!$D$17,IF(Evalucion!EI21=Datos!$C$18,Datos!$D$18,IF(Evalucion!EI21=Datos!$C$19,Datos!$D$19,"=")))))</f>
        <v>5</v>
      </c>
      <c r="EI23">
        <f>IF(Evalucion!EJ21=Datos!$C$15,Datos!$D$15,IF(Evalucion!EJ21=Datos!$C$16,Datos!$D$16,IF(Evalucion!EJ21=Datos!$C$17,Datos!$D$17,IF(Evalucion!EJ21=Datos!$C$18,Datos!$D$18,IF(Evalucion!EJ21=Datos!$C$19,Datos!$D$19,"=")))))</f>
        <v>5</v>
      </c>
      <c r="EJ23">
        <f>IF(Evalucion!EK21=Datos!$C$15,Datos!$D$15,IF(Evalucion!EK21=Datos!$C$16,Datos!$D$16,IF(Evalucion!EK21=Datos!$C$17,Datos!$D$17,IF(Evalucion!EK21=Datos!$C$18,Datos!$D$18,IF(Evalucion!EK21=Datos!$C$19,Datos!$D$19,"=")))))</f>
        <v>5</v>
      </c>
      <c r="EK23">
        <f>IF(Evalucion!EL21=Datos!$C$15,Datos!$D$15,IF(Evalucion!EL21=Datos!$C$16,Datos!$D$16,IF(Evalucion!EL21=Datos!$C$17,Datos!$D$17,IF(Evalucion!EL21=Datos!$C$18,Datos!$D$18,IF(Evalucion!EL21=Datos!$C$19,Datos!$D$19,"=")))))</f>
        <v>5</v>
      </c>
      <c r="EL23">
        <f>IF(Evalucion!EM21=Datos!$C$15,Datos!$D$15,IF(Evalucion!EM21=Datos!$C$16,Datos!$D$16,IF(Evalucion!EM21=Datos!$C$17,Datos!$D$17,IF(Evalucion!EM21=Datos!$C$18,Datos!$D$18,IF(Evalucion!EM21=Datos!$C$19,Datos!$D$19,"=")))))</f>
        <v>5</v>
      </c>
      <c r="EM23">
        <f>IF(Evalucion!EN21=Datos!$C$15,Datos!$D$15,IF(Evalucion!EN21=Datos!$C$16,Datos!$D$16,IF(Evalucion!EN21=Datos!$C$17,Datos!$D$17,IF(Evalucion!EN21=Datos!$C$18,Datos!$D$18,IF(Evalucion!EN21=Datos!$C$19,Datos!$D$19,"=")))))</f>
        <v>5</v>
      </c>
      <c r="EN23">
        <f>IF(Evalucion!EO21=Datos!$C$15,Datos!$D$15,IF(Evalucion!EO21=Datos!$C$16,Datos!$D$16,IF(Evalucion!EO21=Datos!$C$17,Datos!$D$17,IF(Evalucion!EO21=Datos!$C$18,Datos!$D$18,IF(Evalucion!EO21=Datos!$C$19,Datos!$D$19,"=")))))</f>
        <v>5</v>
      </c>
      <c r="EO23">
        <f>IF(Evalucion!EP21=Datos!$C$15,Datos!$D$15,IF(Evalucion!EP21=Datos!$C$16,Datos!$D$16,IF(Evalucion!EP21=Datos!$C$17,Datos!$D$17,IF(Evalucion!EP21=Datos!$C$18,Datos!$D$18,IF(Evalucion!EP21=Datos!$C$19,Datos!$D$19,"=")))))</f>
        <v>5</v>
      </c>
      <c r="EP23">
        <f>IF(Evalucion!EQ21=Datos!$C$15,Datos!$D$15,IF(Evalucion!EQ21=Datos!$C$16,Datos!$D$16,IF(Evalucion!EQ21=Datos!$C$17,Datos!$D$17,IF(Evalucion!EQ21=Datos!$C$18,Datos!$D$18,IF(Evalucion!EQ21=Datos!$C$19,Datos!$D$19,"=")))))</f>
        <v>5</v>
      </c>
      <c r="EQ23">
        <f>IF(Evalucion!ER21=Datos!$C$15,Datos!$D$15,IF(Evalucion!ER21=Datos!$C$16,Datos!$D$16,IF(Evalucion!ER21=Datos!$C$17,Datos!$D$17,IF(Evalucion!ER21=Datos!$C$18,Datos!$D$18,IF(Evalucion!ER21=Datos!$C$19,Datos!$D$19,"=")))))</f>
        <v>5</v>
      </c>
      <c r="ER23">
        <f>IF(Evalucion!ES21=Datos!$C$15,Datos!$D$15,IF(Evalucion!ES21=Datos!$C$16,Datos!$D$16,IF(Evalucion!ES21=Datos!$C$17,Datos!$D$17,IF(Evalucion!ES21=Datos!$C$18,Datos!$D$18,IF(Evalucion!ES21=Datos!$C$19,Datos!$D$19,"=")))))</f>
        <v>5</v>
      </c>
      <c r="ES23">
        <f>IF(Evalucion!ET21=Datos!$C$15,Datos!$D$15,IF(Evalucion!ET21=Datos!$C$16,Datos!$D$16,IF(Evalucion!ET21=Datos!$C$17,Datos!$D$17,IF(Evalucion!ET21=Datos!$C$18,Datos!$D$18,IF(Evalucion!ET21=Datos!$C$19,Datos!$D$19,"=")))))</f>
        <v>5</v>
      </c>
      <c r="ET23">
        <f>IF(Evalucion!EU21=Datos!$C$15,Datos!$D$15,IF(Evalucion!EU21=Datos!$C$16,Datos!$D$16,IF(Evalucion!EU21=Datos!$C$17,Datos!$D$17,IF(Evalucion!EU21=Datos!$C$18,Datos!$D$18,IF(Evalucion!EU21=Datos!$C$19,Datos!$D$19,"=")))))</f>
        <v>5</v>
      </c>
      <c r="EU23">
        <f>IF(Evalucion!EV21=Datos!$C$15,Datos!$D$15,IF(Evalucion!EV21=Datos!$C$16,Datos!$D$16,IF(Evalucion!EV21=Datos!$C$17,Datos!$D$17,IF(Evalucion!EV21=Datos!$C$18,Datos!$D$18,IF(Evalucion!EV21=Datos!$C$19,Datos!$D$19,"=")))))</f>
        <v>3</v>
      </c>
      <c r="EV23">
        <f>IF(Evalucion!EW21=Datos!$C$15,Datos!$D$15,IF(Evalucion!EW21=Datos!$C$16,Datos!$D$16,IF(Evalucion!EW21=Datos!$C$17,Datos!$D$17,IF(Evalucion!EW21=Datos!$C$18,Datos!$D$18,IF(Evalucion!EW21=Datos!$C$19,Datos!$D$19,"=")))))</f>
        <v>5</v>
      </c>
      <c r="EW23">
        <f>IF(Evalucion!EX21=Datos!$C$15,Datos!$D$15,IF(Evalucion!EX21=Datos!$C$16,Datos!$D$16,IF(Evalucion!EX21=Datos!$C$17,Datos!$D$17,IF(Evalucion!EX21=Datos!$C$18,Datos!$D$18,IF(Evalucion!EX21=Datos!$C$19,Datos!$D$19,"=")))))</f>
        <v>5</v>
      </c>
      <c r="EX23">
        <f>IF(Evalucion!EY21=Datos!$C$15,Datos!$D$15,IF(Evalucion!EY21=Datos!$C$16,Datos!$D$16,IF(Evalucion!EY21=Datos!$C$17,Datos!$D$17,IF(Evalucion!EY21=Datos!$C$18,Datos!$D$18,IF(Evalucion!EY21=Datos!$C$19,Datos!$D$19,"=")))))</f>
        <v>5</v>
      </c>
      <c r="EY23">
        <f>IF(Evalucion!EZ21=Datos!$C$15,Datos!$D$15,IF(Evalucion!EZ21=Datos!$C$16,Datos!$D$16,IF(Evalucion!EZ21=Datos!$C$17,Datos!$D$17,IF(Evalucion!EZ21=Datos!$C$18,Datos!$D$18,IF(Evalucion!EZ21=Datos!$C$19,Datos!$D$19,"=")))))</f>
        <v>3</v>
      </c>
      <c r="FA23">
        <f t="shared" si="8"/>
        <v>331</v>
      </c>
      <c r="FB23">
        <f t="shared" si="8"/>
        <v>277</v>
      </c>
      <c r="FC23" s="3">
        <f t="shared" si="4"/>
        <v>0.73866666666666669</v>
      </c>
      <c r="FD23" t="str">
        <f t="shared" si="0"/>
        <v>Conf_CR</v>
      </c>
      <c r="FF23">
        <f t="shared" si="5"/>
        <v>608</v>
      </c>
      <c r="FG23">
        <f t="shared" si="6"/>
        <v>0</v>
      </c>
    </row>
    <row r="24" spans="1:163" x14ac:dyDescent="0.2">
      <c r="A24">
        <f t="shared" si="7"/>
        <v>21</v>
      </c>
      <c r="B24" t="s">
        <v>265</v>
      </c>
      <c r="C24" t="s">
        <v>197</v>
      </c>
      <c r="D24" s="1">
        <v>43472</v>
      </c>
      <c r="E24">
        <f>IF(Evalucion!F22=Datos!$C$15,Datos!$D$15,IF(Evalucion!F22=Datos!$C$16,Datos!$D$16,IF(Evalucion!F22=Datos!$C$17,Datos!$D$17,IF(Evalucion!F22=Datos!$C$18,Datos!$D$18,IF(Evalucion!F22=Datos!$C$19,Datos!$D$19,"=")))))</f>
        <v>5</v>
      </c>
      <c r="F24">
        <f>IF(Evalucion!G22=Datos!$C$15,Datos!$D$15,IF(Evalucion!G22=Datos!$C$16,Datos!$D$16,IF(Evalucion!G22=Datos!$C$17,Datos!$D$17,IF(Evalucion!G22=Datos!$C$18,Datos!$D$18,IF(Evalucion!G22=Datos!$C$19,Datos!$D$19,"=")))))</f>
        <v>1</v>
      </c>
      <c r="G24">
        <f>IF(Evalucion!H22=Datos!$C$15,Datos!$D$15,IF(Evalucion!H22=Datos!$C$16,Datos!$D$16,IF(Evalucion!H22=Datos!$C$17,Datos!$D$17,IF(Evalucion!H22=Datos!$C$18,Datos!$D$18,IF(Evalucion!H22=Datos!$C$19,Datos!$D$19,"=")))))</f>
        <v>5</v>
      </c>
      <c r="H24">
        <f>IF(Evalucion!I22=Datos!$C$15,Datos!$D$15,IF(Evalucion!I22=Datos!$C$16,Datos!$D$16,IF(Evalucion!I22=Datos!$C$17,Datos!$D$17,IF(Evalucion!I22=Datos!$C$18,Datos!$D$18,IF(Evalucion!I22=Datos!$C$19,Datos!$D$19,"=")))))</f>
        <v>3</v>
      </c>
      <c r="I24">
        <f>IF(Evalucion!J22=Datos!$C$15,Datos!$D$15,IF(Evalucion!J22=Datos!$C$16,Datos!$D$16,IF(Evalucion!J22=Datos!$C$17,Datos!$D$17,IF(Evalucion!J22=Datos!$C$18,Datos!$D$18,IF(Evalucion!J22=Datos!$C$19,Datos!$D$19,"=")))))</f>
        <v>5</v>
      </c>
      <c r="J24">
        <f>IF(Evalucion!K22=Datos!$C$15,Datos!$D$15,IF(Evalucion!K22=Datos!$C$16,Datos!$D$16,IF(Evalucion!K22=Datos!$C$17,Datos!$D$17,IF(Evalucion!K22=Datos!$C$18,Datos!$D$18,IF(Evalucion!K22=Datos!$C$19,Datos!$D$19,"=")))))</f>
        <v>3</v>
      </c>
      <c r="K24">
        <f>IF(Evalucion!L22=Datos!$C$15,Datos!$D$15,IF(Evalucion!L22=Datos!$C$16,Datos!$D$16,IF(Evalucion!L22=Datos!$C$17,Datos!$D$17,IF(Evalucion!L22=Datos!$C$18,Datos!$D$18,IF(Evalucion!L22=Datos!$C$19,Datos!$D$19,"=")))))</f>
        <v>5</v>
      </c>
      <c r="L24">
        <f>IF(Evalucion!M22=Datos!$C$15,Datos!$D$15,IF(Evalucion!M22=Datos!$C$16,Datos!$D$16,IF(Evalucion!M22=Datos!$C$17,Datos!$D$17,IF(Evalucion!M22=Datos!$C$18,Datos!$D$18,IF(Evalucion!M22=Datos!$C$19,Datos!$D$19,"=")))))</f>
        <v>5</v>
      </c>
      <c r="M24">
        <f>IF(Evalucion!N22=Datos!$C$15,Datos!$D$15,IF(Evalucion!N22=Datos!$C$16,Datos!$D$16,IF(Evalucion!N22=Datos!$C$17,Datos!$D$17,IF(Evalucion!N22=Datos!$C$18,Datos!$D$18,IF(Evalucion!N22=Datos!$C$19,Datos!$D$19,"=")))))</f>
        <v>5</v>
      </c>
      <c r="N24">
        <f>IF(Evalucion!O22=Datos!$C$15,Datos!$D$15,IF(Evalucion!O22=Datos!$C$16,Datos!$D$16,IF(Evalucion!O22=Datos!$C$17,Datos!$D$17,IF(Evalucion!O22=Datos!$C$18,Datos!$D$18,IF(Evalucion!O22=Datos!$C$19,Datos!$D$19,"=")))))</f>
        <v>5</v>
      </c>
      <c r="O24">
        <f>IF(Evalucion!P22=Datos!$C$15,Datos!$D$15,IF(Evalucion!P22=Datos!$C$16,Datos!$D$16,IF(Evalucion!P22=Datos!$C$17,Datos!$D$17,IF(Evalucion!P22=Datos!$C$18,Datos!$D$18,IF(Evalucion!P22=Datos!$C$19,Datos!$D$19,"=")))))</f>
        <v>5</v>
      </c>
      <c r="P24">
        <f>IF(Evalucion!Q22=Datos!$C$15,Datos!$D$15,IF(Evalucion!Q22=Datos!$C$16,Datos!$D$16,IF(Evalucion!Q22=Datos!$C$17,Datos!$D$17,IF(Evalucion!Q22=Datos!$C$18,Datos!$D$18,IF(Evalucion!Q22=Datos!$C$19,Datos!$D$19,"=")))))</f>
        <v>3</v>
      </c>
      <c r="Q24">
        <f>IF(Evalucion!R22=Datos!$C$15,Datos!$D$15,IF(Evalucion!R22=Datos!$C$16,Datos!$D$16,IF(Evalucion!R22=Datos!$C$17,Datos!$D$17,IF(Evalucion!R22=Datos!$C$18,Datos!$D$18,IF(Evalucion!R22=Datos!$C$19,Datos!$D$19,"=")))))</f>
        <v>5</v>
      </c>
      <c r="R24">
        <f>IF(Evalucion!S22=Datos!$C$15,Datos!$D$15,IF(Evalucion!S22=Datos!$C$16,Datos!$D$16,IF(Evalucion!S22=Datos!$C$17,Datos!$D$17,IF(Evalucion!S22=Datos!$C$18,Datos!$D$18,IF(Evalucion!S22=Datos!$C$19,Datos!$D$19,"=")))))</f>
        <v>5</v>
      </c>
      <c r="S24">
        <f>IF(Evalucion!T22=Datos!$C$15,Datos!$D$15,IF(Evalucion!T22=Datos!$C$16,Datos!$D$16,IF(Evalucion!T22=Datos!$C$17,Datos!$D$17,IF(Evalucion!T22=Datos!$C$18,Datos!$D$18,IF(Evalucion!T22=Datos!$C$19,Datos!$D$19,"=")))))</f>
        <v>5</v>
      </c>
      <c r="T24">
        <f>IF(Evalucion!U22=Datos!$C$15,Datos!$D$15,IF(Evalucion!U22=Datos!$C$16,Datos!$D$16,IF(Evalucion!U22=Datos!$C$17,Datos!$D$17,IF(Evalucion!U22=Datos!$C$18,Datos!$D$18,IF(Evalucion!U22=Datos!$C$19,Datos!$D$19,"=")))))</f>
        <v>5</v>
      </c>
      <c r="U24">
        <f>IF(Evalucion!V22=Datos!$C$15,Datos!$D$15,IF(Evalucion!V22=Datos!$C$16,Datos!$D$16,IF(Evalucion!V22=Datos!$C$17,Datos!$D$17,IF(Evalucion!V22=Datos!$C$18,Datos!$D$18,IF(Evalucion!V22=Datos!$C$19,Datos!$D$19,"=")))))</f>
        <v>5</v>
      </c>
      <c r="V24">
        <f>IF(Evalucion!W22=Datos!$C$15,Datos!$D$15,IF(Evalucion!W22=Datos!$C$16,Datos!$D$16,IF(Evalucion!W22=Datos!$C$17,Datos!$D$17,IF(Evalucion!W22=Datos!$C$18,Datos!$D$18,IF(Evalucion!W22=Datos!$C$19,Datos!$D$19,"=")))))</f>
        <v>5</v>
      </c>
      <c r="W24">
        <f>IF(Evalucion!X22=Datos!$C$15,Datos!$D$15,IF(Evalucion!X22=Datos!$C$16,Datos!$D$16,IF(Evalucion!X22=Datos!$C$17,Datos!$D$17,IF(Evalucion!X22=Datos!$C$18,Datos!$D$18,IF(Evalucion!X22=Datos!$C$19,Datos!$D$19,"=")))))</f>
        <v>5</v>
      </c>
      <c r="X24">
        <f>IF(Evalucion!Y22=Datos!$C$15,Datos!$D$15,IF(Evalucion!Y22=Datos!$C$16,Datos!$D$16,IF(Evalucion!Y22=Datos!$C$17,Datos!$D$17,IF(Evalucion!Y22=Datos!$C$18,Datos!$D$18,IF(Evalucion!Y22=Datos!$C$19,Datos!$D$19,"=")))))</f>
        <v>5</v>
      </c>
      <c r="Y24">
        <f>IF(Evalucion!Z22=Datos!$C$15,Datos!$D$15,IF(Evalucion!Z22=Datos!$C$16,Datos!$D$16,IF(Evalucion!Z22=Datos!$C$17,Datos!$D$17,IF(Evalucion!Z22=Datos!$C$18,Datos!$D$18,IF(Evalucion!Z22=Datos!$C$19,Datos!$D$19,"=")))))</f>
        <v>5</v>
      </c>
      <c r="Z24">
        <f>IF(Evalucion!AA22=Datos!$C$15,Datos!$D$15,IF(Evalucion!AA22=Datos!$C$16,Datos!$D$16,IF(Evalucion!AA22=Datos!$C$17,Datos!$D$17,IF(Evalucion!AA22=Datos!$C$18,Datos!$D$18,IF(Evalucion!AA22=Datos!$C$19,Datos!$D$19,"=")))))</f>
        <v>5</v>
      </c>
      <c r="AA24">
        <f>IF(Evalucion!AB22=Datos!$C$15,Datos!$D$15,IF(Evalucion!AB22=Datos!$C$16,Datos!$D$16,IF(Evalucion!AB22=Datos!$C$17,Datos!$D$17,IF(Evalucion!AB22=Datos!$C$18,Datos!$D$18,IF(Evalucion!AB22=Datos!$C$19,Datos!$D$19,"=")))))</f>
        <v>5</v>
      </c>
      <c r="AB24">
        <f>IF(Evalucion!AC22=Datos!$C$15,Datos!$D$15,IF(Evalucion!AC22=Datos!$C$16,Datos!$D$16,IF(Evalucion!AC22=Datos!$C$17,Datos!$D$17,IF(Evalucion!AC22=Datos!$C$18,Datos!$D$18,IF(Evalucion!AC22=Datos!$C$19,Datos!$D$19,"=")))))</f>
        <v>5</v>
      </c>
      <c r="AC24">
        <f>IF(Evalucion!AD22=Datos!$C$15,Datos!$D$15,IF(Evalucion!AD22=Datos!$C$16,Datos!$D$16,IF(Evalucion!AD22=Datos!$C$17,Datos!$D$17,IF(Evalucion!AD22=Datos!$C$18,Datos!$D$18,IF(Evalucion!AD22=Datos!$C$19,Datos!$D$19,"=")))))</f>
        <v>5</v>
      </c>
      <c r="AD24">
        <f>IF(Evalucion!AE22=Datos!$C$15,Datos!$D$15,IF(Evalucion!AE22=Datos!$C$16,Datos!$D$16,IF(Evalucion!AE22=Datos!$C$17,Datos!$D$17,IF(Evalucion!AE22=Datos!$C$18,Datos!$D$18,IF(Evalucion!AE22=Datos!$C$19,Datos!$D$19,"=")))))</f>
        <v>5</v>
      </c>
      <c r="AE24">
        <f>IF(Evalucion!AF22=Datos!$C$15,Datos!$D$15,IF(Evalucion!AF22=Datos!$C$16,Datos!$D$16,IF(Evalucion!AF22=Datos!$C$17,Datos!$D$17,IF(Evalucion!AF22=Datos!$C$18,Datos!$D$18,IF(Evalucion!AF22=Datos!$C$19,Datos!$D$19,"=")))))</f>
        <v>5</v>
      </c>
      <c r="AF24">
        <f>IF(Evalucion!AG22=Datos!$C$15,Datos!$D$15,IF(Evalucion!AG22=Datos!$C$16,Datos!$D$16,IF(Evalucion!AG22=Datos!$C$17,Datos!$D$17,IF(Evalucion!AG22=Datos!$C$18,Datos!$D$18,IF(Evalucion!AG22=Datos!$C$19,Datos!$D$19,"=")))))</f>
        <v>5</v>
      </c>
      <c r="AO24">
        <f>IF(Evalucion!AP22=Datos!$C$15,Datos!$D$15,IF(Evalucion!AP22=Datos!$C$16,Datos!$D$16,IF(Evalucion!AP22=Datos!$C$17,Datos!$D$17,IF(Evalucion!AP22=Datos!$C$18,Datos!$D$18,IF(Evalucion!AP22=Datos!$C$19,Datos!$D$19,"=")))))</f>
        <v>5</v>
      </c>
      <c r="AP24">
        <f>IF(Evalucion!AQ22=Datos!$C$15,Datos!$D$15,IF(Evalucion!AQ22=Datos!$C$16,Datos!$D$16,IF(Evalucion!AQ22=Datos!$C$17,Datos!$D$17,IF(Evalucion!AQ22=Datos!$C$18,Datos!$D$18,IF(Evalucion!AQ22=Datos!$C$19,Datos!$D$19,"=")))))</f>
        <v>5</v>
      </c>
      <c r="AQ24">
        <f>IF(Evalucion!AR22=Datos!$C$15,Datos!$D$15,IF(Evalucion!AR22=Datos!$C$16,Datos!$D$16,IF(Evalucion!AR22=Datos!$C$17,Datos!$D$17,IF(Evalucion!AR22=Datos!$C$18,Datos!$D$18,IF(Evalucion!AR22=Datos!$C$19,Datos!$D$19,"=")))))</f>
        <v>1</v>
      </c>
      <c r="AR24">
        <f>IF(Evalucion!AS22=Datos!$C$15,Datos!$D$15,IF(Evalucion!AS22=Datos!$C$16,Datos!$D$16,IF(Evalucion!AS22=Datos!$C$17,Datos!$D$17,IF(Evalucion!AS22=Datos!$C$18,Datos!$D$18,IF(Evalucion!AS22=Datos!$C$19,Datos!$D$19,"=")))))</f>
        <v>5</v>
      </c>
      <c r="AS24">
        <f>IF(Evalucion!AT22=Datos!$C$15,Datos!$D$15,IF(Evalucion!AT22=Datos!$C$16,Datos!$D$16,IF(Evalucion!AT22=Datos!$C$17,Datos!$D$17,IF(Evalucion!AT22=Datos!$C$18,Datos!$D$18,IF(Evalucion!AT22=Datos!$C$19,Datos!$D$19,"=")))))</f>
        <v>1</v>
      </c>
      <c r="AT24">
        <f>IF(Evalucion!AU22=Datos!$C$15,Datos!$D$15,IF(Evalucion!AU22=Datos!$C$16,Datos!$D$16,IF(Evalucion!AU22=Datos!$C$17,Datos!$D$17,IF(Evalucion!AU22=Datos!$C$18,Datos!$D$18,IF(Evalucion!AU22=Datos!$C$19,Datos!$D$19,"=")))))</f>
        <v>5</v>
      </c>
      <c r="AV24">
        <f>IF(Evalucion!AW22=Datos!$C$15,Datos!$D$15,IF(Evalucion!AW22=Datos!$C$16,Datos!$D$16,IF(Evalucion!AW22=Datos!$C$17,Datos!$D$17,IF(Evalucion!AW22=Datos!$C$18,Datos!$D$18,IF(Evalucion!AW22=Datos!$C$19,Datos!$D$19,"=")))))</f>
        <v>1</v>
      </c>
      <c r="AW24">
        <f>IF(Evalucion!AX22=Datos!$C$15,Datos!$D$15,IF(Evalucion!AX22=Datos!$C$16,Datos!$D$16,IF(Evalucion!AX22=Datos!$C$17,Datos!$D$17,IF(Evalucion!AX22=Datos!$C$18,Datos!$D$18,IF(Evalucion!AX22=Datos!$C$19,Datos!$D$19,"=")))))</f>
        <v>5</v>
      </c>
      <c r="AX24">
        <f>IF(Evalucion!AY22=Datos!$C$15,Datos!$D$15,IF(Evalucion!AY22=Datos!$C$16,Datos!$D$16,IF(Evalucion!AY22=Datos!$C$17,Datos!$D$17,IF(Evalucion!AY22=Datos!$C$18,Datos!$D$18,IF(Evalucion!AY22=Datos!$C$19,Datos!$D$19,"=")))))</f>
        <v>5</v>
      </c>
      <c r="AY24">
        <f>IF(Evalucion!AZ22=Datos!$C$15,Datos!$D$15,IF(Evalucion!AZ22=Datos!$C$16,Datos!$D$16,IF(Evalucion!AZ22=Datos!$C$17,Datos!$D$17,IF(Evalucion!AZ22=Datos!$C$18,Datos!$D$18,IF(Evalucion!AZ22=Datos!$C$19,Datos!$D$19,"=")))))</f>
        <v>5</v>
      </c>
      <c r="AZ24">
        <f>IF(Evalucion!BA22=Datos!$C$15,Datos!$D$15,IF(Evalucion!BA22=Datos!$C$16,Datos!$D$16,IF(Evalucion!BA22=Datos!$C$17,Datos!$D$17,IF(Evalucion!BA22=Datos!$C$18,Datos!$D$18,IF(Evalucion!BA22=Datos!$C$19,Datos!$D$19,"=")))))</f>
        <v>5</v>
      </c>
      <c r="BA24">
        <f>IF(Evalucion!BB22=Datos!$C$15,Datos!$D$15,IF(Evalucion!BB22=Datos!$C$16,Datos!$D$16,IF(Evalucion!BB22=Datos!$C$17,Datos!$D$17,IF(Evalucion!BB22=Datos!$C$18,Datos!$D$18,IF(Evalucion!BB22=Datos!$C$19,Datos!$D$19,"=")))))</f>
        <v>5</v>
      </c>
      <c r="BB24">
        <f>IF(Evalucion!BC22=Datos!$C$15,Datos!$D$15,IF(Evalucion!BC22=Datos!$C$16,Datos!$D$16,IF(Evalucion!BC22=Datos!$C$17,Datos!$D$17,IF(Evalucion!BC22=Datos!$C$18,Datos!$D$18,IF(Evalucion!BC22=Datos!$C$19,Datos!$D$19,"=")))))</f>
        <v>5</v>
      </c>
      <c r="BC24">
        <f>IF(Evalucion!BD22=Datos!$C$15,Datos!$D$15,IF(Evalucion!BD22=Datos!$C$16,Datos!$D$16,IF(Evalucion!BD22=Datos!$C$17,Datos!$D$17,IF(Evalucion!BD22=Datos!$C$18,Datos!$D$18,IF(Evalucion!BD22=Datos!$C$19,Datos!$D$19,"=")))))</f>
        <v>5</v>
      </c>
      <c r="BD24">
        <f>IF(Evalucion!BE22=Datos!$C$15,Datos!$D$15,IF(Evalucion!BE22=Datos!$C$16,Datos!$D$16,IF(Evalucion!BE22=Datos!$C$17,Datos!$D$17,IF(Evalucion!BE22=Datos!$C$18,Datos!$D$18,IF(Evalucion!BE22=Datos!$C$19,Datos!$D$19,"=")))))</f>
        <v>5</v>
      </c>
      <c r="BE24">
        <f>IF(Evalucion!BF22=Datos!$C$15,Datos!$D$15,IF(Evalucion!BF22=Datos!$C$16,Datos!$D$16,IF(Evalucion!BF22=Datos!$C$17,Datos!$D$17,IF(Evalucion!BF22=Datos!$C$18,Datos!$D$18,IF(Evalucion!BF22=Datos!$C$19,Datos!$D$19,"=")))))</f>
        <v>5</v>
      </c>
      <c r="BF24">
        <f>IF(Evalucion!BG22=Datos!$C$15,Datos!$D$15,IF(Evalucion!BG22=Datos!$C$16,Datos!$D$16,IF(Evalucion!BG22=Datos!$C$17,Datos!$D$17,IF(Evalucion!BG22=Datos!$C$18,Datos!$D$18,IF(Evalucion!BG22=Datos!$C$19,Datos!$D$19,"=")))))</f>
        <v>5</v>
      </c>
      <c r="BG24">
        <f>IF(Evalucion!BH22=Datos!$C$15,Datos!$D$15,IF(Evalucion!BH22=Datos!$C$16,Datos!$D$16,IF(Evalucion!BH22=Datos!$C$17,Datos!$D$17,IF(Evalucion!BH22=Datos!$C$18,Datos!$D$18,IF(Evalucion!BH22=Datos!$C$19,Datos!$D$19,"=")))))</f>
        <v>5</v>
      </c>
      <c r="BH24">
        <f>IF(Evalucion!BI22=Datos!$C$15,Datos!$D$15,IF(Evalucion!BI22=Datos!$C$16,Datos!$D$16,IF(Evalucion!BI22=Datos!$C$17,Datos!$D$17,IF(Evalucion!BI22=Datos!$C$18,Datos!$D$18,IF(Evalucion!BI22=Datos!$C$19,Datos!$D$19,"=")))))</f>
        <v>5</v>
      </c>
      <c r="BI24">
        <f>IF(Evalucion!BJ22=Datos!$C$15,Datos!$D$15,IF(Evalucion!BJ22=Datos!$C$16,Datos!$D$16,IF(Evalucion!BJ22=Datos!$C$17,Datos!$D$17,IF(Evalucion!BJ22=Datos!$C$18,Datos!$D$18,IF(Evalucion!BJ22=Datos!$C$19,Datos!$D$19,"=")))))</f>
        <v>5</v>
      </c>
      <c r="BJ24">
        <f>IF(Evalucion!BK22=Datos!$C$15,Datos!$D$15,IF(Evalucion!BK22=Datos!$C$16,Datos!$D$16,IF(Evalucion!BK22=Datos!$C$17,Datos!$D$17,IF(Evalucion!BK22=Datos!$C$18,Datos!$D$18,IF(Evalucion!BK22=Datos!$C$19,Datos!$D$19,"=")))))</f>
        <v>5</v>
      </c>
      <c r="BK24">
        <f>IF(Evalucion!BL22=Datos!$C$15,Datos!$D$15,IF(Evalucion!BL22=Datos!$C$16,Datos!$D$16,IF(Evalucion!BL22=Datos!$C$17,Datos!$D$17,IF(Evalucion!BL22=Datos!$C$18,Datos!$D$18,IF(Evalucion!BL22=Datos!$C$19,Datos!$D$19,"=")))))</f>
        <v>5</v>
      </c>
      <c r="BL24">
        <f>IF(Evalucion!BM22=Datos!$C$15,Datos!$D$15,IF(Evalucion!BM22=Datos!$C$16,Datos!$D$16,IF(Evalucion!BM22=Datos!$C$17,Datos!$D$17,IF(Evalucion!BM22=Datos!$C$18,Datos!$D$18,IF(Evalucion!BM22=Datos!$C$19,Datos!$D$19,"=")))))</f>
        <v>5</v>
      </c>
      <c r="BM24">
        <f>IF(Evalucion!BN22=Datos!$C$15,Datos!$D$15,IF(Evalucion!BN22=Datos!$C$16,Datos!$D$16,IF(Evalucion!BN22=Datos!$C$17,Datos!$D$17,IF(Evalucion!BN22=Datos!$C$18,Datos!$D$18,IF(Evalucion!BN22=Datos!$C$19,Datos!$D$19,"=")))))</f>
        <v>5</v>
      </c>
      <c r="BN24">
        <f>IF(Evalucion!BO22=Datos!$C$15,Datos!$D$15,IF(Evalucion!BO22=Datos!$C$16,Datos!$D$16,IF(Evalucion!BO22=Datos!$C$17,Datos!$D$17,IF(Evalucion!BO22=Datos!$C$18,Datos!$D$18,IF(Evalucion!BO22=Datos!$C$19,Datos!$D$19,"=")))))</f>
        <v>5</v>
      </c>
      <c r="BO24">
        <f>IF(Evalucion!BP22=Datos!$C$15,Datos!$D$15,IF(Evalucion!BP22=Datos!$C$16,Datos!$D$16,IF(Evalucion!BP22=Datos!$C$17,Datos!$D$17,IF(Evalucion!BP22=Datos!$C$18,Datos!$D$18,IF(Evalucion!BP22=Datos!$C$19,Datos!$D$19,"=")))))</f>
        <v>5</v>
      </c>
      <c r="BP24">
        <f>IF(Evalucion!BQ22=Datos!$C$15,Datos!$D$15,IF(Evalucion!BQ22=Datos!$C$16,Datos!$D$16,IF(Evalucion!BQ22=Datos!$C$17,Datos!$D$17,IF(Evalucion!BQ22=Datos!$C$18,Datos!$D$18,IF(Evalucion!BQ22=Datos!$C$19,Datos!$D$19,"=")))))</f>
        <v>5</v>
      </c>
      <c r="BQ24">
        <f>IF(Evalucion!BR22=Datos!$C$15,Datos!$D$15,IF(Evalucion!BR22=Datos!$C$16,Datos!$D$16,IF(Evalucion!BR22=Datos!$C$17,Datos!$D$17,IF(Evalucion!BR22=Datos!$C$18,Datos!$D$18,IF(Evalucion!BR22=Datos!$C$19,Datos!$D$19,"=")))))</f>
        <v>5</v>
      </c>
      <c r="BR24">
        <f>IF(Evalucion!BS22=Datos!$C$15,Datos!$D$15,IF(Evalucion!BS22=Datos!$C$16,Datos!$D$16,IF(Evalucion!BS22=Datos!$C$17,Datos!$D$17,IF(Evalucion!BS22=Datos!$C$18,Datos!$D$18,IF(Evalucion!BS22=Datos!$C$19,Datos!$D$19,"=")))))</f>
        <v>5</v>
      </c>
      <c r="BS24">
        <f>IF(Evalucion!BT22=Datos!$C$15,Datos!$D$15,IF(Evalucion!BT22=Datos!$C$16,Datos!$D$16,IF(Evalucion!BT22=Datos!$C$17,Datos!$D$17,IF(Evalucion!BT22=Datos!$C$18,Datos!$D$18,IF(Evalucion!BT22=Datos!$C$19,Datos!$D$19,"=")))))</f>
        <v>3</v>
      </c>
      <c r="BT24">
        <f>IF(Evalucion!BU22=Datos!$C$15,Datos!$D$15,IF(Evalucion!BU22=Datos!$C$16,Datos!$D$16,IF(Evalucion!BU22=Datos!$C$17,Datos!$D$17,IF(Evalucion!BU22=Datos!$C$18,Datos!$D$18,IF(Evalucion!BU22=Datos!$C$19,Datos!$D$19,"=")))))</f>
        <v>5</v>
      </c>
      <c r="BU24">
        <f>IF(Evalucion!BV22=Datos!$C$15,Datos!$D$15,IF(Evalucion!BV22=Datos!$C$16,Datos!$D$16,IF(Evalucion!BV22=Datos!$C$17,Datos!$D$17,IF(Evalucion!BV22=Datos!$C$18,Datos!$D$18,IF(Evalucion!BV22=Datos!$C$19,Datos!$D$19,"=")))))</f>
        <v>5</v>
      </c>
      <c r="BV24">
        <f>IF(Evalucion!BW22=Datos!$C$15,Datos!$D$15,IF(Evalucion!BW22=Datos!$C$16,Datos!$D$16,IF(Evalucion!BW22=Datos!$C$17,Datos!$D$17,IF(Evalucion!BW22=Datos!$C$18,Datos!$D$18,IF(Evalucion!BW22=Datos!$C$19,Datos!$D$19,"=")))))</f>
        <v>5</v>
      </c>
      <c r="BW24">
        <f>IF(Evalucion!BX22=Datos!$C$15,Datos!$D$15,IF(Evalucion!BX22=Datos!$C$16,Datos!$D$16,IF(Evalucion!BX22=Datos!$C$17,Datos!$D$17,IF(Evalucion!BX22=Datos!$C$18,Datos!$D$18,IF(Evalucion!BX22=Datos!$C$19,Datos!$D$19,"=")))))</f>
        <v>5</v>
      </c>
      <c r="BX24">
        <f>IF(Evalucion!BY22=Datos!$C$15,Datos!$D$15,IF(Evalucion!BY22=Datos!$C$16,Datos!$D$16,IF(Evalucion!BY22=Datos!$C$17,Datos!$D$17,IF(Evalucion!BY22=Datos!$C$18,Datos!$D$18,IF(Evalucion!BY22=Datos!$C$19,Datos!$D$19,"=")))))</f>
        <v>5</v>
      </c>
      <c r="BY24">
        <f>IF(Evalucion!BZ22=Datos!$C$15,Datos!$D$15,IF(Evalucion!BZ22=Datos!$C$16,Datos!$D$16,IF(Evalucion!BZ22=Datos!$C$17,Datos!$D$17,IF(Evalucion!BZ22=Datos!$C$18,Datos!$D$18,IF(Evalucion!BZ22=Datos!$C$19,Datos!$D$19,"=")))))</f>
        <v>5</v>
      </c>
      <c r="BZ24">
        <f>IF(Evalucion!CA22=Datos!$C$15,Datos!$D$15,IF(Evalucion!CA22=Datos!$C$16,Datos!$D$16,IF(Evalucion!CA22=Datos!$C$17,Datos!$D$17,IF(Evalucion!CA22=Datos!$C$18,Datos!$D$18,IF(Evalucion!CA22=Datos!$C$19,Datos!$D$19,"=")))))</f>
        <v>5</v>
      </c>
      <c r="CA24">
        <f>IF(Evalucion!CB22=Datos!$C$15,Datos!$D$15,IF(Evalucion!CB22=Datos!$C$16,Datos!$D$16,IF(Evalucion!CB22=Datos!$C$17,Datos!$D$17,IF(Evalucion!CB22=Datos!$C$18,Datos!$D$18,IF(Evalucion!CB22=Datos!$C$19,Datos!$D$19,"=")))))</f>
        <v>5</v>
      </c>
      <c r="CB24">
        <f>IF(Evalucion!CC22=Datos!$C$15,Datos!$D$15,IF(Evalucion!CC22=Datos!$C$16,Datos!$D$16,IF(Evalucion!CC22=Datos!$C$17,Datos!$D$17,IF(Evalucion!CC22=Datos!$C$18,Datos!$D$18,IF(Evalucion!CC22=Datos!$C$19,Datos!$D$19,"=")))))</f>
        <v>5</v>
      </c>
      <c r="CC24">
        <f>IF(Evalucion!CD22=Datos!$C$15,Datos!$D$15,IF(Evalucion!CD22=Datos!$C$16,Datos!$D$16,IF(Evalucion!CD22=Datos!$C$17,Datos!$D$17,IF(Evalucion!CD22=Datos!$C$18,Datos!$D$18,IF(Evalucion!CD22=Datos!$C$19,Datos!$D$19,"=")))))</f>
        <v>5</v>
      </c>
      <c r="CD24">
        <f>IF(Evalucion!CE22=Datos!$C$15,Datos!$D$15,IF(Evalucion!CE22=Datos!$C$16,Datos!$D$16,IF(Evalucion!CE22=Datos!$C$17,Datos!$D$17,IF(Evalucion!CE22=Datos!$C$18,Datos!$D$18,IF(Evalucion!CE22=Datos!$C$19,Datos!$D$19,"=")))))</f>
        <v>5</v>
      </c>
      <c r="CE24">
        <f>IF(Evalucion!CF22=Datos!$C$15,Datos!$D$15,IF(Evalucion!CF22=Datos!$C$16,Datos!$D$16,IF(Evalucion!CF22=Datos!$C$17,Datos!$D$17,IF(Evalucion!CF22=Datos!$C$18,Datos!$D$18,IF(Evalucion!CF22=Datos!$C$19,Datos!$D$19,"=")))))</f>
        <v>5</v>
      </c>
      <c r="CF24">
        <f>IF(Evalucion!CG22=Datos!$C$15,Datos!$D$15,IF(Evalucion!CG22=Datos!$C$16,Datos!$D$16,IF(Evalucion!CG22=Datos!$C$17,Datos!$D$17,IF(Evalucion!CG22=Datos!$C$18,Datos!$D$18,IF(Evalucion!CG22=Datos!$C$19,Datos!$D$19,"=")))))</f>
        <v>5</v>
      </c>
      <c r="CG24">
        <f>IF(Evalucion!CH22=Datos!$C$15,Datos!$D$15,IF(Evalucion!CH22=Datos!$C$16,Datos!$D$16,IF(Evalucion!CH22=Datos!$C$17,Datos!$D$17,IF(Evalucion!CH22=Datos!$C$18,Datos!$D$18,IF(Evalucion!CH22=Datos!$C$19,Datos!$D$19,"=")))))</f>
        <v>3</v>
      </c>
      <c r="CH24">
        <f>IF(Evalucion!CI22=Datos!$C$15,Datos!$D$15,IF(Evalucion!CI22=Datos!$C$16,Datos!$D$16,IF(Evalucion!CI22=Datos!$C$17,Datos!$D$17,IF(Evalucion!CI22=Datos!$C$18,Datos!$D$18,IF(Evalucion!CI22=Datos!$C$19,Datos!$D$19,"=")))))</f>
        <v>5</v>
      </c>
      <c r="CI24">
        <f>IF(Evalucion!CJ22=Datos!$C$15,Datos!$D$15,IF(Evalucion!CJ22=Datos!$C$16,Datos!$D$16,IF(Evalucion!CJ22=Datos!$C$17,Datos!$D$17,IF(Evalucion!CJ22=Datos!$C$18,Datos!$D$18,IF(Evalucion!CJ22=Datos!$C$19,Datos!$D$19,"=")))))</f>
        <v>5</v>
      </c>
      <c r="CJ24">
        <f>IF(Evalucion!CK22=Datos!$C$15,Datos!$D$15,IF(Evalucion!CK22=Datos!$C$16,Datos!$D$16,IF(Evalucion!CK22=Datos!$C$17,Datos!$D$17,IF(Evalucion!CK22=Datos!$C$18,Datos!$D$18,IF(Evalucion!CK22=Datos!$C$19,Datos!$D$19,"=")))))</f>
        <v>5</v>
      </c>
      <c r="CK24">
        <f>IF(Evalucion!CL22=Datos!$C$15,Datos!$D$15,IF(Evalucion!CL22=Datos!$C$16,Datos!$D$16,IF(Evalucion!CL22=Datos!$C$17,Datos!$D$17,IF(Evalucion!CL22=Datos!$C$18,Datos!$D$18,IF(Evalucion!CL22=Datos!$C$19,Datos!$D$19,"=")))))</f>
        <v>5</v>
      </c>
      <c r="CL24">
        <f>IF(Evalucion!CM22=Datos!$C$15,Datos!$D$15,IF(Evalucion!CM22=Datos!$C$16,Datos!$D$16,IF(Evalucion!CM22=Datos!$C$17,Datos!$D$17,IF(Evalucion!CM22=Datos!$C$18,Datos!$D$18,IF(Evalucion!CM22=Datos!$C$19,Datos!$D$19,"=")))))</f>
        <v>5</v>
      </c>
      <c r="CM24">
        <f>IF(Evalucion!CN22=Datos!$C$15,Datos!$D$15,IF(Evalucion!CN22=Datos!$C$16,Datos!$D$16,IF(Evalucion!CN22=Datos!$C$17,Datos!$D$17,IF(Evalucion!CN22=Datos!$C$18,Datos!$D$18,IF(Evalucion!CN22=Datos!$C$19,Datos!$D$19,"=")))))</f>
        <v>5</v>
      </c>
      <c r="CN24">
        <f>IF(Evalucion!CO22=Datos!$C$15,Datos!$D$15,IF(Evalucion!CO22=Datos!$C$16,Datos!$D$16,IF(Evalucion!CO22=Datos!$C$17,Datos!$D$17,IF(Evalucion!CO22=Datos!$C$18,Datos!$D$18,IF(Evalucion!CO22=Datos!$C$19,Datos!$D$19,"=")))))</f>
        <v>5</v>
      </c>
      <c r="CO24">
        <f>IF(Evalucion!CP22=Datos!$C$15,Datos!$D$15,IF(Evalucion!CP22=Datos!$C$16,Datos!$D$16,IF(Evalucion!CP22=Datos!$C$17,Datos!$D$17,IF(Evalucion!CP22=Datos!$C$18,Datos!$D$18,IF(Evalucion!CP22=Datos!$C$19,Datos!$D$19,"=")))))</f>
        <v>5</v>
      </c>
      <c r="CP24">
        <f>IF(Evalucion!CQ22=Datos!$C$15,Datos!$D$15,IF(Evalucion!CQ22=Datos!$C$16,Datos!$D$16,IF(Evalucion!CQ22=Datos!$C$17,Datos!$D$17,IF(Evalucion!CQ22=Datos!$C$18,Datos!$D$18,IF(Evalucion!CQ22=Datos!$C$19,Datos!$D$19,"=")))))</f>
        <v>5</v>
      </c>
      <c r="CQ24">
        <f>IF(Evalucion!CR22=Datos!$C$15,Datos!$D$15,IF(Evalucion!CR22=Datos!$C$16,Datos!$D$16,IF(Evalucion!CR22=Datos!$C$17,Datos!$D$17,IF(Evalucion!CR22=Datos!$C$18,Datos!$D$18,IF(Evalucion!CR22=Datos!$C$19,Datos!$D$19,"=")))))</f>
        <v>5</v>
      </c>
      <c r="CR24">
        <f>IF(Evalucion!CS22=Datos!$C$15,Datos!$D$15,IF(Evalucion!CS22=Datos!$C$16,Datos!$D$16,IF(Evalucion!CS22=Datos!$C$17,Datos!$D$17,IF(Evalucion!CS22=Datos!$C$18,Datos!$D$18,IF(Evalucion!CS22=Datos!$C$19,Datos!$D$19,"=")))))</f>
        <v>5</v>
      </c>
      <c r="CS24">
        <f>IF(Evalucion!CT22=Datos!$C$15,Datos!$D$15,IF(Evalucion!CT22=Datos!$C$16,Datos!$D$16,IF(Evalucion!CT22=Datos!$C$17,Datos!$D$17,IF(Evalucion!CT22=Datos!$C$18,Datos!$D$18,IF(Evalucion!CT22=Datos!$C$19,Datos!$D$19,"=")))))</f>
        <v>5</v>
      </c>
      <c r="CT24">
        <f>IF(Evalucion!CU22=Datos!$C$15,Datos!$D$15,IF(Evalucion!CU22=Datos!$C$16,Datos!$D$16,IF(Evalucion!CU22=Datos!$C$17,Datos!$D$17,IF(Evalucion!CU22=Datos!$C$18,Datos!$D$18,IF(Evalucion!CU22=Datos!$C$19,Datos!$D$19,"=")))))</f>
        <v>5</v>
      </c>
      <c r="CU24">
        <f>IF(Evalucion!CV22=Datos!$C$15,Datos!$D$15,IF(Evalucion!CV22=Datos!$C$16,Datos!$D$16,IF(Evalucion!CV22=Datos!$C$17,Datos!$D$17,IF(Evalucion!CV22=Datos!$C$18,Datos!$D$18,IF(Evalucion!CV22=Datos!$C$19,Datos!$D$19,"=")))))</f>
        <v>3</v>
      </c>
      <c r="CV24">
        <f>IF(Evalucion!CW22=Datos!$C$15,Datos!$D$15,IF(Evalucion!CW22=Datos!$C$16,Datos!$D$16,IF(Evalucion!CW22=Datos!$C$17,Datos!$D$17,IF(Evalucion!CW22=Datos!$C$18,Datos!$D$18,IF(Evalucion!CW22=Datos!$C$19,Datos!$D$19,"=")))))</f>
        <v>5</v>
      </c>
      <c r="CW24">
        <f>IF(Evalucion!CX22=Datos!$C$15,Datos!$D$15,IF(Evalucion!CX22=Datos!$C$16,Datos!$D$16,IF(Evalucion!CX22=Datos!$C$17,Datos!$D$17,IF(Evalucion!CX22=Datos!$C$18,Datos!$D$18,IF(Evalucion!CX22=Datos!$C$19,Datos!$D$19,"=")))))</f>
        <v>5</v>
      </c>
      <c r="CX24">
        <f>IF(Evalucion!CY22=Datos!$C$15,Datos!$D$15,IF(Evalucion!CY22=Datos!$C$16,Datos!$D$16,IF(Evalucion!CY22=Datos!$C$17,Datos!$D$17,IF(Evalucion!CY22=Datos!$C$18,Datos!$D$18,IF(Evalucion!CY22=Datos!$C$19,Datos!$D$19,"=")))))</f>
        <v>5</v>
      </c>
      <c r="CY24">
        <f>IF(Evalucion!CZ22=Datos!$C$15,Datos!$D$15,IF(Evalucion!CZ22=Datos!$C$16,Datos!$D$16,IF(Evalucion!CZ22=Datos!$C$17,Datos!$D$17,IF(Evalucion!CZ22=Datos!$C$18,Datos!$D$18,IF(Evalucion!CZ22=Datos!$C$19,Datos!$D$19,"=")))))</f>
        <v>5</v>
      </c>
      <c r="CZ24">
        <f>IF(Evalucion!DA22=Datos!$C$15,Datos!$D$15,IF(Evalucion!DA22=Datos!$C$16,Datos!$D$16,IF(Evalucion!DA22=Datos!$C$17,Datos!$D$17,IF(Evalucion!DA22=Datos!$C$18,Datos!$D$18,IF(Evalucion!DA22=Datos!$C$19,Datos!$D$19,"=")))))</f>
        <v>5</v>
      </c>
      <c r="DA24">
        <f>IF(Evalucion!DB22=Datos!$C$15,Datos!$D$15,IF(Evalucion!DB22=Datos!$C$16,Datos!$D$16,IF(Evalucion!DB22=Datos!$C$17,Datos!$D$17,IF(Evalucion!DB22=Datos!$C$18,Datos!$D$18,IF(Evalucion!DB22=Datos!$C$19,Datos!$D$19,"=")))))</f>
        <v>3</v>
      </c>
      <c r="DB24">
        <f>IF(Evalucion!DC22=Datos!$C$15,Datos!$D$15,IF(Evalucion!DC22=Datos!$C$16,Datos!$D$16,IF(Evalucion!DC22=Datos!$C$17,Datos!$D$17,IF(Evalucion!DC22=Datos!$C$18,Datos!$D$18,IF(Evalucion!DC22=Datos!$C$19,Datos!$D$19,"=")))))</f>
        <v>5</v>
      </c>
      <c r="DC24">
        <f>IF(Evalucion!DD22=Datos!$C$15,Datos!$D$15,IF(Evalucion!DD22=Datos!$C$16,Datos!$D$16,IF(Evalucion!DD22=Datos!$C$17,Datos!$D$17,IF(Evalucion!DD22=Datos!$C$18,Datos!$D$18,IF(Evalucion!DD22=Datos!$C$19,Datos!$D$19,"=")))))</f>
        <v>5</v>
      </c>
      <c r="DD24">
        <f>IF(Evalucion!DE22=Datos!$C$15,Datos!$D$15,IF(Evalucion!DE22=Datos!$C$16,Datos!$D$16,IF(Evalucion!DE22=Datos!$C$17,Datos!$D$17,IF(Evalucion!DE22=Datos!$C$18,Datos!$D$18,IF(Evalucion!DE22=Datos!$C$19,Datos!$D$19,"=")))))</f>
        <v>1</v>
      </c>
      <c r="DE24">
        <f>IF(Evalucion!DF22=Datos!$C$15,Datos!$D$15,IF(Evalucion!DF22=Datos!$C$16,Datos!$D$16,IF(Evalucion!DF22=Datos!$C$17,Datos!$D$17,IF(Evalucion!DF22=Datos!$C$18,Datos!$D$18,IF(Evalucion!DF22=Datos!$C$19,Datos!$D$19,"=")))))</f>
        <v>1</v>
      </c>
      <c r="DF24">
        <f>IF(Evalucion!DG22=Datos!$C$15,Datos!$D$15,IF(Evalucion!DG22=Datos!$C$16,Datos!$D$16,IF(Evalucion!DG22=Datos!$C$17,Datos!$D$17,IF(Evalucion!DG22=Datos!$C$18,Datos!$D$18,IF(Evalucion!DG22=Datos!$C$19,Datos!$D$19,"=")))))</f>
        <v>1</v>
      </c>
      <c r="DG24">
        <f>IF(Evalucion!DH22=Datos!$C$15,Datos!$D$15,IF(Evalucion!DH22=Datos!$C$16,Datos!$D$16,IF(Evalucion!DH22=Datos!$C$17,Datos!$D$17,IF(Evalucion!DH22=Datos!$C$18,Datos!$D$18,IF(Evalucion!DH22=Datos!$C$19,Datos!$D$19,"=")))))</f>
        <v>1</v>
      </c>
      <c r="DH24">
        <f>IF(Evalucion!DI22=Datos!$C$15,Datos!$D$15,IF(Evalucion!DI22=Datos!$C$16,Datos!$D$16,IF(Evalucion!DI22=Datos!$C$17,Datos!$D$17,IF(Evalucion!DI22=Datos!$C$18,Datos!$D$18,IF(Evalucion!DI22=Datos!$C$19,Datos!$D$19,"=")))))</f>
        <v>1</v>
      </c>
      <c r="DI24">
        <f>IF(Evalucion!DJ22=Datos!$C$15,Datos!$D$15,IF(Evalucion!DJ22=Datos!$C$16,Datos!$D$16,IF(Evalucion!DJ22=Datos!$C$17,Datos!$D$17,IF(Evalucion!DJ22=Datos!$C$18,Datos!$D$18,IF(Evalucion!DJ22=Datos!$C$19,Datos!$D$19,"=")))))</f>
        <v>1</v>
      </c>
      <c r="DJ24">
        <f>IF(Evalucion!DK22=Datos!$C$15,Datos!$D$15,IF(Evalucion!DK22=Datos!$C$16,Datos!$D$16,IF(Evalucion!DK22=Datos!$C$17,Datos!$D$17,IF(Evalucion!DK22=Datos!$C$18,Datos!$D$18,IF(Evalucion!DK22=Datos!$C$19,Datos!$D$19,"=")))))</f>
        <v>1</v>
      </c>
      <c r="DK24">
        <f>IF(Evalucion!DL22=Datos!$C$15,Datos!$D$15,IF(Evalucion!DL22=Datos!$C$16,Datos!$D$16,IF(Evalucion!DL22=Datos!$C$17,Datos!$D$17,IF(Evalucion!DL22=Datos!$C$18,Datos!$D$18,IF(Evalucion!DL22=Datos!$C$19,Datos!$D$19,"=")))))</f>
        <v>1</v>
      </c>
      <c r="DL24">
        <f>IF(Evalucion!DM22=Datos!$C$15,Datos!$D$15,IF(Evalucion!DM22=Datos!$C$16,Datos!$D$16,IF(Evalucion!DM22=Datos!$C$17,Datos!$D$17,IF(Evalucion!DM22=Datos!$C$18,Datos!$D$18,IF(Evalucion!DM22=Datos!$C$19,Datos!$D$19,"=")))))</f>
        <v>5</v>
      </c>
      <c r="DM24">
        <f>IF(Evalucion!DN22=Datos!$C$15,Datos!$D$15,IF(Evalucion!DN22=Datos!$C$16,Datos!$D$16,IF(Evalucion!DN22=Datos!$C$17,Datos!$D$17,IF(Evalucion!DN22=Datos!$C$18,Datos!$D$18,IF(Evalucion!DN22=Datos!$C$19,Datos!$D$19,"=")))))</f>
        <v>5</v>
      </c>
      <c r="DN24">
        <f>IF(Evalucion!DO22=Datos!$C$15,Datos!$D$15,IF(Evalucion!DO22=Datos!$C$16,Datos!$D$16,IF(Evalucion!DO22=Datos!$C$17,Datos!$D$17,IF(Evalucion!DO22=Datos!$C$18,Datos!$D$18,IF(Evalucion!DO22=Datos!$C$19,Datos!$D$19,"=")))))</f>
        <v>5</v>
      </c>
      <c r="DO24">
        <f>IF(Evalucion!DP22=Datos!$C$15,Datos!$D$15,IF(Evalucion!DP22=Datos!$C$16,Datos!$D$16,IF(Evalucion!DP22=Datos!$C$17,Datos!$D$17,IF(Evalucion!DP22=Datos!$C$18,Datos!$D$18,IF(Evalucion!DP22=Datos!$C$19,Datos!$D$19,"=")))))</f>
        <v>5</v>
      </c>
      <c r="DP24">
        <f>IF(Evalucion!DQ22=Datos!$C$15,Datos!$D$15,IF(Evalucion!DQ22=Datos!$C$16,Datos!$D$16,IF(Evalucion!DQ22=Datos!$C$17,Datos!$D$17,IF(Evalucion!DQ22=Datos!$C$18,Datos!$D$18,IF(Evalucion!DQ22=Datos!$C$19,Datos!$D$19,"=")))))</f>
        <v>5</v>
      </c>
      <c r="DQ24">
        <f>IF(Evalucion!DR22=Datos!$C$15,Datos!$D$15,IF(Evalucion!DR22=Datos!$C$16,Datos!$D$16,IF(Evalucion!DR22=Datos!$C$17,Datos!$D$17,IF(Evalucion!DR22=Datos!$C$18,Datos!$D$18,IF(Evalucion!DR22=Datos!$C$19,Datos!$D$19,"=")))))</f>
        <v>3</v>
      </c>
      <c r="DR24">
        <f>IF(Evalucion!DS22=Datos!$C$15,Datos!$D$15,IF(Evalucion!DS22=Datos!$C$16,Datos!$D$16,IF(Evalucion!DS22=Datos!$C$17,Datos!$D$17,IF(Evalucion!DS22=Datos!$C$18,Datos!$D$18,IF(Evalucion!DS22=Datos!$C$19,Datos!$D$19,"=")))))</f>
        <v>5</v>
      </c>
      <c r="DS24">
        <f>IF(Evalucion!DT22=Datos!$C$15,Datos!$D$15,IF(Evalucion!DT22=Datos!$C$16,Datos!$D$16,IF(Evalucion!DT22=Datos!$C$17,Datos!$D$17,IF(Evalucion!DT22=Datos!$C$18,Datos!$D$18,IF(Evalucion!DT22=Datos!$C$19,Datos!$D$19,"=")))))</f>
        <v>3</v>
      </c>
      <c r="DT24">
        <f>IF(Evalucion!DU22=Datos!$C$15,Datos!$D$15,IF(Evalucion!DU22=Datos!$C$16,Datos!$D$16,IF(Evalucion!DU22=Datos!$C$17,Datos!$D$17,IF(Evalucion!DU22=Datos!$C$18,Datos!$D$18,IF(Evalucion!DU22=Datos!$C$19,Datos!$D$19,"=")))))</f>
        <v>5</v>
      </c>
      <c r="DU24">
        <f>IF(Evalucion!DV22=Datos!$C$15,Datos!$D$15,IF(Evalucion!DV22=Datos!$C$16,Datos!$D$16,IF(Evalucion!DV22=Datos!$C$17,Datos!$D$17,IF(Evalucion!DV22=Datos!$C$18,Datos!$D$18,IF(Evalucion!DV22=Datos!$C$19,Datos!$D$19,"=")))))</f>
        <v>5</v>
      </c>
      <c r="DV24">
        <f>IF(Evalucion!DW22=Datos!$C$15,Datos!$D$15,IF(Evalucion!DW22=Datos!$C$16,Datos!$D$16,IF(Evalucion!DW22=Datos!$C$17,Datos!$D$17,IF(Evalucion!DW22=Datos!$C$18,Datos!$D$18,IF(Evalucion!DW22=Datos!$C$19,Datos!$D$19,"=")))))</f>
        <v>5</v>
      </c>
      <c r="DW24">
        <f>IF(Evalucion!DX22=Datos!$C$15,Datos!$D$15,IF(Evalucion!DX22=Datos!$C$16,Datos!$D$16,IF(Evalucion!DX22=Datos!$C$17,Datos!$D$17,IF(Evalucion!DX22=Datos!$C$18,Datos!$D$18,IF(Evalucion!DX22=Datos!$C$19,Datos!$D$19,"=")))))</f>
        <v>3</v>
      </c>
      <c r="DX24">
        <f>IF(Evalucion!DY22=Datos!$C$15,Datos!$D$15,IF(Evalucion!DY22=Datos!$C$16,Datos!$D$16,IF(Evalucion!DY22=Datos!$C$17,Datos!$D$17,IF(Evalucion!DY22=Datos!$C$18,Datos!$D$18,IF(Evalucion!DY22=Datos!$C$19,Datos!$D$19,"=")))))</f>
        <v>5</v>
      </c>
      <c r="DY24">
        <f>IF(Evalucion!DZ22=Datos!$C$15,Datos!$D$15,IF(Evalucion!DZ22=Datos!$C$16,Datos!$D$16,IF(Evalucion!DZ22=Datos!$C$17,Datos!$D$17,IF(Evalucion!DZ22=Datos!$C$18,Datos!$D$18,IF(Evalucion!DZ22=Datos!$C$19,Datos!$D$19,"=")))))</f>
        <v>3</v>
      </c>
      <c r="DZ24">
        <f>IF(Evalucion!EA22=Datos!$C$15,Datos!$D$15,IF(Evalucion!EA22=Datos!$C$16,Datos!$D$16,IF(Evalucion!EA22=Datos!$C$17,Datos!$D$17,IF(Evalucion!EA22=Datos!$C$18,Datos!$D$18,IF(Evalucion!EA22=Datos!$C$19,Datos!$D$19,"=")))))</f>
        <v>5</v>
      </c>
      <c r="EA24">
        <f>IF(Evalucion!EB22=Datos!$C$15,Datos!$D$15,IF(Evalucion!EB22=Datos!$C$16,Datos!$D$16,IF(Evalucion!EB22=Datos!$C$17,Datos!$D$17,IF(Evalucion!EB22=Datos!$C$18,Datos!$D$18,IF(Evalucion!EB22=Datos!$C$19,Datos!$D$19,"=")))))</f>
        <v>5</v>
      </c>
      <c r="EB24">
        <f>IF(Evalucion!EC22=Datos!$C$15,Datos!$D$15,IF(Evalucion!EC22=Datos!$C$16,Datos!$D$16,IF(Evalucion!EC22=Datos!$C$17,Datos!$D$17,IF(Evalucion!EC22=Datos!$C$18,Datos!$D$18,IF(Evalucion!EC22=Datos!$C$19,Datos!$D$19,"=")))))</f>
        <v>5</v>
      </c>
      <c r="EC24">
        <f>IF(Evalucion!ED22=Datos!$C$15,Datos!$D$15,IF(Evalucion!ED22=Datos!$C$16,Datos!$D$16,IF(Evalucion!ED22=Datos!$C$17,Datos!$D$17,IF(Evalucion!ED22=Datos!$C$18,Datos!$D$18,IF(Evalucion!ED22=Datos!$C$19,Datos!$D$19,"=")))))</f>
        <v>3</v>
      </c>
      <c r="ED24">
        <f>IF(Evalucion!EE22=Datos!$C$15,Datos!$D$15,IF(Evalucion!EE22=Datos!$C$16,Datos!$D$16,IF(Evalucion!EE22=Datos!$C$17,Datos!$D$17,IF(Evalucion!EE22=Datos!$C$18,Datos!$D$18,IF(Evalucion!EE22=Datos!$C$19,Datos!$D$19,"=")))))</f>
        <v>5</v>
      </c>
      <c r="EE24">
        <f>IF(Evalucion!EF22=Datos!$C$15,Datos!$D$15,IF(Evalucion!EF22=Datos!$C$16,Datos!$D$16,IF(Evalucion!EF22=Datos!$C$17,Datos!$D$17,IF(Evalucion!EF22=Datos!$C$18,Datos!$D$18,IF(Evalucion!EF22=Datos!$C$19,Datos!$D$19,"=")))))</f>
        <v>5</v>
      </c>
      <c r="EF24">
        <f>IF(Evalucion!EG22=Datos!$C$15,Datos!$D$15,IF(Evalucion!EG22=Datos!$C$16,Datos!$D$16,IF(Evalucion!EG22=Datos!$C$17,Datos!$D$17,IF(Evalucion!EG22=Datos!$C$18,Datos!$D$18,IF(Evalucion!EG22=Datos!$C$19,Datos!$D$19,"=")))))</f>
        <v>5</v>
      </c>
      <c r="EG24">
        <f>IF(Evalucion!EH22=Datos!$C$15,Datos!$D$15,IF(Evalucion!EH22=Datos!$C$16,Datos!$D$16,IF(Evalucion!EH22=Datos!$C$17,Datos!$D$17,IF(Evalucion!EH22=Datos!$C$18,Datos!$D$18,IF(Evalucion!EH22=Datos!$C$19,Datos!$D$19,"=")))))</f>
        <v>5</v>
      </c>
      <c r="EH24">
        <f>IF(Evalucion!EI22=Datos!$C$15,Datos!$D$15,IF(Evalucion!EI22=Datos!$C$16,Datos!$D$16,IF(Evalucion!EI22=Datos!$C$17,Datos!$D$17,IF(Evalucion!EI22=Datos!$C$18,Datos!$D$18,IF(Evalucion!EI22=Datos!$C$19,Datos!$D$19,"=")))))</f>
        <v>5</v>
      </c>
      <c r="EI24">
        <f>IF(Evalucion!EJ22=Datos!$C$15,Datos!$D$15,IF(Evalucion!EJ22=Datos!$C$16,Datos!$D$16,IF(Evalucion!EJ22=Datos!$C$17,Datos!$D$17,IF(Evalucion!EJ22=Datos!$C$18,Datos!$D$18,IF(Evalucion!EJ22=Datos!$C$19,Datos!$D$19,"=")))))</f>
        <v>5</v>
      </c>
      <c r="EJ24">
        <f>IF(Evalucion!EK22=Datos!$C$15,Datos!$D$15,IF(Evalucion!EK22=Datos!$C$16,Datos!$D$16,IF(Evalucion!EK22=Datos!$C$17,Datos!$D$17,IF(Evalucion!EK22=Datos!$C$18,Datos!$D$18,IF(Evalucion!EK22=Datos!$C$19,Datos!$D$19,"=")))))</f>
        <v>5</v>
      </c>
      <c r="EK24">
        <f>IF(Evalucion!EL22=Datos!$C$15,Datos!$D$15,IF(Evalucion!EL22=Datos!$C$16,Datos!$D$16,IF(Evalucion!EL22=Datos!$C$17,Datos!$D$17,IF(Evalucion!EL22=Datos!$C$18,Datos!$D$18,IF(Evalucion!EL22=Datos!$C$19,Datos!$D$19,"=")))))</f>
        <v>5</v>
      </c>
      <c r="EL24">
        <f>IF(Evalucion!EM22=Datos!$C$15,Datos!$D$15,IF(Evalucion!EM22=Datos!$C$16,Datos!$D$16,IF(Evalucion!EM22=Datos!$C$17,Datos!$D$17,IF(Evalucion!EM22=Datos!$C$18,Datos!$D$18,IF(Evalucion!EM22=Datos!$C$19,Datos!$D$19,"=")))))</f>
        <v>5</v>
      </c>
      <c r="EM24">
        <f>IF(Evalucion!EN22=Datos!$C$15,Datos!$D$15,IF(Evalucion!EN22=Datos!$C$16,Datos!$D$16,IF(Evalucion!EN22=Datos!$C$17,Datos!$D$17,IF(Evalucion!EN22=Datos!$C$18,Datos!$D$18,IF(Evalucion!EN22=Datos!$C$19,Datos!$D$19,"=")))))</f>
        <v>5</v>
      </c>
      <c r="EN24">
        <f>IF(Evalucion!EO22=Datos!$C$15,Datos!$D$15,IF(Evalucion!EO22=Datos!$C$16,Datos!$D$16,IF(Evalucion!EO22=Datos!$C$17,Datos!$D$17,IF(Evalucion!EO22=Datos!$C$18,Datos!$D$18,IF(Evalucion!EO22=Datos!$C$19,Datos!$D$19,"=")))))</f>
        <v>5</v>
      </c>
      <c r="EO24">
        <f>IF(Evalucion!EP22=Datos!$C$15,Datos!$D$15,IF(Evalucion!EP22=Datos!$C$16,Datos!$D$16,IF(Evalucion!EP22=Datos!$C$17,Datos!$D$17,IF(Evalucion!EP22=Datos!$C$18,Datos!$D$18,IF(Evalucion!EP22=Datos!$C$19,Datos!$D$19,"=")))))</f>
        <v>5</v>
      </c>
      <c r="EP24">
        <f>IF(Evalucion!EQ22=Datos!$C$15,Datos!$D$15,IF(Evalucion!EQ22=Datos!$C$16,Datos!$D$16,IF(Evalucion!EQ22=Datos!$C$17,Datos!$D$17,IF(Evalucion!EQ22=Datos!$C$18,Datos!$D$18,IF(Evalucion!EQ22=Datos!$C$19,Datos!$D$19,"=")))))</f>
        <v>5</v>
      </c>
      <c r="EQ24">
        <f>IF(Evalucion!ER22=Datos!$C$15,Datos!$D$15,IF(Evalucion!ER22=Datos!$C$16,Datos!$D$16,IF(Evalucion!ER22=Datos!$C$17,Datos!$D$17,IF(Evalucion!ER22=Datos!$C$18,Datos!$D$18,IF(Evalucion!ER22=Datos!$C$19,Datos!$D$19,"=")))))</f>
        <v>5</v>
      </c>
      <c r="ER24">
        <f>IF(Evalucion!ES22=Datos!$C$15,Datos!$D$15,IF(Evalucion!ES22=Datos!$C$16,Datos!$D$16,IF(Evalucion!ES22=Datos!$C$17,Datos!$D$17,IF(Evalucion!ES22=Datos!$C$18,Datos!$D$18,IF(Evalucion!ES22=Datos!$C$19,Datos!$D$19,"=")))))</f>
        <v>5</v>
      </c>
      <c r="ES24">
        <f>IF(Evalucion!ET22=Datos!$C$15,Datos!$D$15,IF(Evalucion!ET22=Datos!$C$16,Datos!$D$16,IF(Evalucion!ET22=Datos!$C$17,Datos!$D$17,IF(Evalucion!ET22=Datos!$C$18,Datos!$D$18,IF(Evalucion!ET22=Datos!$C$19,Datos!$D$19,"=")))))</f>
        <v>5</v>
      </c>
      <c r="ET24">
        <f>IF(Evalucion!EU22=Datos!$C$15,Datos!$D$15,IF(Evalucion!EU22=Datos!$C$16,Datos!$D$16,IF(Evalucion!EU22=Datos!$C$17,Datos!$D$17,IF(Evalucion!EU22=Datos!$C$18,Datos!$D$18,IF(Evalucion!EU22=Datos!$C$19,Datos!$D$19,"=")))))</f>
        <v>5</v>
      </c>
      <c r="EU24">
        <f>IF(Evalucion!EV22=Datos!$C$15,Datos!$D$15,IF(Evalucion!EV22=Datos!$C$16,Datos!$D$16,IF(Evalucion!EV22=Datos!$C$17,Datos!$D$17,IF(Evalucion!EV22=Datos!$C$18,Datos!$D$18,IF(Evalucion!EV22=Datos!$C$19,Datos!$D$19,"=")))))</f>
        <v>5</v>
      </c>
      <c r="EV24">
        <f>IF(Evalucion!EW22=Datos!$C$15,Datos!$D$15,IF(Evalucion!EW22=Datos!$C$16,Datos!$D$16,IF(Evalucion!EW22=Datos!$C$17,Datos!$D$17,IF(Evalucion!EW22=Datos!$C$18,Datos!$D$18,IF(Evalucion!EW22=Datos!$C$19,Datos!$D$19,"=")))))</f>
        <v>5</v>
      </c>
      <c r="EW24">
        <f>IF(Evalucion!EX22=Datos!$C$15,Datos!$D$15,IF(Evalucion!EX22=Datos!$C$16,Datos!$D$16,IF(Evalucion!EX22=Datos!$C$17,Datos!$D$17,IF(Evalucion!EX22=Datos!$C$18,Datos!$D$18,IF(Evalucion!EX22=Datos!$C$19,Datos!$D$19,"=")))))</f>
        <v>5</v>
      </c>
      <c r="EX24">
        <f>IF(Evalucion!EY22=Datos!$C$15,Datos!$D$15,IF(Evalucion!EY22=Datos!$C$16,Datos!$D$16,IF(Evalucion!EY22=Datos!$C$17,Datos!$D$17,IF(Evalucion!EY22=Datos!$C$18,Datos!$D$18,IF(Evalucion!EY22=Datos!$C$19,Datos!$D$19,"=")))))</f>
        <v>5</v>
      </c>
      <c r="EY24">
        <f>IF(Evalucion!EZ22=Datos!$C$15,Datos!$D$15,IF(Evalucion!EZ22=Datos!$C$16,Datos!$D$16,IF(Evalucion!EZ22=Datos!$C$17,Datos!$D$17,IF(Evalucion!EZ22=Datos!$C$18,Datos!$D$18,IF(Evalucion!EZ22=Datos!$C$19,Datos!$D$19,"=")))))</f>
        <v>3</v>
      </c>
      <c r="FA24">
        <f t="shared" si="8"/>
        <v>327</v>
      </c>
      <c r="FB24">
        <f t="shared" si="8"/>
        <v>309</v>
      </c>
      <c r="FC24" s="3">
        <f t="shared" si="4"/>
        <v>0.82399999999999995</v>
      </c>
      <c r="FD24" t="str">
        <f t="shared" si="0"/>
        <v>Conf_CR</v>
      </c>
      <c r="FF24">
        <f t="shared" si="5"/>
        <v>636</v>
      </c>
      <c r="FG24">
        <f t="shared" si="6"/>
        <v>0</v>
      </c>
    </row>
    <row r="25" spans="1:163" x14ac:dyDescent="0.2">
      <c r="A25">
        <f t="shared" si="7"/>
        <v>22</v>
      </c>
      <c r="B25" t="s">
        <v>266</v>
      </c>
      <c r="C25" t="s">
        <v>197</v>
      </c>
      <c r="D25" s="6">
        <v>43612</v>
      </c>
      <c r="E25">
        <f>IF(Evalucion!F23=Datos!$C$15,Datos!$D$15,IF(Evalucion!F23=Datos!$C$16,Datos!$D$16,IF(Evalucion!F23=Datos!$C$17,Datos!$D$17,IF(Evalucion!F23=Datos!$C$18,Datos!$D$18,IF(Evalucion!F23=Datos!$C$19,Datos!$D$19,"=")))))</f>
        <v>5</v>
      </c>
      <c r="F25">
        <f>IF(Evalucion!G23=Datos!$C$15,Datos!$D$15,IF(Evalucion!G23=Datos!$C$16,Datos!$D$16,IF(Evalucion!G23=Datos!$C$17,Datos!$D$17,IF(Evalucion!G23=Datos!$C$18,Datos!$D$18,IF(Evalucion!G23=Datos!$C$19,Datos!$D$19,"=")))))</f>
        <v>5</v>
      </c>
      <c r="G25">
        <f>IF(Evalucion!H23=Datos!$C$15,Datos!$D$15,IF(Evalucion!H23=Datos!$C$16,Datos!$D$16,IF(Evalucion!H23=Datos!$C$17,Datos!$D$17,IF(Evalucion!H23=Datos!$C$18,Datos!$D$18,IF(Evalucion!H23=Datos!$C$19,Datos!$D$19,"=")))))</f>
        <v>5</v>
      </c>
      <c r="H25">
        <f>IF(Evalucion!I23=Datos!$C$15,Datos!$D$15,IF(Evalucion!I23=Datos!$C$16,Datos!$D$16,IF(Evalucion!I23=Datos!$C$17,Datos!$D$17,IF(Evalucion!I23=Datos!$C$18,Datos!$D$18,IF(Evalucion!I23=Datos!$C$19,Datos!$D$19,"=")))))</f>
        <v>1</v>
      </c>
      <c r="I25">
        <f>IF(Evalucion!J23=Datos!$C$15,Datos!$D$15,IF(Evalucion!J23=Datos!$C$16,Datos!$D$16,IF(Evalucion!J23=Datos!$C$17,Datos!$D$17,IF(Evalucion!J23=Datos!$C$18,Datos!$D$18,IF(Evalucion!J23=Datos!$C$19,Datos!$D$19,"=")))))</f>
        <v>1</v>
      </c>
      <c r="J25">
        <f>IF(Evalucion!K23=Datos!$C$15,Datos!$D$15,IF(Evalucion!K23=Datos!$C$16,Datos!$D$16,IF(Evalucion!K23=Datos!$C$17,Datos!$D$17,IF(Evalucion!K23=Datos!$C$18,Datos!$D$18,IF(Evalucion!K23=Datos!$C$19,Datos!$D$19,"=")))))</f>
        <v>1</v>
      </c>
      <c r="K25">
        <f>IF(Evalucion!L23=Datos!$C$15,Datos!$D$15,IF(Evalucion!L23=Datos!$C$16,Datos!$D$16,IF(Evalucion!L23=Datos!$C$17,Datos!$D$17,IF(Evalucion!L23=Datos!$C$18,Datos!$D$18,IF(Evalucion!L23=Datos!$C$19,Datos!$D$19,"=")))))</f>
        <v>5</v>
      </c>
      <c r="L25">
        <f>IF(Evalucion!M23=Datos!$C$15,Datos!$D$15,IF(Evalucion!M23=Datos!$C$16,Datos!$D$16,IF(Evalucion!M23=Datos!$C$17,Datos!$D$17,IF(Evalucion!M23=Datos!$C$18,Datos!$D$18,IF(Evalucion!M23=Datos!$C$19,Datos!$D$19,"=")))))</f>
        <v>5</v>
      </c>
      <c r="M25">
        <f>IF(Evalucion!N23=Datos!$C$15,Datos!$D$15,IF(Evalucion!N23=Datos!$C$16,Datos!$D$16,IF(Evalucion!N23=Datos!$C$17,Datos!$D$17,IF(Evalucion!N23=Datos!$C$18,Datos!$D$18,IF(Evalucion!N23=Datos!$C$19,Datos!$D$19,"=")))))</f>
        <v>5</v>
      </c>
      <c r="N25">
        <f>IF(Evalucion!O23=Datos!$C$15,Datos!$D$15,IF(Evalucion!O23=Datos!$C$16,Datos!$D$16,IF(Evalucion!O23=Datos!$C$17,Datos!$D$17,IF(Evalucion!O23=Datos!$C$18,Datos!$D$18,IF(Evalucion!O23=Datos!$C$19,Datos!$D$19,"=")))))</f>
        <v>5</v>
      </c>
      <c r="O25">
        <f>IF(Evalucion!P23=Datos!$C$15,Datos!$D$15,IF(Evalucion!P23=Datos!$C$16,Datos!$D$16,IF(Evalucion!P23=Datos!$C$17,Datos!$D$17,IF(Evalucion!P23=Datos!$C$18,Datos!$D$18,IF(Evalucion!P23=Datos!$C$19,Datos!$D$19,"=")))))</f>
        <v>5</v>
      </c>
      <c r="P25">
        <f>IF(Evalucion!Q23=Datos!$C$15,Datos!$D$15,IF(Evalucion!Q23=Datos!$C$16,Datos!$D$16,IF(Evalucion!Q23=Datos!$C$17,Datos!$D$17,IF(Evalucion!Q23=Datos!$C$18,Datos!$D$18,IF(Evalucion!Q23=Datos!$C$19,Datos!$D$19,"=")))))</f>
        <v>5</v>
      </c>
      <c r="Q25">
        <f>IF(Evalucion!R23=Datos!$C$15,Datos!$D$15,IF(Evalucion!R23=Datos!$C$16,Datos!$D$16,IF(Evalucion!R23=Datos!$C$17,Datos!$D$17,IF(Evalucion!R23=Datos!$C$18,Datos!$D$18,IF(Evalucion!R23=Datos!$C$19,Datos!$D$19,"=")))))</f>
        <v>5</v>
      </c>
      <c r="R25">
        <f>IF(Evalucion!S23=Datos!$C$15,Datos!$D$15,IF(Evalucion!S23=Datos!$C$16,Datos!$D$16,IF(Evalucion!S23=Datos!$C$17,Datos!$D$17,IF(Evalucion!S23=Datos!$C$18,Datos!$D$18,IF(Evalucion!S23=Datos!$C$19,Datos!$D$19,"=")))))</f>
        <v>5</v>
      </c>
      <c r="S25">
        <f>IF(Evalucion!T23=Datos!$C$15,Datos!$D$15,IF(Evalucion!T23=Datos!$C$16,Datos!$D$16,IF(Evalucion!T23=Datos!$C$17,Datos!$D$17,IF(Evalucion!T23=Datos!$C$18,Datos!$D$18,IF(Evalucion!T23=Datos!$C$19,Datos!$D$19,"=")))))</f>
        <v>5</v>
      </c>
      <c r="T25">
        <f>IF(Evalucion!U23=Datos!$C$15,Datos!$D$15,IF(Evalucion!U23=Datos!$C$16,Datos!$D$16,IF(Evalucion!U23=Datos!$C$17,Datos!$D$17,IF(Evalucion!U23=Datos!$C$18,Datos!$D$18,IF(Evalucion!U23=Datos!$C$19,Datos!$D$19,"=")))))</f>
        <v>5</v>
      </c>
      <c r="U25">
        <f>IF(Evalucion!V23=Datos!$C$15,Datos!$D$15,IF(Evalucion!V23=Datos!$C$16,Datos!$D$16,IF(Evalucion!V23=Datos!$C$17,Datos!$D$17,IF(Evalucion!V23=Datos!$C$18,Datos!$D$18,IF(Evalucion!V23=Datos!$C$19,Datos!$D$19,"=")))))</f>
        <v>5</v>
      </c>
      <c r="V25">
        <f>IF(Evalucion!W23=Datos!$C$15,Datos!$D$15,IF(Evalucion!W23=Datos!$C$16,Datos!$D$16,IF(Evalucion!W23=Datos!$C$17,Datos!$D$17,IF(Evalucion!W23=Datos!$C$18,Datos!$D$18,IF(Evalucion!W23=Datos!$C$19,Datos!$D$19,"=")))))</f>
        <v>5</v>
      </c>
      <c r="W25">
        <f>IF(Evalucion!X23=Datos!$C$15,Datos!$D$15,IF(Evalucion!X23=Datos!$C$16,Datos!$D$16,IF(Evalucion!X23=Datos!$C$17,Datos!$D$17,IF(Evalucion!X23=Datos!$C$18,Datos!$D$18,IF(Evalucion!X23=Datos!$C$19,Datos!$D$19,"=")))))</f>
        <v>5</v>
      </c>
      <c r="X25">
        <f>IF(Evalucion!Y23=Datos!$C$15,Datos!$D$15,IF(Evalucion!Y23=Datos!$C$16,Datos!$D$16,IF(Evalucion!Y23=Datos!$C$17,Datos!$D$17,IF(Evalucion!Y23=Datos!$C$18,Datos!$D$18,IF(Evalucion!Y23=Datos!$C$19,Datos!$D$19,"=")))))</f>
        <v>5</v>
      </c>
      <c r="Y25">
        <f>IF(Evalucion!Z23=Datos!$C$15,Datos!$D$15,IF(Evalucion!Z23=Datos!$C$16,Datos!$D$16,IF(Evalucion!Z23=Datos!$C$17,Datos!$D$17,IF(Evalucion!Z23=Datos!$C$18,Datos!$D$18,IF(Evalucion!Z23=Datos!$C$19,Datos!$D$19,"=")))))</f>
        <v>5</v>
      </c>
      <c r="Z25">
        <f>IF(Evalucion!AA23=Datos!$C$15,Datos!$D$15,IF(Evalucion!AA23=Datos!$C$16,Datos!$D$16,IF(Evalucion!AA23=Datos!$C$17,Datos!$D$17,IF(Evalucion!AA23=Datos!$C$18,Datos!$D$18,IF(Evalucion!AA23=Datos!$C$19,Datos!$D$19,"=")))))</f>
        <v>5</v>
      </c>
      <c r="AA25">
        <f>IF(Evalucion!AB23=Datos!$C$15,Datos!$D$15,IF(Evalucion!AB23=Datos!$C$16,Datos!$D$16,IF(Evalucion!AB23=Datos!$C$17,Datos!$D$17,IF(Evalucion!AB23=Datos!$C$18,Datos!$D$18,IF(Evalucion!AB23=Datos!$C$19,Datos!$D$19,"=")))))</f>
        <v>5</v>
      </c>
      <c r="AB25">
        <f>IF(Evalucion!AC23=Datos!$C$15,Datos!$D$15,IF(Evalucion!AC23=Datos!$C$16,Datos!$D$16,IF(Evalucion!AC23=Datos!$C$17,Datos!$D$17,IF(Evalucion!AC23=Datos!$C$18,Datos!$D$18,IF(Evalucion!AC23=Datos!$C$19,Datos!$D$19,"=")))))</f>
        <v>5</v>
      </c>
      <c r="AC25">
        <f>IF(Evalucion!AD23=Datos!$C$15,Datos!$D$15,IF(Evalucion!AD23=Datos!$C$16,Datos!$D$16,IF(Evalucion!AD23=Datos!$C$17,Datos!$D$17,IF(Evalucion!AD23=Datos!$C$18,Datos!$D$18,IF(Evalucion!AD23=Datos!$C$19,Datos!$D$19,"=")))))</f>
        <v>5</v>
      </c>
      <c r="AD25">
        <f>IF(Evalucion!AE23=Datos!$C$15,Datos!$D$15,IF(Evalucion!AE23=Datos!$C$16,Datos!$D$16,IF(Evalucion!AE23=Datos!$C$17,Datos!$D$17,IF(Evalucion!AE23=Datos!$C$18,Datos!$D$18,IF(Evalucion!AE23=Datos!$C$19,Datos!$D$19,"=")))))</f>
        <v>3</v>
      </c>
      <c r="AE25">
        <f>IF(Evalucion!AF23=Datos!$C$15,Datos!$D$15,IF(Evalucion!AF23=Datos!$C$16,Datos!$D$16,IF(Evalucion!AF23=Datos!$C$17,Datos!$D$17,IF(Evalucion!AF23=Datos!$C$18,Datos!$D$18,IF(Evalucion!AF23=Datos!$C$19,Datos!$D$19,"=")))))</f>
        <v>5</v>
      </c>
      <c r="AF25">
        <f>IF(Evalucion!AG23=Datos!$C$15,Datos!$D$15,IF(Evalucion!AG23=Datos!$C$16,Datos!$D$16,IF(Evalucion!AG23=Datos!$C$17,Datos!$D$17,IF(Evalucion!AG23=Datos!$C$18,Datos!$D$18,IF(Evalucion!AG23=Datos!$C$19,Datos!$D$19,"=")))))</f>
        <v>5</v>
      </c>
      <c r="AO25">
        <f>IF(Evalucion!AP23=Datos!$C$15,Datos!$D$15,IF(Evalucion!AP23=Datos!$C$16,Datos!$D$16,IF(Evalucion!AP23=Datos!$C$17,Datos!$D$17,IF(Evalucion!AP23=Datos!$C$18,Datos!$D$18,IF(Evalucion!AP23=Datos!$C$19,Datos!$D$19,"=")))))</f>
        <v>5</v>
      </c>
      <c r="AP25">
        <f>IF(Evalucion!AQ23=Datos!$C$15,Datos!$D$15,IF(Evalucion!AQ23=Datos!$C$16,Datos!$D$16,IF(Evalucion!AQ23=Datos!$C$17,Datos!$D$17,IF(Evalucion!AQ23=Datos!$C$18,Datos!$D$18,IF(Evalucion!AQ23=Datos!$C$19,Datos!$D$19,"=")))))</f>
        <v>3</v>
      </c>
      <c r="AQ25">
        <f>IF(Evalucion!AR23=Datos!$C$15,Datos!$D$15,IF(Evalucion!AR23=Datos!$C$16,Datos!$D$16,IF(Evalucion!AR23=Datos!$C$17,Datos!$D$17,IF(Evalucion!AR23=Datos!$C$18,Datos!$D$18,IF(Evalucion!AR23=Datos!$C$19,Datos!$D$19,"=")))))</f>
        <v>1</v>
      </c>
      <c r="AR25">
        <f>IF(Evalucion!AS23=Datos!$C$15,Datos!$D$15,IF(Evalucion!AS23=Datos!$C$16,Datos!$D$16,IF(Evalucion!AS23=Datos!$C$17,Datos!$D$17,IF(Evalucion!AS23=Datos!$C$18,Datos!$D$18,IF(Evalucion!AS23=Datos!$C$19,Datos!$D$19,"=")))))</f>
        <v>1</v>
      </c>
      <c r="AS25">
        <f>IF(Evalucion!AT23=Datos!$C$15,Datos!$D$15,IF(Evalucion!AT23=Datos!$C$16,Datos!$D$16,IF(Evalucion!AT23=Datos!$C$17,Datos!$D$17,IF(Evalucion!AT23=Datos!$C$18,Datos!$D$18,IF(Evalucion!AT23=Datos!$C$19,Datos!$D$19,"=")))))</f>
        <v>5</v>
      </c>
      <c r="AT25">
        <f>IF(Evalucion!AU23=Datos!$C$15,Datos!$D$15,IF(Evalucion!AU23=Datos!$C$16,Datos!$D$16,IF(Evalucion!AU23=Datos!$C$17,Datos!$D$17,IF(Evalucion!AU23=Datos!$C$18,Datos!$D$18,IF(Evalucion!AU23=Datos!$C$19,Datos!$D$19,"=")))))</f>
        <v>5</v>
      </c>
      <c r="AV25">
        <f>IF(Evalucion!AW23=Datos!$C$15,Datos!$D$15,IF(Evalucion!AW23=Datos!$C$16,Datos!$D$16,IF(Evalucion!AW23=Datos!$C$17,Datos!$D$17,IF(Evalucion!AW23=Datos!$C$18,Datos!$D$18,IF(Evalucion!AW23=Datos!$C$19,Datos!$D$19,"=")))))</f>
        <v>5</v>
      </c>
      <c r="AW25">
        <f>IF(Evalucion!AX23=Datos!$C$15,Datos!$D$15,IF(Evalucion!AX23=Datos!$C$16,Datos!$D$16,IF(Evalucion!AX23=Datos!$C$17,Datos!$D$17,IF(Evalucion!AX23=Datos!$C$18,Datos!$D$18,IF(Evalucion!AX23=Datos!$C$19,Datos!$D$19,"=")))))</f>
        <v>5</v>
      </c>
      <c r="AX25">
        <f>IF(Evalucion!AY23=Datos!$C$15,Datos!$D$15,IF(Evalucion!AY23=Datos!$C$16,Datos!$D$16,IF(Evalucion!AY23=Datos!$C$17,Datos!$D$17,IF(Evalucion!AY23=Datos!$C$18,Datos!$D$18,IF(Evalucion!AY23=Datos!$C$19,Datos!$D$19,"=")))))</f>
        <v>5</v>
      </c>
      <c r="AY25">
        <f>IF(Evalucion!AZ23=Datos!$C$15,Datos!$D$15,IF(Evalucion!AZ23=Datos!$C$16,Datos!$D$16,IF(Evalucion!AZ23=Datos!$C$17,Datos!$D$17,IF(Evalucion!AZ23=Datos!$C$18,Datos!$D$18,IF(Evalucion!AZ23=Datos!$C$19,Datos!$D$19,"=")))))</f>
        <v>5</v>
      </c>
      <c r="AZ25">
        <f>IF(Evalucion!BA23=Datos!$C$15,Datos!$D$15,IF(Evalucion!BA23=Datos!$C$16,Datos!$D$16,IF(Evalucion!BA23=Datos!$C$17,Datos!$D$17,IF(Evalucion!BA23=Datos!$C$18,Datos!$D$18,IF(Evalucion!BA23=Datos!$C$19,Datos!$D$19,"=")))))</f>
        <v>5</v>
      </c>
      <c r="BA25">
        <f>IF(Evalucion!BB23=Datos!$C$15,Datos!$D$15,IF(Evalucion!BB23=Datos!$C$16,Datos!$D$16,IF(Evalucion!BB23=Datos!$C$17,Datos!$D$17,IF(Evalucion!BB23=Datos!$C$18,Datos!$D$18,IF(Evalucion!BB23=Datos!$C$19,Datos!$D$19,"=")))))</f>
        <v>5</v>
      </c>
      <c r="BB25">
        <f>IF(Evalucion!BC23=Datos!$C$15,Datos!$D$15,IF(Evalucion!BC23=Datos!$C$16,Datos!$D$16,IF(Evalucion!BC23=Datos!$C$17,Datos!$D$17,IF(Evalucion!BC23=Datos!$C$18,Datos!$D$18,IF(Evalucion!BC23=Datos!$C$19,Datos!$D$19,"=")))))</f>
        <v>5</v>
      </c>
      <c r="BC25">
        <f>IF(Evalucion!BD23=Datos!$C$15,Datos!$D$15,IF(Evalucion!BD23=Datos!$C$16,Datos!$D$16,IF(Evalucion!BD23=Datos!$C$17,Datos!$D$17,IF(Evalucion!BD23=Datos!$C$18,Datos!$D$18,IF(Evalucion!BD23=Datos!$C$19,Datos!$D$19,"=")))))</f>
        <v>1</v>
      </c>
      <c r="BD25">
        <f>IF(Evalucion!BE23=Datos!$C$15,Datos!$D$15,IF(Evalucion!BE23=Datos!$C$16,Datos!$D$16,IF(Evalucion!BE23=Datos!$C$17,Datos!$D$17,IF(Evalucion!BE23=Datos!$C$18,Datos!$D$18,IF(Evalucion!BE23=Datos!$C$19,Datos!$D$19,"=")))))</f>
        <v>5</v>
      </c>
      <c r="BE25">
        <f>IF(Evalucion!BF23=Datos!$C$15,Datos!$D$15,IF(Evalucion!BF23=Datos!$C$16,Datos!$D$16,IF(Evalucion!BF23=Datos!$C$17,Datos!$D$17,IF(Evalucion!BF23=Datos!$C$18,Datos!$D$18,IF(Evalucion!BF23=Datos!$C$19,Datos!$D$19,"=")))))</f>
        <v>1</v>
      </c>
      <c r="BF25">
        <f>IF(Evalucion!BG23=Datos!$C$15,Datos!$D$15,IF(Evalucion!BG23=Datos!$C$16,Datos!$D$16,IF(Evalucion!BG23=Datos!$C$17,Datos!$D$17,IF(Evalucion!BG23=Datos!$C$18,Datos!$D$18,IF(Evalucion!BG23=Datos!$C$19,Datos!$D$19,"=")))))</f>
        <v>5</v>
      </c>
      <c r="BG25">
        <f>IF(Evalucion!BH23=Datos!$C$15,Datos!$D$15,IF(Evalucion!BH23=Datos!$C$16,Datos!$D$16,IF(Evalucion!BH23=Datos!$C$17,Datos!$D$17,IF(Evalucion!BH23=Datos!$C$18,Datos!$D$18,IF(Evalucion!BH23=Datos!$C$19,Datos!$D$19,"=")))))</f>
        <v>5</v>
      </c>
      <c r="BH25">
        <f>IF(Evalucion!BI23=Datos!$C$15,Datos!$D$15,IF(Evalucion!BI23=Datos!$C$16,Datos!$D$16,IF(Evalucion!BI23=Datos!$C$17,Datos!$D$17,IF(Evalucion!BI23=Datos!$C$18,Datos!$D$18,IF(Evalucion!BI23=Datos!$C$19,Datos!$D$19,"=")))))</f>
        <v>5</v>
      </c>
      <c r="BI25">
        <f>IF(Evalucion!BJ23=Datos!$C$15,Datos!$D$15,IF(Evalucion!BJ23=Datos!$C$16,Datos!$D$16,IF(Evalucion!BJ23=Datos!$C$17,Datos!$D$17,IF(Evalucion!BJ23=Datos!$C$18,Datos!$D$18,IF(Evalucion!BJ23=Datos!$C$19,Datos!$D$19,"=")))))</f>
        <v>5</v>
      </c>
      <c r="BJ25">
        <f>IF(Evalucion!BK23=Datos!$C$15,Datos!$D$15,IF(Evalucion!BK23=Datos!$C$16,Datos!$D$16,IF(Evalucion!BK23=Datos!$C$17,Datos!$D$17,IF(Evalucion!BK23=Datos!$C$18,Datos!$D$18,IF(Evalucion!BK23=Datos!$C$19,Datos!$D$19,"=")))))</f>
        <v>5</v>
      </c>
      <c r="BK25">
        <f>IF(Evalucion!BL23=Datos!$C$15,Datos!$D$15,IF(Evalucion!BL23=Datos!$C$16,Datos!$D$16,IF(Evalucion!BL23=Datos!$C$17,Datos!$D$17,IF(Evalucion!BL23=Datos!$C$18,Datos!$D$18,IF(Evalucion!BL23=Datos!$C$19,Datos!$D$19,"=")))))</f>
        <v>5</v>
      </c>
      <c r="BL25">
        <f>IF(Evalucion!BM23=Datos!$C$15,Datos!$D$15,IF(Evalucion!BM23=Datos!$C$16,Datos!$D$16,IF(Evalucion!BM23=Datos!$C$17,Datos!$D$17,IF(Evalucion!BM23=Datos!$C$18,Datos!$D$18,IF(Evalucion!BM23=Datos!$C$19,Datos!$D$19,"=")))))</f>
        <v>5</v>
      </c>
      <c r="BM25">
        <f>IF(Evalucion!BN23=Datos!$C$15,Datos!$D$15,IF(Evalucion!BN23=Datos!$C$16,Datos!$D$16,IF(Evalucion!BN23=Datos!$C$17,Datos!$D$17,IF(Evalucion!BN23=Datos!$C$18,Datos!$D$18,IF(Evalucion!BN23=Datos!$C$19,Datos!$D$19,"=")))))</f>
        <v>5</v>
      </c>
      <c r="BN25">
        <f>IF(Evalucion!BO23=Datos!$C$15,Datos!$D$15,IF(Evalucion!BO23=Datos!$C$16,Datos!$D$16,IF(Evalucion!BO23=Datos!$C$17,Datos!$D$17,IF(Evalucion!BO23=Datos!$C$18,Datos!$D$18,IF(Evalucion!BO23=Datos!$C$19,Datos!$D$19,"=")))))</f>
        <v>5</v>
      </c>
      <c r="BO25">
        <f>IF(Evalucion!BP23=Datos!$C$15,Datos!$D$15,IF(Evalucion!BP23=Datos!$C$16,Datos!$D$16,IF(Evalucion!BP23=Datos!$C$17,Datos!$D$17,IF(Evalucion!BP23=Datos!$C$18,Datos!$D$18,IF(Evalucion!BP23=Datos!$C$19,Datos!$D$19,"=")))))</f>
        <v>5</v>
      </c>
      <c r="BP25">
        <f>IF(Evalucion!BQ23=Datos!$C$15,Datos!$D$15,IF(Evalucion!BQ23=Datos!$C$16,Datos!$D$16,IF(Evalucion!BQ23=Datos!$C$17,Datos!$D$17,IF(Evalucion!BQ23=Datos!$C$18,Datos!$D$18,IF(Evalucion!BQ23=Datos!$C$19,Datos!$D$19,"=")))))</f>
        <v>5</v>
      </c>
      <c r="BQ25">
        <f>IF(Evalucion!BR23=Datos!$C$15,Datos!$D$15,IF(Evalucion!BR23=Datos!$C$16,Datos!$D$16,IF(Evalucion!BR23=Datos!$C$17,Datos!$D$17,IF(Evalucion!BR23=Datos!$C$18,Datos!$D$18,IF(Evalucion!BR23=Datos!$C$19,Datos!$D$19,"=")))))</f>
        <v>3</v>
      </c>
      <c r="BR25">
        <f>IF(Evalucion!BS23=Datos!$C$15,Datos!$D$15,IF(Evalucion!BS23=Datos!$C$16,Datos!$D$16,IF(Evalucion!BS23=Datos!$C$17,Datos!$D$17,IF(Evalucion!BS23=Datos!$C$18,Datos!$D$18,IF(Evalucion!BS23=Datos!$C$19,Datos!$D$19,"=")))))</f>
        <v>5</v>
      </c>
      <c r="BS25">
        <f>IF(Evalucion!BT23=Datos!$C$15,Datos!$D$15,IF(Evalucion!BT23=Datos!$C$16,Datos!$D$16,IF(Evalucion!BT23=Datos!$C$17,Datos!$D$17,IF(Evalucion!BT23=Datos!$C$18,Datos!$D$18,IF(Evalucion!BT23=Datos!$C$19,Datos!$D$19,"=")))))</f>
        <v>1</v>
      </c>
      <c r="BT25">
        <f>IF(Evalucion!BU23=Datos!$C$15,Datos!$D$15,IF(Evalucion!BU23=Datos!$C$16,Datos!$D$16,IF(Evalucion!BU23=Datos!$C$17,Datos!$D$17,IF(Evalucion!BU23=Datos!$C$18,Datos!$D$18,IF(Evalucion!BU23=Datos!$C$19,Datos!$D$19,"=")))))</f>
        <v>5</v>
      </c>
      <c r="BU25">
        <f>IF(Evalucion!BV23=Datos!$C$15,Datos!$D$15,IF(Evalucion!BV23=Datos!$C$16,Datos!$D$16,IF(Evalucion!BV23=Datos!$C$17,Datos!$D$17,IF(Evalucion!BV23=Datos!$C$18,Datos!$D$18,IF(Evalucion!BV23=Datos!$C$19,Datos!$D$19,"=")))))</f>
        <v>3</v>
      </c>
      <c r="BV25">
        <f>IF(Evalucion!BW23=Datos!$C$15,Datos!$D$15,IF(Evalucion!BW23=Datos!$C$16,Datos!$D$16,IF(Evalucion!BW23=Datos!$C$17,Datos!$D$17,IF(Evalucion!BW23=Datos!$C$18,Datos!$D$18,IF(Evalucion!BW23=Datos!$C$19,Datos!$D$19,"=")))))</f>
        <v>5</v>
      </c>
      <c r="BW25">
        <f>IF(Evalucion!BX23=Datos!$C$15,Datos!$D$15,IF(Evalucion!BX23=Datos!$C$16,Datos!$D$16,IF(Evalucion!BX23=Datos!$C$17,Datos!$D$17,IF(Evalucion!BX23=Datos!$C$18,Datos!$D$18,IF(Evalucion!BX23=Datos!$C$19,Datos!$D$19,"=")))))</f>
        <v>5</v>
      </c>
      <c r="BX25">
        <f>IF(Evalucion!BY23=Datos!$C$15,Datos!$D$15,IF(Evalucion!BY23=Datos!$C$16,Datos!$D$16,IF(Evalucion!BY23=Datos!$C$17,Datos!$D$17,IF(Evalucion!BY23=Datos!$C$18,Datos!$D$18,IF(Evalucion!BY23=Datos!$C$19,Datos!$D$19,"=")))))</f>
        <v>5</v>
      </c>
      <c r="BY25">
        <f>IF(Evalucion!BZ23=Datos!$C$15,Datos!$D$15,IF(Evalucion!BZ23=Datos!$C$16,Datos!$D$16,IF(Evalucion!BZ23=Datos!$C$17,Datos!$D$17,IF(Evalucion!BZ23=Datos!$C$18,Datos!$D$18,IF(Evalucion!BZ23=Datos!$C$19,Datos!$D$19,"=")))))</f>
        <v>5</v>
      </c>
      <c r="BZ25">
        <f>IF(Evalucion!CA23=Datos!$C$15,Datos!$D$15,IF(Evalucion!CA23=Datos!$C$16,Datos!$D$16,IF(Evalucion!CA23=Datos!$C$17,Datos!$D$17,IF(Evalucion!CA23=Datos!$C$18,Datos!$D$18,IF(Evalucion!CA23=Datos!$C$19,Datos!$D$19,"=")))))</f>
        <v>5</v>
      </c>
      <c r="CA25">
        <f>IF(Evalucion!CB23=Datos!$C$15,Datos!$D$15,IF(Evalucion!CB23=Datos!$C$16,Datos!$D$16,IF(Evalucion!CB23=Datos!$C$17,Datos!$D$17,IF(Evalucion!CB23=Datos!$C$18,Datos!$D$18,IF(Evalucion!CB23=Datos!$C$19,Datos!$D$19,"=")))))</f>
        <v>5</v>
      </c>
      <c r="CB25">
        <f>IF(Evalucion!CC23=Datos!$C$15,Datos!$D$15,IF(Evalucion!CC23=Datos!$C$16,Datos!$D$16,IF(Evalucion!CC23=Datos!$C$17,Datos!$D$17,IF(Evalucion!CC23=Datos!$C$18,Datos!$D$18,IF(Evalucion!CC23=Datos!$C$19,Datos!$D$19,"=")))))</f>
        <v>5</v>
      </c>
      <c r="CC25">
        <f>IF(Evalucion!CD23=Datos!$C$15,Datos!$D$15,IF(Evalucion!CD23=Datos!$C$16,Datos!$D$16,IF(Evalucion!CD23=Datos!$C$17,Datos!$D$17,IF(Evalucion!CD23=Datos!$C$18,Datos!$D$18,IF(Evalucion!CD23=Datos!$C$19,Datos!$D$19,"=")))))</f>
        <v>5</v>
      </c>
      <c r="CD25">
        <f>IF(Evalucion!CE23=Datos!$C$15,Datos!$D$15,IF(Evalucion!CE23=Datos!$C$16,Datos!$D$16,IF(Evalucion!CE23=Datos!$C$17,Datos!$D$17,IF(Evalucion!CE23=Datos!$C$18,Datos!$D$18,IF(Evalucion!CE23=Datos!$C$19,Datos!$D$19,"=")))))</f>
        <v>5</v>
      </c>
      <c r="CE25">
        <f>IF(Evalucion!CF23=Datos!$C$15,Datos!$D$15,IF(Evalucion!CF23=Datos!$C$16,Datos!$D$16,IF(Evalucion!CF23=Datos!$C$17,Datos!$D$17,IF(Evalucion!CF23=Datos!$C$18,Datos!$D$18,IF(Evalucion!CF23=Datos!$C$19,Datos!$D$19,"=")))))</f>
        <v>3</v>
      </c>
      <c r="CF25">
        <f>IF(Evalucion!CG23=Datos!$C$15,Datos!$D$15,IF(Evalucion!CG23=Datos!$C$16,Datos!$D$16,IF(Evalucion!CG23=Datos!$C$17,Datos!$D$17,IF(Evalucion!CG23=Datos!$C$18,Datos!$D$18,IF(Evalucion!CG23=Datos!$C$19,Datos!$D$19,"=")))))</f>
        <v>5</v>
      </c>
      <c r="CG25">
        <f>IF(Evalucion!CH23=Datos!$C$15,Datos!$D$15,IF(Evalucion!CH23=Datos!$C$16,Datos!$D$16,IF(Evalucion!CH23=Datos!$C$17,Datos!$D$17,IF(Evalucion!CH23=Datos!$C$18,Datos!$D$18,IF(Evalucion!CH23=Datos!$C$19,Datos!$D$19,"=")))))</f>
        <v>1</v>
      </c>
      <c r="CH25">
        <f>IF(Evalucion!CI23=Datos!$C$15,Datos!$D$15,IF(Evalucion!CI23=Datos!$C$16,Datos!$D$16,IF(Evalucion!CI23=Datos!$C$17,Datos!$D$17,IF(Evalucion!CI23=Datos!$C$18,Datos!$D$18,IF(Evalucion!CI23=Datos!$C$19,Datos!$D$19,"=")))))</f>
        <v>5</v>
      </c>
      <c r="CI25">
        <f>IF(Evalucion!CJ23=Datos!$C$15,Datos!$D$15,IF(Evalucion!CJ23=Datos!$C$16,Datos!$D$16,IF(Evalucion!CJ23=Datos!$C$17,Datos!$D$17,IF(Evalucion!CJ23=Datos!$C$18,Datos!$D$18,IF(Evalucion!CJ23=Datos!$C$19,Datos!$D$19,"=")))))</f>
        <v>3</v>
      </c>
      <c r="CJ25">
        <f>IF(Evalucion!CK23=Datos!$C$15,Datos!$D$15,IF(Evalucion!CK23=Datos!$C$16,Datos!$D$16,IF(Evalucion!CK23=Datos!$C$17,Datos!$D$17,IF(Evalucion!CK23=Datos!$C$18,Datos!$D$18,IF(Evalucion!CK23=Datos!$C$19,Datos!$D$19,"=")))))</f>
        <v>5</v>
      </c>
      <c r="CK25">
        <f>IF(Evalucion!CL23=Datos!$C$15,Datos!$D$15,IF(Evalucion!CL23=Datos!$C$16,Datos!$D$16,IF(Evalucion!CL23=Datos!$C$17,Datos!$D$17,IF(Evalucion!CL23=Datos!$C$18,Datos!$D$18,IF(Evalucion!CL23=Datos!$C$19,Datos!$D$19,"=")))))</f>
        <v>5</v>
      </c>
      <c r="CL25">
        <f>IF(Evalucion!CM23=Datos!$C$15,Datos!$D$15,IF(Evalucion!CM23=Datos!$C$16,Datos!$D$16,IF(Evalucion!CM23=Datos!$C$17,Datos!$D$17,IF(Evalucion!CM23=Datos!$C$18,Datos!$D$18,IF(Evalucion!CM23=Datos!$C$19,Datos!$D$19,"=")))))</f>
        <v>5</v>
      </c>
      <c r="CM25">
        <f>IF(Evalucion!CN23=Datos!$C$15,Datos!$D$15,IF(Evalucion!CN23=Datos!$C$16,Datos!$D$16,IF(Evalucion!CN23=Datos!$C$17,Datos!$D$17,IF(Evalucion!CN23=Datos!$C$18,Datos!$D$18,IF(Evalucion!CN23=Datos!$C$19,Datos!$D$19,"=")))))</f>
        <v>5</v>
      </c>
      <c r="CN25">
        <f>IF(Evalucion!CO23=Datos!$C$15,Datos!$D$15,IF(Evalucion!CO23=Datos!$C$16,Datos!$D$16,IF(Evalucion!CO23=Datos!$C$17,Datos!$D$17,IF(Evalucion!CO23=Datos!$C$18,Datos!$D$18,IF(Evalucion!CO23=Datos!$C$19,Datos!$D$19,"=")))))</f>
        <v>5</v>
      </c>
      <c r="CO25">
        <f>IF(Evalucion!CP23=Datos!$C$15,Datos!$D$15,IF(Evalucion!CP23=Datos!$C$16,Datos!$D$16,IF(Evalucion!CP23=Datos!$C$17,Datos!$D$17,IF(Evalucion!CP23=Datos!$C$18,Datos!$D$18,IF(Evalucion!CP23=Datos!$C$19,Datos!$D$19,"=")))))</f>
        <v>5</v>
      </c>
      <c r="CP25">
        <f>IF(Evalucion!CQ23=Datos!$C$15,Datos!$D$15,IF(Evalucion!CQ23=Datos!$C$16,Datos!$D$16,IF(Evalucion!CQ23=Datos!$C$17,Datos!$D$17,IF(Evalucion!CQ23=Datos!$C$18,Datos!$D$18,IF(Evalucion!CQ23=Datos!$C$19,Datos!$D$19,"=")))))</f>
        <v>5</v>
      </c>
      <c r="CQ25">
        <f>IF(Evalucion!CR23=Datos!$C$15,Datos!$D$15,IF(Evalucion!CR23=Datos!$C$16,Datos!$D$16,IF(Evalucion!CR23=Datos!$C$17,Datos!$D$17,IF(Evalucion!CR23=Datos!$C$18,Datos!$D$18,IF(Evalucion!CR23=Datos!$C$19,Datos!$D$19,"=")))))</f>
        <v>3</v>
      </c>
      <c r="CR25">
        <f>IF(Evalucion!CS23=Datos!$C$15,Datos!$D$15,IF(Evalucion!CS23=Datos!$C$16,Datos!$D$16,IF(Evalucion!CS23=Datos!$C$17,Datos!$D$17,IF(Evalucion!CS23=Datos!$C$18,Datos!$D$18,IF(Evalucion!CS23=Datos!$C$19,Datos!$D$19,"=")))))</f>
        <v>5</v>
      </c>
      <c r="CS25">
        <f>IF(Evalucion!CT23=Datos!$C$15,Datos!$D$15,IF(Evalucion!CT23=Datos!$C$16,Datos!$D$16,IF(Evalucion!CT23=Datos!$C$17,Datos!$D$17,IF(Evalucion!CT23=Datos!$C$18,Datos!$D$18,IF(Evalucion!CT23=Datos!$C$19,Datos!$D$19,"=")))))</f>
        <v>3</v>
      </c>
      <c r="CT25">
        <f>IF(Evalucion!CU23=Datos!$C$15,Datos!$D$15,IF(Evalucion!CU23=Datos!$C$16,Datos!$D$16,IF(Evalucion!CU23=Datos!$C$17,Datos!$D$17,IF(Evalucion!CU23=Datos!$C$18,Datos!$D$18,IF(Evalucion!CU23=Datos!$C$19,Datos!$D$19,"=")))))</f>
        <v>5</v>
      </c>
      <c r="CU25">
        <f>IF(Evalucion!CV23=Datos!$C$15,Datos!$D$15,IF(Evalucion!CV23=Datos!$C$16,Datos!$D$16,IF(Evalucion!CV23=Datos!$C$17,Datos!$D$17,IF(Evalucion!CV23=Datos!$C$18,Datos!$D$18,IF(Evalucion!CV23=Datos!$C$19,Datos!$D$19,"=")))))</f>
        <v>3</v>
      </c>
      <c r="CV25">
        <f>IF(Evalucion!CW23=Datos!$C$15,Datos!$D$15,IF(Evalucion!CW23=Datos!$C$16,Datos!$D$16,IF(Evalucion!CW23=Datos!$C$17,Datos!$D$17,IF(Evalucion!CW23=Datos!$C$18,Datos!$D$18,IF(Evalucion!CW23=Datos!$C$19,Datos!$D$19,"=")))))</f>
        <v>5</v>
      </c>
      <c r="CW25">
        <f>IF(Evalucion!CX23=Datos!$C$15,Datos!$D$15,IF(Evalucion!CX23=Datos!$C$16,Datos!$D$16,IF(Evalucion!CX23=Datos!$C$17,Datos!$D$17,IF(Evalucion!CX23=Datos!$C$18,Datos!$D$18,IF(Evalucion!CX23=Datos!$C$19,Datos!$D$19,"=")))))</f>
        <v>3</v>
      </c>
      <c r="CX25">
        <f>IF(Evalucion!CY23=Datos!$C$15,Datos!$D$15,IF(Evalucion!CY23=Datos!$C$16,Datos!$D$16,IF(Evalucion!CY23=Datos!$C$17,Datos!$D$17,IF(Evalucion!CY23=Datos!$C$18,Datos!$D$18,IF(Evalucion!CY23=Datos!$C$19,Datos!$D$19,"=")))))</f>
        <v>5</v>
      </c>
      <c r="CY25">
        <f>IF(Evalucion!CZ23=Datos!$C$15,Datos!$D$15,IF(Evalucion!CZ23=Datos!$C$16,Datos!$D$16,IF(Evalucion!CZ23=Datos!$C$17,Datos!$D$17,IF(Evalucion!CZ23=Datos!$C$18,Datos!$D$18,IF(Evalucion!CZ23=Datos!$C$19,Datos!$D$19,"=")))))</f>
        <v>3</v>
      </c>
      <c r="CZ25">
        <f>IF(Evalucion!DA23=Datos!$C$15,Datos!$D$15,IF(Evalucion!DA23=Datos!$C$16,Datos!$D$16,IF(Evalucion!DA23=Datos!$C$17,Datos!$D$17,IF(Evalucion!DA23=Datos!$C$18,Datos!$D$18,IF(Evalucion!DA23=Datos!$C$19,Datos!$D$19,"=")))))</f>
        <v>5</v>
      </c>
      <c r="DA25">
        <f>IF(Evalucion!DB23=Datos!$C$15,Datos!$D$15,IF(Evalucion!DB23=Datos!$C$16,Datos!$D$16,IF(Evalucion!DB23=Datos!$C$17,Datos!$D$17,IF(Evalucion!DB23=Datos!$C$18,Datos!$D$18,IF(Evalucion!DB23=Datos!$C$19,Datos!$D$19,"=")))))</f>
        <v>3</v>
      </c>
      <c r="DB25">
        <f>IF(Evalucion!DC23=Datos!$C$15,Datos!$D$15,IF(Evalucion!DC23=Datos!$C$16,Datos!$D$16,IF(Evalucion!DC23=Datos!$C$17,Datos!$D$17,IF(Evalucion!DC23=Datos!$C$18,Datos!$D$18,IF(Evalucion!DC23=Datos!$C$19,Datos!$D$19,"=")))))</f>
        <v>5</v>
      </c>
      <c r="DC25">
        <f>IF(Evalucion!DD23=Datos!$C$15,Datos!$D$15,IF(Evalucion!DD23=Datos!$C$16,Datos!$D$16,IF(Evalucion!DD23=Datos!$C$17,Datos!$D$17,IF(Evalucion!DD23=Datos!$C$18,Datos!$D$18,IF(Evalucion!DD23=Datos!$C$19,Datos!$D$19,"=")))))</f>
        <v>5</v>
      </c>
      <c r="DD25">
        <f>IF(Evalucion!DE23=Datos!$C$15,Datos!$D$15,IF(Evalucion!DE23=Datos!$C$16,Datos!$D$16,IF(Evalucion!DE23=Datos!$C$17,Datos!$D$17,IF(Evalucion!DE23=Datos!$C$18,Datos!$D$18,IF(Evalucion!DE23=Datos!$C$19,Datos!$D$19,"=")))))</f>
        <v>1</v>
      </c>
      <c r="DE25">
        <f>IF(Evalucion!DF23=Datos!$C$15,Datos!$D$15,IF(Evalucion!DF23=Datos!$C$16,Datos!$D$16,IF(Evalucion!DF23=Datos!$C$17,Datos!$D$17,IF(Evalucion!DF23=Datos!$C$18,Datos!$D$18,IF(Evalucion!DF23=Datos!$C$19,Datos!$D$19,"=")))))</f>
        <v>1</v>
      </c>
      <c r="DF25">
        <f>IF(Evalucion!DG23=Datos!$C$15,Datos!$D$15,IF(Evalucion!DG23=Datos!$C$16,Datos!$D$16,IF(Evalucion!DG23=Datos!$C$17,Datos!$D$17,IF(Evalucion!DG23=Datos!$C$18,Datos!$D$18,IF(Evalucion!DG23=Datos!$C$19,Datos!$D$19,"=")))))</f>
        <v>5</v>
      </c>
      <c r="DG25">
        <f>IF(Evalucion!DH23=Datos!$C$15,Datos!$D$15,IF(Evalucion!DH23=Datos!$C$16,Datos!$D$16,IF(Evalucion!DH23=Datos!$C$17,Datos!$D$17,IF(Evalucion!DH23=Datos!$C$18,Datos!$D$18,IF(Evalucion!DH23=Datos!$C$19,Datos!$D$19,"=")))))</f>
        <v>5</v>
      </c>
      <c r="DH25">
        <f>IF(Evalucion!DI23=Datos!$C$15,Datos!$D$15,IF(Evalucion!DI23=Datos!$C$16,Datos!$D$16,IF(Evalucion!DI23=Datos!$C$17,Datos!$D$17,IF(Evalucion!DI23=Datos!$C$18,Datos!$D$18,IF(Evalucion!DI23=Datos!$C$19,Datos!$D$19,"=")))))</f>
        <v>1</v>
      </c>
      <c r="DI25">
        <f>IF(Evalucion!DJ23=Datos!$C$15,Datos!$D$15,IF(Evalucion!DJ23=Datos!$C$16,Datos!$D$16,IF(Evalucion!DJ23=Datos!$C$17,Datos!$D$17,IF(Evalucion!DJ23=Datos!$C$18,Datos!$D$18,IF(Evalucion!DJ23=Datos!$C$19,Datos!$D$19,"=")))))</f>
        <v>1</v>
      </c>
      <c r="DJ25">
        <f>IF(Evalucion!DK23=Datos!$C$15,Datos!$D$15,IF(Evalucion!DK23=Datos!$C$16,Datos!$D$16,IF(Evalucion!DK23=Datos!$C$17,Datos!$D$17,IF(Evalucion!DK23=Datos!$C$18,Datos!$D$18,IF(Evalucion!DK23=Datos!$C$19,Datos!$D$19,"=")))))</f>
        <v>1</v>
      </c>
      <c r="DK25">
        <f>IF(Evalucion!DL23=Datos!$C$15,Datos!$D$15,IF(Evalucion!DL23=Datos!$C$16,Datos!$D$16,IF(Evalucion!DL23=Datos!$C$17,Datos!$D$17,IF(Evalucion!DL23=Datos!$C$18,Datos!$D$18,IF(Evalucion!DL23=Datos!$C$19,Datos!$D$19,"=")))))</f>
        <v>1</v>
      </c>
      <c r="DL25">
        <f>IF(Evalucion!DM23=Datos!$C$15,Datos!$D$15,IF(Evalucion!DM23=Datos!$C$16,Datos!$D$16,IF(Evalucion!DM23=Datos!$C$17,Datos!$D$17,IF(Evalucion!DM23=Datos!$C$18,Datos!$D$18,IF(Evalucion!DM23=Datos!$C$19,Datos!$D$19,"=")))))</f>
        <v>1</v>
      </c>
      <c r="DM25">
        <f>IF(Evalucion!DN23=Datos!$C$15,Datos!$D$15,IF(Evalucion!DN23=Datos!$C$16,Datos!$D$16,IF(Evalucion!DN23=Datos!$C$17,Datos!$D$17,IF(Evalucion!DN23=Datos!$C$18,Datos!$D$18,IF(Evalucion!DN23=Datos!$C$19,Datos!$D$19,"=")))))</f>
        <v>1</v>
      </c>
      <c r="DN25">
        <f>IF(Evalucion!DO23=Datos!$C$15,Datos!$D$15,IF(Evalucion!DO23=Datos!$C$16,Datos!$D$16,IF(Evalucion!DO23=Datos!$C$17,Datos!$D$17,IF(Evalucion!DO23=Datos!$C$18,Datos!$D$18,IF(Evalucion!DO23=Datos!$C$19,Datos!$D$19,"=")))))</f>
        <v>5</v>
      </c>
      <c r="DO25">
        <f>IF(Evalucion!DP23=Datos!$C$15,Datos!$D$15,IF(Evalucion!DP23=Datos!$C$16,Datos!$D$16,IF(Evalucion!DP23=Datos!$C$17,Datos!$D$17,IF(Evalucion!DP23=Datos!$C$18,Datos!$D$18,IF(Evalucion!DP23=Datos!$C$19,Datos!$D$19,"=")))))</f>
        <v>5</v>
      </c>
      <c r="DP25">
        <f>IF(Evalucion!DQ23=Datos!$C$15,Datos!$D$15,IF(Evalucion!DQ23=Datos!$C$16,Datos!$D$16,IF(Evalucion!DQ23=Datos!$C$17,Datos!$D$17,IF(Evalucion!DQ23=Datos!$C$18,Datos!$D$18,IF(Evalucion!DQ23=Datos!$C$19,Datos!$D$19,"=")))))</f>
        <v>5</v>
      </c>
      <c r="DQ25">
        <f>IF(Evalucion!DR23=Datos!$C$15,Datos!$D$15,IF(Evalucion!DR23=Datos!$C$16,Datos!$D$16,IF(Evalucion!DR23=Datos!$C$17,Datos!$D$17,IF(Evalucion!DR23=Datos!$C$18,Datos!$D$18,IF(Evalucion!DR23=Datos!$C$19,Datos!$D$19,"=")))))</f>
        <v>3</v>
      </c>
      <c r="DR25">
        <f>IF(Evalucion!DS23=Datos!$C$15,Datos!$D$15,IF(Evalucion!DS23=Datos!$C$16,Datos!$D$16,IF(Evalucion!DS23=Datos!$C$17,Datos!$D$17,IF(Evalucion!DS23=Datos!$C$18,Datos!$D$18,IF(Evalucion!DS23=Datos!$C$19,Datos!$D$19,"=")))))</f>
        <v>5</v>
      </c>
      <c r="DS25">
        <f>IF(Evalucion!DT23=Datos!$C$15,Datos!$D$15,IF(Evalucion!DT23=Datos!$C$16,Datos!$D$16,IF(Evalucion!DT23=Datos!$C$17,Datos!$D$17,IF(Evalucion!DT23=Datos!$C$18,Datos!$D$18,IF(Evalucion!DT23=Datos!$C$19,Datos!$D$19,"=")))))</f>
        <v>3</v>
      </c>
      <c r="DT25">
        <f>IF(Evalucion!DU23=Datos!$C$15,Datos!$D$15,IF(Evalucion!DU23=Datos!$C$16,Datos!$D$16,IF(Evalucion!DU23=Datos!$C$17,Datos!$D$17,IF(Evalucion!DU23=Datos!$C$18,Datos!$D$18,IF(Evalucion!DU23=Datos!$C$19,Datos!$D$19,"=")))))</f>
        <v>5</v>
      </c>
      <c r="DU25">
        <f>IF(Evalucion!DV23=Datos!$C$15,Datos!$D$15,IF(Evalucion!DV23=Datos!$C$16,Datos!$D$16,IF(Evalucion!DV23=Datos!$C$17,Datos!$D$17,IF(Evalucion!DV23=Datos!$C$18,Datos!$D$18,IF(Evalucion!DV23=Datos!$C$19,Datos!$D$19,"=")))))</f>
        <v>5</v>
      </c>
      <c r="DV25">
        <f>IF(Evalucion!DW23=Datos!$C$15,Datos!$D$15,IF(Evalucion!DW23=Datos!$C$16,Datos!$D$16,IF(Evalucion!DW23=Datos!$C$17,Datos!$D$17,IF(Evalucion!DW23=Datos!$C$18,Datos!$D$18,IF(Evalucion!DW23=Datos!$C$19,Datos!$D$19,"=")))))</f>
        <v>5</v>
      </c>
      <c r="DW25">
        <f>IF(Evalucion!DX23=Datos!$C$15,Datos!$D$15,IF(Evalucion!DX23=Datos!$C$16,Datos!$D$16,IF(Evalucion!DX23=Datos!$C$17,Datos!$D$17,IF(Evalucion!DX23=Datos!$C$18,Datos!$D$18,IF(Evalucion!DX23=Datos!$C$19,Datos!$D$19,"=")))))</f>
        <v>5</v>
      </c>
      <c r="DX25">
        <f>IF(Evalucion!DY23=Datos!$C$15,Datos!$D$15,IF(Evalucion!DY23=Datos!$C$16,Datos!$D$16,IF(Evalucion!DY23=Datos!$C$17,Datos!$D$17,IF(Evalucion!DY23=Datos!$C$18,Datos!$D$18,IF(Evalucion!DY23=Datos!$C$19,Datos!$D$19,"=")))))</f>
        <v>5</v>
      </c>
      <c r="DY25">
        <f>IF(Evalucion!DZ23=Datos!$C$15,Datos!$D$15,IF(Evalucion!DZ23=Datos!$C$16,Datos!$D$16,IF(Evalucion!DZ23=Datos!$C$17,Datos!$D$17,IF(Evalucion!DZ23=Datos!$C$18,Datos!$D$18,IF(Evalucion!DZ23=Datos!$C$19,Datos!$D$19,"=")))))</f>
        <v>3</v>
      </c>
      <c r="DZ25">
        <f>IF(Evalucion!EA23=Datos!$C$15,Datos!$D$15,IF(Evalucion!EA23=Datos!$C$16,Datos!$D$16,IF(Evalucion!EA23=Datos!$C$17,Datos!$D$17,IF(Evalucion!EA23=Datos!$C$18,Datos!$D$18,IF(Evalucion!EA23=Datos!$C$19,Datos!$D$19,"=")))))</f>
        <v>5</v>
      </c>
      <c r="EA25">
        <f>IF(Evalucion!EB23=Datos!$C$15,Datos!$D$15,IF(Evalucion!EB23=Datos!$C$16,Datos!$D$16,IF(Evalucion!EB23=Datos!$C$17,Datos!$D$17,IF(Evalucion!EB23=Datos!$C$18,Datos!$D$18,IF(Evalucion!EB23=Datos!$C$19,Datos!$D$19,"=")))))</f>
        <v>5</v>
      </c>
      <c r="EB25">
        <f>IF(Evalucion!EC23=Datos!$C$15,Datos!$D$15,IF(Evalucion!EC23=Datos!$C$16,Datos!$D$16,IF(Evalucion!EC23=Datos!$C$17,Datos!$D$17,IF(Evalucion!EC23=Datos!$C$18,Datos!$D$18,IF(Evalucion!EC23=Datos!$C$19,Datos!$D$19,"=")))))</f>
        <v>5</v>
      </c>
      <c r="EC25">
        <f>IF(Evalucion!ED23=Datos!$C$15,Datos!$D$15,IF(Evalucion!ED23=Datos!$C$16,Datos!$D$16,IF(Evalucion!ED23=Datos!$C$17,Datos!$D$17,IF(Evalucion!ED23=Datos!$C$18,Datos!$D$18,IF(Evalucion!ED23=Datos!$C$19,Datos!$D$19,"=")))))</f>
        <v>3</v>
      </c>
      <c r="ED25">
        <f>IF(Evalucion!EE23=Datos!$C$15,Datos!$D$15,IF(Evalucion!EE23=Datos!$C$16,Datos!$D$16,IF(Evalucion!EE23=Datos!$C$17,Datos!$D$17,IF(Evalucion!EE23=Datos!$C$18,Datos!$D$18,IF(Evalucion!EE23=Datos!$C$19,Datos!$D$19,"=")))))</f>
        <v>5</v>
      </c>
      <c r="EE25">
        <f>IF(Evalucion!EF23=Datos!$C$15,Datos!$D$15,IF(Evalucion!EF23=Datos!$C$16,Datos!$D$16,IF(Evalucion!EF23=Datos!$C$17,Datos!$D$17,IF(Evalucion!EF23=Datos!$C$18,Datos!$D$18,IF(Evalucion!EF23=Datos!$C$19,Datos!$D$19,"=")))))</f>
        <v>5</v>
      </c>
      <c r="EF25">
        <f>IF(Evalucion!EG23=Datos!$C$15,Datos!$D$15,IF(Evalucion!EG23=Datos!$C$16,Datos!$D$16,IF(Evalucion!EG23=Datos!$C$17,Datos!$D$17,IF(Evalucion!EG23=Datos!$C$18,Datos!$D$18,IF(Evalucion!EG23=Datos!$C$19,Datos!$D$19,"=")))))</f>
        <v>5</v>
      </c>
      <c r="EG25">
        <f>IF(Evalucion!EH23=Datos!$C$15,Datos!$D$15,IF(Evalucion!EH23=Datos!$C$16,Datos!$D$16,IF(Evalucion!EH23=Datos!$C$17,Datos!$D$17,IF(Evalucion!EH23=Datos!$C$18,Datos!$D$18,IF(Evalucion!EH23=Datos!$C$19,Datos!$D$19,"=")))))</f>
        <v>5</v>
      </c>
      <c r="EH25">
        <f>IF(Evalucion!EI23=Datos!$C$15,Datos!$D$15,IF(Evalucion!EI23=Datos!$C$16,Datos!$D$16,IF(Evalucion!EI23=Datos!$C$17,Datos!$D$17,IF(Evalucion!EI23=Datos!$C$18,Datos!$D$18,IF(Evalucion!EI23=Datos!$C$19,Datos!$D$19,"=")))))</f>
        <v>5</v>
      </c>
      <c r="EI25">
        <f>IF(Evalucion!EJ23=Datos!$C$15,Datos!$D$15,IF(Evalucion!EJ23=Datos!$C$16,Datos!$D$16,IF(Evalucion!EJ23=Datos!$C$17,Datos!$D$17,IF(Evalucion!EJ23=Datos!$C$18,Datos!$D$18,IF(Evalucion!EJ23=Datos!$C$19,Datos!$D$19,"=")))))</f>
        <v>5</v>
      </c>
      <c r="EJ25">
        <f>IF(Evalucion!EK23=Datos!$C$15,Datos!$D$15,IF(Evalucion!EK23=Datos!$C$16,Datos!$D$16,IF(Evalucion!EK23=Datos!$C$17,Datos!$D$17,IF(Evalucion!EK23=Datos!$C$18,Datos!$D$18,IF(Evalucion!EK23=Datos!$C$19,Datos!$D$19,"=")))))</f>
        <v>5</v>
      </c>
      <c r="EK25">
        <f>IF(Evalucion!EL23=Datos!$C$15,Datos!$D$15,IF(Evalucion!EL23=Datos!$C$16,Datos!$D$16,IF(Evalucion!EL23=Datos!$C$17,Datos!$D$17,IF(Evalucion!EL23=Datos!$C$18,Datos!$D$18,IF(Evalucion!EL23=Datos!$C$19,Datos!$D$19,"=")))))</f>
        <v>5</v>
      </c>
      <c r="EL25">
        <f>IF(Evalucion!EM23=Datos!$C$15,Datos!$D$15,IF(Evalucion!EM23=Datos!$C$16,Datos!$D$16,IF(Evalucion!EM23=Datos!$C$17,Datos!$D$17,IF(Evalucion!EM23=Datos!$C$18,Datos!$D$18,IF(Evalucion!EM23=Datos!$C$19,Datos!$D$19,"=")))))</f>
        <v>5</v>
      </c>
      <c r="EM25">
        <f>IF(Evalucion!EN23=Datos!$C$15,Datos!$D$15,IF(Evalucion!EN23=Datos!$C$16,Datos!$D$16,IF(Evalucion!EN23=Datos!$C$17,Datos!$D$17,IF(Evalucion!EN23=Datos!$C$18,Datos!$D$18,IF(Evalucion!EN23=Datos!$C$19,Datos!$D$19,"=")))))</f>
        <v>5</v>
      </c>
      <c r="EN25">
        <f>IF(Evalucion!EO23=Datos!$C$15,Datos!$D$15,IF(Evalucion!EO23=Datos!$C$16,Datos!$D$16,IF(Evalucion!EO23=Datos!$C$17,Datos!$D$17,IF(Evalucion!EO23=Datos!$C$18,Datos!$D$18,IF(Evalucion!EO23=Datos!$C$19,Datos!$D$19,"=")))))</f>
        <v>5</v>
      </c>
      <c r="EO25">
        <f>IF(Evalucion!EP23=Datos!$C$15,Datos!$D$15,IF(Evalucion!EP23=Datos!$C$16,Datos!$D$16,IF(Evalucion!EP23=Datos!$C$17,Datos!$D$17,IF(Evalucion!EP23=Datos!$C$18,Datos!$D$18,IF(Evalucion!EP23=Datos!$C$19,Datos!$D$19,"=")))))</f>
        <v>5</v>
      </c>
      <c r="EP25">
        <f>IF(Evalucion!EQ23=Datos!$C$15,Datos!$D$15,IF(Evalucion!EQ23=Datos!$C$16,Datos!$D$16,IF(Evalucion!EQ23=Datos!$C$17,Datos!$D$17,IF(Evalucion!EQ23=Datos!$C$18,Datos!$D$18,IF(Evalucion!EQ23=Datos!$C$19,Datos!$D$19,"=")))))</f>
        <v>5</v>
      </c>
      <c r="EQ25">
        <f>IF(Evalucion!ER23=Datos!$C$15,Datos!$D$15,IF(Evalucion!ER23=Datos!$C$16,Datos!$D$16,IF(Evalucion!ER23=Datos!$C$17,Datos!$D$17,IF(Evalucion!ER23=Datos!$C$18,Datos!$D$18,IF(Evalucion!ER23=Datos!$C$19,Datos!$D$19,"=")))))</f>
        <v>5</v>
      </c>
      <c r="ER25">
        <f>IF(Evalucion!ES23=Datos!$C$15,Datos!$D$15,IF(Evalucion!ES23=Datos!$C$16,Datos!$D$16,IF(Evalucion!ES23=Datos!$C$17,Datos!$D$17,IF(Evalucion!ES23=Datos!$C$18,Datos!$D$18,IF(Evalucion!ES23=Datos!$C$19,Datos!$D$19,"=")))))</f>
        <v>5</v>
      </c>
      <c r="ES25">
        <f>IF(Evalucion!ET23=Datos!$C$15,Datos!$D$15,IF(Evalucion!ET23=Datos!$C$16,Datos!$D$16,IF(Evalucion!ET23=Datos!$C$17,Datos!$D$17,IF(Evalucion!ET23=Datos!$C$18,Datos!$D$18,IF(Evalucion!ET23=Datos!$C$19,Datos!$D$19,"=")))))</f>
        <v>5</v>
      </c>
      <c r="ET25">
        <f>IF(Evalucion!EU23=Datos!$C$15,Datos!$D$15,IF(Evalucion!EU23=Datos!$C$16,Datos!$D$16,IF(Evalucion!EU23=Datos!$C$17,Datos!$D$17,IF(Evalucion!EU23=Datos!$C$18,Datos!$D$18,IF(Evalucion!EU23=Datos!$C$19,Datos!$D$19,"=")))))</f>
        <v>5</v>
      </c>
      <c r="EU25">
        <f>IF(Evalucion!EV23=Datos!$C$15,Datos!$D$15,IF(Evalucion!EV23=Datos!$C$16,Datos!$D$16,IF(Evalucion!EV23=Datos!$C$17,Datos!$D$17,IF(Evalucion!EV23=Datos!$C$18,Datos!$D$18,IF(Evalucion!EV23=Datos!$C$19,Datos!$D$19,"=")))))</f>
        <v>3</v>
      </c>
      <c r="EV25">
        <f>IF(Evalucion!EW23=Datos!$C$15,Datos!$D$15,IF(Evalucion!EW23=Datos!$C$16,Datos!$D$16,IF(Evalucion!EW23=Datos!$C$17,Datos!$D$17,IF(Evalucion!EW23=Datos!$C$18,Datos!$D$18,IF(Evalucion!EW23=Datos!$C$19,Datos!$D$19,"=")))))</f>
        <v>5</v>
      </c>
      <c r="EW25">
        <f>IF(Evalucion!EX23=Datos!$C$15,Datos!$D$15,IF(Evalucion!EX23=Datos!$C$16,Datos!$D$16,IF(Evalucion!EX23=Datos!$C$17,Datos!$D$17,IF(Evalucion!EX23=Datos!$C$18,Datos!$D$18,IF(Evalucion!EX23=Datos!$C$19,Datos!$D$19,"=")))))</f>
        <v>5</v>
      </c>
      <c r="EX25">
        <f>IF(Evalucion!EY23=Datos!$C$15,Datos!$D$15,IF(Evalucion!EY23=Datos!$C$16,Datos!$D$16,IF(Evalucion!EY23=Datos!$C$17,Datos!$D$17,IF(Evalucion!EY23=Datos!$C$18,Datos!$D$18,IF(Evalucion!EY23=Datos!$C$19,Datos!$D$19,"=")))))</f>
        <v>5</v>
      </c>
      <c r="EY25">
        <f>IF(Evalucion!EZ23=Datos!$C$15,Datos!$D$15,IF(Evalucion!EZ23=Datos!$C$16,Datos!$D$16,IF(Evalucion!EZ23=Datos!$C$17,Datos!$D$17,IF(Evalucion!EZ23=Datos!$C$18,Datos!$D$18,IF(Evalucion!EZ23=Datos!$C$19,Datos!$D$19,"=")))))</f>
        <v>3</v>
      </c>
      <c r="FA25">
        <f t="shared" si="8"/>
        <v>331</v>
      </c>
      <c r="FB25">
        <f t="shared" si="8"/>
        <v>275</v>
      </c>
      <c r="FC25" s="3">
        <f t="shared" si="4"/>
        <v>0.73333333333333328</v>
      </c>
      <c r="FD25" t="str">
        <f t="shared" si="0"/>
        <v>Conf_CR</v>
      </c>
      <c r="FF25">
        <f t="shared" si="5"/>
        <v>606</v>
      </c>
      <c r="FG25">
        <f t="shared" si="6"/>
        <v>0</v>
      </c>
    </row>
    <row r="26" spans="1:163" x14ac:dyDescent="0.2">
      <c r="A26">
        <f t="shared" si="7"/>
        <v>23</v>
      </c>
      <c r="B26" t="s">
        <v>267</v>
      </c>
      <c r="C26" t="s">
        <v>197</v>
      </c>
      <c r="D26" s="6">
        <v>44111</v>
      </c>
      <c r="E26">
        <f>IF(Evalucion!F24=Datos!$C$15,Datos!$D$15,IF(Evalucion!F24=Datos!$C$16,Datos!$D$16,IF(Evalucion!F24=Datos!$C$17,Datos!$D$17,IF(Evalucion!F24=Datos!$C$18,Datos!$D$18,IF(Evalucion!F24=Datos!$C$19,Datos!$D$19,"=")))))</f>
        <v>5</v>
      </c>
      <c r="F26">
        <f>IF(Evalucion!G24=Datos!$C$15,Datos!$D$15,IF(Evalucion!G24=Datos!$C$16,Datos!$D$16,IF(Evalucion!G24=Datos!$C$17,Datos!$D$17,IF(Evalucion!G24=Datos!$C$18,Datos!$D$18,IF(Evalucion!G24=Datos!$C$19,Datos!$D$19,"=")))))</f>
        <v>5</v>
      </c>
      <c r="G26">
        <f>IF(Evalucion!H24=Datos!$C$15,Datos!$D$15,IF(Evalucion!H24=Datos!$C$16,Datos!$D$16,IF(Evalucion!H24=Datos!$C$17,Datos!$D$17,IF(Evalucion!H24=Datos!$C$18,Datos!$D$18,IF(Evalucion!H24=Datos!$C$19,Datos!$D$19,"=")))))</f>
        <v>5</v>
      </c>
      <c r="H26">
        <f>IF(Evalucion!I24=Datos!$C$15,Datos!$D$15,IF(Evalucion!I24=Datos!$C$16,Datos!$D$16,IF(Evalucion!I24=Datos!$C$17,Datos!$D$17,IF(Evalucion!I24=Datos!$C$18,Datos!$D$18,IF(Evalucion!I24=Datos!$C$19,Datos!$D$19,"=")))))</f>
        <v>1</v>
      </c>
      <c r="I26">
        <f>IF(Evalucion!J24=Datos!$C$15,Datos!$D$15,IF(Evalucion!J24=Datos!$C$16,Datos!$D$16,IF(Evalucion!J24=Datos!$C$17,Datos!$D$17,IF(Evalucion!J24=Datos!$C$18,Datos!$D$18,IF(Evalucion!J24=Datos!$C$19,Datos!$D$19,"=")))))</f>
        <v>1</v>
      </c>
      <c r="J26">
        <f>IF(Evalucion!K24=Datos!$C$15,Datos!$D$15,IF(Evalucion!K24=Datos!$C$16,Datos!$D$16,IF(Evalucion!K24=Datos!$C$17,Datos!$D$17,IF(Evalucion!K24=Datos!$C$18,Datos!$D$18,IF(Evalucion!K24=Datos!$C$19,Datos!$D$19,"=")))))</f>
        <v>1</v>
      </c>
      <c r="K26">
        <f>IF(Evalucion!L24=Datos!$C$15,Datos!$D$15,IF(Evalucion!L24=Datos!$C$16,Datos!$D$16,IF(Evalucion!L24=Datos!$C$17,Datos!$D$17,IF(Evalucion!L24=Datos!$C$18,Datos!$D$18,IF(Evalucion!L24=Datos!$C$19,Datos!$D$19,"=")))))</f>
        <v>5</v>
      </c>
      <c r="L26">
        <f>IF(Evalucion!M24=Datos!$C$15,Datos!$D$15,IF(Evalucion!M24=Datos!$C$16,Datos!$D$16,IF(Evalucion!M24=Datos!$C$17,Datos!$D$17,IF(Evalucion!M24=Datos!$C$18,Datos!$D$18,IF(Evalucion!M24=Datos!$C$19,Datos!$D$19,"=")))))</f>
        <v>5</v>
      </c>
      <c r="M26">
        <f>IF(Evalucion!N24=Datos!$C$15,Datos!$D$15,IF(Evalucion!N24=Datos!$C$16,Datos!$D$16,IF(Evalucion!N24=Datos!$C$17,Datos!$D$17,IF(Evalucion!N24=Datos!$C$18,Datos!$D$18,IF(Evalucion!N24=Datos!$C$19,Datos!$D$19,"=")))))</f>
        <v>5</v>
      </c>
      <c r="N26">
        <f>IF(Evalucion!O24=Datos!$C$15,Datos!$D$15,IF(Evalucion!O24=Datos!$C$16,Datos!$D$16,IF(Evalucion!O24=Datos!$C$17,Datos!$D$17,IF(Evalucion!O24=Datos!$C$18,Datos!$D$18,IF(Evalucion!O24=Datos!$C$19,Datos!$D$19,"=")))))</f>
        <v>5</v>
      </c>
      <c r="O26">
        <f>IF(Evalucion!P24=Datos!$C$15,Datos!$D$15,IF(Evalucion!P24=Datos!$C$16,Datos!$D$16,IF(Evalucion!P24=Datos!$C$17,Datos!$D$17,IF(Evalucion!P24=Datos!$C$18,Datos!$D$18,IF(Evalucion!P24=Datos!$C$19,Datos!$D$19,"=")))))</f>
        <v>5</v>
      </c>
      <c r="P26">
        <f>IF(Evalucion!Q24=Datos!$C$15,Datos!$D$15,IF(Evalucion!Q24=Datos!$C$16,Datos!$D$16,IF(Evalucion!Q24=Datos!$C$17,Datos!$D$17,IF(Evalucion!Q24=Datos!$C$18,Datos!$D$18,IF(Evalucion!Q24=Datos!$C$19,Datos!$D$19,"=")))))</f>
        <v>5</v>
      </c>
      <c r="Q26">
        <f>IF(Evalucion!R24=Datos!$C$15,Datos!$D$15,IF(Evalucion!R24=Datos!$C$16,Datos!$D$16,IF(Evalucion!R24=Datos!$C$17,Datos!$D$17,IF(Evalucion!R24=Datos!$C$18,Datos!$D$18,IF(Evalucion!R24=Datos!$C$19,Datos!$D$19,"=")))))</f>
        <v>5</v>
      </c>
      <c r="R26">
        <f>IF(Evalucion!S24=Datos!$C$15,Datos!$D$15,IF(Evalucion!S24=Datos!$C$16,Datos!$D$16,IF(Evalucion!S24=Datos!$C$17,Datos!$D$17,IF(Evalucion!S24=Datos!$C$18,Datos!$D$18,IF(Evalucion!S24=Datos!$C$19,Datos!$D$19,"=")))))</f>
        <v>5</v>
      </c>
      <c r="S26">
        <f>IF(Evalucion!T24=Datos!$C$15,Datos!$D$15,IF(Evalucion!T24=Datos!$C$16,Datos!$D$16,IF(Evalucion!T24=Datos!$C$17,Datos!$D$17,IF(Evalucion!T24=Datos!$C$18,Datos!$D$18,IF(Evalucion!T24=Datos!$C$19,Datos!$D$19,"=")))))</f>
        <v>5</v>
      </c>
      <c r="T26">
        <f>IF(Evalucion!U24=Datos!$C$15,Datos!$D$15,IF(Evalucion!U24=Datos!$C$16,Datos!$D$16,IF(Evalucion!U24=Datos!$C$17,Datos!$D$17,IF(Evalucion!U24=Datos!$C$18,Datos!$D$18,IF(Evalucion!U24=Datos!$C$19,Datos!$D$19,"=")))))</f>
        <v>5</v>
      </c>
      <c r="U26">
        <f>IF(Evalucion!V24=Datos!$C$15,Datos!$D$15,IF(Evalucion!V24=Datos!$C$16,Datos!$D$16,IF(Evalucion!V24=Datos!$C$17,Datos!$D$17,IF(Evalucion!V24=Datos!$C$18,Datos!$D$18,IF(Evalucion!V24=Datos!$C$19,Datos!$D$19,"=")))))</f>
        <v>5</v>
      </c>
      <c r="V26">
        <f>IF(Evalucion!W24=Datos!$C$15,Datos!$D$15,IF(Evalucion!W24=Datos!$C$16,Datos!$D$16,IF(Evalucion!W24=Datos!$C$17,Datos!$D$17,IF(Evalucion!W24=Datos!$C$18,Datos!$D$18,IF(Evalucion!W24=Datos!$C$19,Datos!$D$19,"=")))))</f>
        <v>5</v>
      </c>
      <c r="W26">
        <f>IF(Evalucion!X24=Datos!$C$15,Datos!$D$15,IF(Evalucion!X24=Datos!$C$16,Datos!$D$16,IF(Evalucion!X24=Datos!$C$17,Datos!$D$17,IF(Evalucion!X24=Datos!$C$18,Datos!$D$18,IF(Evalucion!X24=Datos!$C$19,Datos!$D$19,"=")))))</f>
        <v>5</v>
      </c>
      <c r="X26">
        <f>IF(Evalucion!Y24=Datos!$C$15,Datos!$D$15,IF(Evalucion!Y24=Datos!$C$16,Datos!$D$16,IF(Evalucion!Y24=Datos!$C$17,Datos!$D$17,IF(Evalucion!Y24=Datos!$C$18,Datos!$D$18,IF(Evalucion!Y24=Datos!$C$19,Datos!$D$19,"=")))))</f>
        <v>5</v>
      </c>
      <c r="Y26">
        <f>IF(Evalucion!Z24=Datos!$C$15,Datos!$D$15,IF(Evalucion!Z24=Datos!$C$16,Datos!$D$16,IF(Evalucion!Z24=Datos!$C$17,Datos!$D$17,IF(Evalucion!Z24=Datos!$C$18,Datos!$D$18,IF(Evalucion!Z24=Datos!$C$19,Datos!$D$19,"=")))))</f>
        <v>5</v>
      </c>
      <c r="Z26">
        <f>IF(Evalucion!AA24=Datos!$C$15,Datos!$D$15,IF(Evalucion!AA24=Datos!$C$16,Datos!$D$16,IF(Evalucion!AA24=Datos!$C$17,Datos!$D$17,IF(Evalucion!AA24=Datos!$C$18,Datos!$D$18,IF(Evalucion!AA24=Datos!$C$19,Datos!$D$19,"=")))))</f>
        <v>5</v>
      </c>
      <c r="AA26">
        <f>IF(Evalucion!AB24=Datos!$C$15,Datos!$D$15,IF(Evalucion!AB24=Datos!$C$16,Datos!$D$16,IF(Evalucion!AB24=Datos!$C$17,Datos!$D$17,IF(Evalucion!AB24=Datos!$C$18,Datos!$D$18,IF(Evalucion!AB24=Datos!$C$19,Datos!$D$19,"=")))))</f>
        <v>5</v>
      </c>
      <c r="AB26">
        <f>IF(Evalucion!AC24=Datos!$C$15,Datos!$D$15,IF(Evalucion!AC24=Datos!$C$16,Datos!$D$16,IF(Evalucion!AC24=Datos!$C$17,Datos!$D$17,IF(Evalucion!AC24=Datos!$C$18,Datos!$D$18,IF(Evalucion!AC24=Datos!$C$19,Datos!$D$19,"=")))))</f>
        <v>5</v>
      </c>
      <c r="AC26">
        <f>IF(Evalucion!AD24=Datos!$C$15,Datos!$D$15,IF(Evalucion!AD24=Datos!$C$16,Datos!$D$16,IF(Evalucion!AD24=Datos!$C$17,Datos!$D$17,IF(Evalucion!AD24=Datos!$C$18,Datos!$D$18,IF(Evalucion!AD24=Datos!$C$19,Datos!$D$19,"=")))))</f>
        <v>5</v>
      </c>
      <c r="AD26">
        <f>IF(Evalucion!AE24=Datos!$C$15,Datos!$D$15,IF(Evalucion!AE24=Datos!$C$16,Datos!$D$16,IF(Evalucion!AE24=Datos!$C$17,Datos!$D$17,IF(Evalucion!AE24=Datos!$C$18,Datos!$D$18,IF(Evalucion!AE24=Datos!$C$19,Datos!$D$19,"=")))))</f>
        <v>3</v>
      </c>
      <c r="AE26">
        <f>IF(Evalucion!AF24=Datos!$C$15,Datos!$D$15,IF(Evalucion!AF24=Datos!$C$16,Datos!$D$16,IF(Evalucion!AF24=Datos!$C$17,Datos!$D$17,IF(Evalucion!AF24=Datos!$C$18,Datos!$D$18,IF(Evalucion!AF24=Datos!$C$19,Datos!$D$19,"=")))))</f>
        <v>5</v>
      </c>
      <c r="AF26">
        <f>IF(Evalucion!AG24=Datos!$C$15,Datos!$D$15,IF(Evalucion!AG24=Datos!$C$16,Datos!$D$16,IF(Evalucion!AG24=Datos!$C$17,Datos!$D$17,IF(Evalucion!AG24=Datos!$C$18,Datos!$D$18,IF(Evalucion!AG24=Datos!$C$19,Datos!$D$19,"=")))))</f>
        <v>5</v>
      </c>
      <c r="AO26">
        <f>IF(Evalucion!AP24=Datos!$C$15,Datos!$D$15,IF(Evalucion!AP24=Datos!$C$16,Datos!$D$16,IF(Evalucion!AP24=Datos!$C$17,Datos!$D$17,IF(Evalucion!AP24=Datos!$C$18,Datos!$D$18,IF(Evalucion!AP24=Datos!$C$19,Datos!$D$19,"=")))))</f>
        <v>5</v>
      </c>
      <c r="AP26">
        <f>IF(Evalucion!AQ24=Datos!$C$15,Datos!$D$15,IF(Evalucion!AQ24=Datos!$C$16,Datos!$D$16,IF(Evalucion!AQ24=Datos!$C$17,Datos!$D$17,IF(Evalucion!AQ24=Datos!$C$18,Datos!$D$18,IF(Evalucion!AQ24=Datos!$C$19,Datos!$D$19,"=")))))</f>
        <v>3</v>
      </c>
      <c r="AQ26">
        <f>IF(Evalucion!AR24=Datos!$C$15,Datos!$D$15,IF(Evalucion!AR24=Datos!$C$16,Datos!$D$16,IF(Evalucion!AR24=Datos!$C$17,Datos!$D$17,IF(Evalucion!AR24=Datos!$C$18,Datos!$D$18,IF(Evalucion!AR24=Datos!$C$19,Datos!$D$19,"=")))))</f>
        <v>1</v>
      </c>
      <c r="AR26">
        <f>IF(Evalucion!AS24=Datos!$C$15,Datos!$D$15,IF(Evalucion!AS24=Datos!$C$16,Datos!$D$16,IF(Evalucion!AS24=Datos!$C$17,Datos!$D$17,IF(Evalucion!AS24=Datos!$C$18,Datos!$D$18,IF(Evalucion!AS24=Datos!$C$19,Datos!$D$19,"=")))))</f>
        <v>1</v>
      </c>
      <c r="AS26">
        <f>IF(Evalucion!AT24=Datos!$C$15,Datos!$D$15,IF(Evalucion!AT24=Datos!$C$16,Datos!$D$16,IF(Evalucion!AT24=Datos!$C$17,Datos!$D$17,IF(Evalucion!AT24=Datos!$C$18,Datos!$D$18,IF(Evalucion!AT24=Datos!$C$19,Datos!$D$19,"=")))))</f>
        <v>5</v>
      </c>
      <c r="AT26">
        <f>IF(Evalucion!AU24=Datos!$C$15,Datos!$D$15,IF(Evalucion!AU24=Datos!$C$16,Datos!$D$16,IF(Evalucion!AU24=Datos!$C$17,Datos!$D$17,IF(Evalucion!AU24=Datos!$C$18,Datos!$D$18,IF(Evalucion!AU24=Datos!$C$19,Datos!$D$19,"=")))))</f>
        <v>5</v>
      </c>
      <c r="AV26">
        <f>IF(Evalucion!AW24=Datos!$C$15,Datos!$D$15,IF(Evalucion!AW24=Datos!$C$16,Datos!$D$16,IF(Evalucion!AW24=Datos!$C$17,Datos!$D$17,IF(Evalucion!AW24=Datos!$C$18,Datos!$D$18,IF(Evalucion!AW24=Datos!$C$19,Datos!$D$19,"=")))))</f>
        <v>5</v>
      </c>
      <c r="AW26">
        <f>IF(Evalucion!AX24=Datos!$C$15,Datos!$D$15,IF(Evalucion!AX24=Datos!$C$16,Datos!$D$16,IF(Evalucion!AX24=Datos!$C$17,Datos!$D$17,IF(Evalucion!AX24=Datos!$C$18,Datos!$D$18,IF(Evalucion!AX24=Datos!$C$19,Datos!$D$19,"=")))))</f>
        <v>5</v>
      </c>
      <c r="AX26">
        <f>IF(Evalucion!AY24=Datos!$C$15,Datos!$D$15,IF(Evalucion!AY24=Datos!$C$16,Datos!$D$16,IF(Evalucion!AY24=Datos!$C$17,Datos!$D$17,IF(Evalucion!AY24=Datos!$C$18,Datos!$D$18,IF(Evalucion!AY24=Datos!$C$19,Datos!$D$19,"=")))))</f>
        <v>5</v>
      </c>
      <c r="AY26">
        <f>IF(Evalucion!AZ24=Datos!$C$15,Datos!$D$15,IF(Evalucion!AZ24=Datos!$C$16,Datos!$D$16,IF(Evalucion!AZ24=Datos!$C$17,Datos!$D$17,IF(Evalucion!AZ24=Datos!$C$18,Datos!$D$18,IF(Evalucion!AZ24=Datos!$C$19,Datos!$D$19,"=")))))</f>
        <v>5</v>
      </c>
      <c r="AZ26">
        <f>IF(Evalucion!BA24=Datos!$C$15,Datos!$D$15,IF(Evalucion!BA24=Datos!$C$16,Datos!$D$16,IF(Evalucion!BA24=Datos!$C$17,Datos!$D$17,IF(Evalucion!BA24=Datos!$C$18,Datos!$D$18,IF(Evalucion!BA24=Datos!$C$19,Datos!$D$19,"=")))))</f>
        <v>5</v>
      </c>
      <c r="BA26">
        <f>IF(Evalucion!BB24=Datos!$C$15,Datos!$D$15,IF(Evalucion!BB24=Datos!$C$16,Datos!$D$16,IF(Evalucion!BB24=Datos!$C$17,Datos!$D$17,IF(Evalucion!BB24=Datos!$C$18,Datos!$D$18,IF(Evalucion!BB24=Datos!$C$19,Datos!$D$19,"=")))))</f>
        <v>5</v>
      </c>
      <c r="BB26">
        <f>IF(Evalucion!BC24=Datos!$C$15,Datos!$D$15,IF(Evalucion!BC24=Datos!$C$16,Datos!$D$16,IF(Evalucion!BC24=Datos!$C$17,Datos!$D$17,IF(Evalucion!BC24=Datos!$C$18,Datos!$D$18,IF(Evalucion!BC24=Datos!$C$19,Datos!$D$19,"=")))))</f>
        <v>5</v>
      </c>
      <c r="BC26">
        <f>IF(Evalucion!BD24=Datos!$C$15,Datos!$D$15,IF(Evalucion!BD24=Datos!$C$16,Datos!$D$16,IF(Evalucion!BD24=Datos!$C$17,Datos!$D$17,IF(Evalucion!BD24=Datos!$C$18,Datos!$D$18,IF(Evalucion!BD24=Datos!$C$19,Datos!$D$19,"=")))))</f>
        <v>1</v>
      </c>
      <c r="BD26">
        <f>IF(Evalucion!BE24=Datos!$C$15,Datos!$D$15,IF(Evalucion!BE24=Datos!$C$16,Datos!$D$16,IF(Evalucion!BE24=Datos!$C$17,Datos!$D$17,IF(Evalucion!BE24=Datos!$C$18,Datos!$D$18,IF(Evalucion!BE24=Datos!$C$19,Datos!$D$19,"=")))))</f>
        <v>5</v>
      </c>
      <c r="BE26">
        <f>IF(Evalucion!BF24=Datos!$C$15,Datos!$D$15,IF(Evalucion!BF24=Datos!$C$16,Datos!$D$16,IF(Evalucion!BF24=Datos!$C$17,Datos!$D$17,IF(Evalucion!BF24=Datos!$C$18,Datos!$D$18,IF(Evalucion!BF24=Datos!$C$19,Datos!$D$19,"=")))))</f>
        <v>1</v>
      </c>
      <c r="BF26">
        <f>IF(Evalucion!BG24=Datos!$C$15,Datos!$D$15,IF(Evalucion!BG24=Datos!$C$16,Datos!$D$16,IF(Evalucion!BG24=Datos!$C$17,Datos!$D$17,IF(Evalucion!BG24=Datos!$C$18,Datos!$D$18,IF(Evalucion!BG24=Datos!$C$19,Datos!$D$19,"=")))))</f>
        <v>5</v>
      </c>
      <c r="BG26">
        <f>IF(Evalucion!BH24=Datos!$C$15,Datos!$D$15,IF(Evalucion!BH24=Datos!$C$16,Datos!$D$16,IF(Evalucion!BH24=Datos!$C$17,Datos!$D$17,IF(Evalucion!BH24=Datos!$C$18,Datos!$D$18,IF(Evalucion!BH24=Datos!$C$19,Datos!$D$19,"=")))))</f>
        <v>5</v>
      </c>
      <c r="BH26">
        <f>IF(Evalucion!BI24=Datos!$C$15,Datos!$D$15,IF(Evalucion!BI24=Datos!$C$16,Datos!$D$16,IF(Evalucion!BI24=Datos!$C$17,Datos!$D$17,IF(Evalucion!BI24=Datos!$C$18,Datos!$D$18,IF(Evalucion!BI24=Datos!$C$19,Datos!$D$19,"=")))))</f>
        <v>5</v>
      </c>
      <c r="BI26">
        <f>IF(Evalucion!BJ24=Datos!$C$15,Datos!$D$15,IF(Evalucion!BJ24=Datos!$C$16,Datos!$D$16,IF(Evalucion!BJ24=Datos!$C$17,Datos!$D$17,IF(Evalucion!BJ24=Datos!$C$18,Datos!$D$18,IF(Evalucion!BJ24=Datos!$C$19,Datos!$D$19,"=")))))</f>
        <v>5</v>
      </c>
      <c r="BJ26">
        <f>IF(Evalucion!BK24=Datos!$C$15,Datos!$D$15,IF(Evalucion!BK24=Datos!$C$16,Datos!$D$16,IF(Evalucion!BK24=Datos!$C$17,Datos!$D$17,IF(Evalucion!BK24=Datos!$C$18,Datos!$D$18,IF(Evalucion!BK24=Datos!$C$19,Datos!$D$19,"=")))))</f>
        <v>5</v>
      </c>
      <c r="BK26">
        <f>IF(Evalucion!BL24=Datos!$C$15,Datos!$D$15,IF(Evalucion!BL24=Datos!$C$16,Datos!$D$16,IF(Evalucion!BL24=Datos!$C$17,Datos!$D$17,IF(Evalucion!BL24=Datos!$C$18,Datos!$D$18,IF(Evalucion!BL24=Datos!$C$19,Datos!$D$19,"=")))))</f>
        <v>5</v>
      </c>
      <c r="BL26">
        <f>IF(Evalucion!BM24=Datos!$C$15,Datos!$D$15,IF(Evalucion!BM24=Datos!$C$16,Datos!$D$16,IF(Evalucion!BM24=Datos!$C$17,Datos!$D$17,IF(Evalucion!BM24=Datos!$C$18,Datos!$D$18,IF(Evalucion!BM24=Datos!$C$19,Datos!$D$19,"=")))))</f>
        <v>5</v>
      </c>
      <c r="BM26">
        <f>IF(Evalucion!BN24=Datos!$C$15,Datos!$D$15,IF(Evalucion!BN24=Datos!$C$16,Datos!$D$16,IF(Evalucion!BN24=Datos!$C$17,Datos!$D$17,IF(Evalucion!BN24=Datos!$C$18,Datos!$D$18,IF(Evalucion!BN24=Datos!$C$19,Datos!$D$19,"=")))))</f>
        <v>5</v>
      </c>
      <c r="BN26">
        <f>IF(Evalucion!BO24=Datos!$C$15,Datos!$D$15,IF(Evalucion!BO24=Datos!$C$16,Datos!$D$16,IF(Evalucion!BO24=Datos!$C$17,Datos!$D$17,IF(Evalucion!BO24=Datos!$C$18,Datos!$D$18,IF(Evalucion!BO24=Datos!$C$19,Datos!$D$19,"=")))))</f>
        <v>5</v>
      </c>
      <c r="BO26">
        <f>IF(Evalucion!BP24=Datos!$C$15,Datos!$D$15,IF(Evalucion!BP24=Datos!$C$16,Datos!$D$16,IF(Evalucion!BP24=Datos!$C$17,Datos!$D$17,IF(Evalucion!BP24=Datos!$C$18,Datos!$D$18,IF(Evalucion!BP24=Datos!$C$19,Datos!$D$19,"=")))))</f>
        <v>5</v>
      </c>
      <c r="BP26">
        <f>IF(Evalucion!BQ24=Datos!$C$15,Datos!$D$15,IF(Evalucion!BQ24=Datos!$C$16,Datos!$D$16,IF(Evalucion!BQ24=Datos!$C$17,Datos!$D$17,IF(Evalucion!BQ24=Datos!$C$18,Datos!$D$18,IF(Evalucion!BQ24=Datos!$C$19,Datos!$D$19,"=")))))</f>
        <v>5</v>
      </c>
      <c r="BQ26">
        <f>IF(Evalucion!BR24=Datos!$C$15,Datos!$D$15,IF(Evalucion!BR24=Datos!$C$16,Datos!$D$16,IF(Evalucion!BR24=Datos!$C$17,Datos!$D$17,IF(Evalucion!BR24=Datos!$C$18,Datos!$D$18,IF(Evalucion!BR24=Datos!$C$19,Datos!$D$19,"=")))))</f>
        <v>3</v>
      </c>
      <c r="BR26">
        <f>IF(Evalucion!BS24=Datos!$C$15,Datos!$D$15,IF(Evalucion!BS24=Datos!$C$16,Datos!$D$16,IF(Evalucion!BS24=Datos!$C$17,Datos!$D$17,IF(Evalucion!BS24=Datos!$C$18,Datos!$D$18,IF(Evalucion!BS24=Datos!$C$19,Datos!$D$19,"=")))))</f>
        <v>5</v>
      </c>
      <c r="BS26">
        <f>IF(Evalucion!BT24=Datos!$C$15,Datos!$D$15,IF(Evalucion!BT24=Datos!$C$16,Datos!$D$16,IF(Evalucion!BT24=Datos!$C$17,Datos!$D$17,IF(Evalucion!BT24=Datos!$C$18,Datos!$D$18,IF(Evalucion!BT24=Datos!$C$19,Datos!$D$19,"=")))))</f>
        <v>1</v>
      </c>
      <c r="BT26">
        <f>IF(Evalucion!BU24=Datos!$C$15,Datos!$D$15,IF(Evalucion!BU24=Datos!$C$16,Datos!$D$16,IF(Evalucion!BU24=Datos!$C$17,Datos!$D$17,IF(Evalucion!BU24=Datos!$C$18,Datos!$D$18,IF(Evalucion!BU24=Datos!$C$19,Datos!$D$19,"=")))))</f>
        <v>5</v>
      </c>
      <c r="BU26">
        <f>IF(Evalucion!BV24=Datos!$C$15,Datos!$D$15,IF(Evalucion!BV24=Datos!$C$16,Datos!$D$16,IF(Evalucion!BV24=Datos!$C$17,Datos!$D$17,IF(Evalucion!BV24=Datos!$C$18,Datos!$D$18,IF(Evalucion!BV24=Datos!$C$19,Datos!$D$19,"=")))))</f>
        <v>3</v>
      </c>
      <c r="BV26">
        <f>IF(Evalucion!BW24=Datos!$C$15,Datos!$D$15,IF(Evalucion!BW24=Datos!$C$16,Datos!$D$16,IF(Evalucion!BW24=Datos!$C$17,Datos!$D$17,IF(Evalucion!BW24=Datos!$C$18,Datos!$D$18,IF(Evalucion!BW24=Datos!$C$19,Datos!$D$19,"=")))))</f>
        <v>5</v>
      </c>
      <c r="BW26">
        <f>IF(Evalucion!BX24=Datos!$C$15,Datos!$D$15,IF(Evalucion!BX24=Datos!$C$16,Datos!$D$16,IF(Evalucion!BX24=Datos!$C$17,Datos!$D$17,IF(Evalucion!BX24=Datos!$C$18,Datos!$D$18,IF(Evalucion!BX24=Datos!$C$19,Datos!$D$19,"=")))))</f>
        <v>5</v>
      </c>
      <c r="BX26">
        <f>IF(Evalucion!BY24=Datos!$C$15,Datos!$D$15,IF(Evalucion!BY24=Datos!$C$16,Datos!$D$16,IF(Evalucion!BY24=Datos!$C$17,Datos!$D$17,IF(Evalucion!BY24=Datos!$C$18,Datos!$D$18,IF(Evalucion!BY24=Datos!$C$19,Datos!$D$19,"=")))))</f>
        <v>5</v>
      </c>
      <c r="BY26">
        <f>IF(Evalucion!BZ24=Datos!$C$15,Datos!$D$15,IF(Evalucion!BZ24=Datos!$C$16,Datos!$D$16,IF(Evalucion!BZ24=Datos!$C$17,Datos!$D$17,IF(Evalucion!BZ24=Datos!$C$18,Datos!$D$18,IF(Evalucion!BZ24=Datos!$C$19,Datos!$D$19,"=")))))</f>
        <v>5</v>
      </c>
      <c r="BZ26">
        <f>IF(Evalucion!CA24=Datos!$C$15,Datos!$D$15,IF(Evalucion!CA24=Datos!$C$16,Datos!$D$16,IF(Evalucion!CA24=Datos!$C$17,Datos!$D$17,IF(Evalucion!CA24=Datos!$C$18,Datos!$D$18,IF(Evalucion!CA24=Datos!$C$19,Datos!$D$19,"=")))))</f>
        <v>5</v>
      </c>
      <c r="CA26">
        <f>IF(Evalucion!CB24=Datos!$C$15,Datos!$D$15,IF(Evalucion!CB24=Datos!$C$16,Datos!$D$16,IF(Evalucion!CB24=Datos!$C$17,Datos!$D$17,IF(Evalucion!CB24=Datos!$C$18,Datos!$D$18,IF(Evalucion!CB24=Datos!$C$19,Datos!$D$19,"=")))))</f>
        <v>5</v>
      </c>
      <c r="CB26">
        <f>IF(Evalucion!CC24=Datos!$C$15,Datos!$D$15,IF(Evalucion!CC24=Datos!$C$16,Datos!$D$16,IF(Evalucion!CC24=Datos!$C$17,Datos!$D$17,IF(Evalucion!CC24=Datos!$C$18,Datos!$D$18,IF(Evalucion!CC24=Datos!$C$19,Datos!$D$19,"=")))))</f>
        <v>5</v>
      </c>
      <c r="CC26">
        <f>IF(Evalucion!CD24=Datos!$C$15,Datos!$D$15,IF(Evalucion!CD24=Datos!$C$16,Datos!$D$16,IF(Evalucion!CD24=Datos!$C$17,Datos!$D$17,IF(Evalucion!CD24=Datos!$C$18,Datos!$D$18,IF(Evalucion!CD24=Datos!$C$19,Datos!$D$19,"=")))))</f>
        <v>5</v>
      </c>
      <c r="CD26">
        <f>IF(Evalucion!CE24=Datos!$C$15,Datos!$D$15,IF(Evalucion!CE24=Datos!$C$16,Datos!$D$16,IF(Evalucion!CE24=Datos!$C$17,Datos!$D$17,IF(Evalucion!CE24=Datos!$C$18,Datos!$D$18,IF(Evalucion!CE24=Datos!$C$19,Datos!$D$19,"=")))))</f>
        <v>5</v>
      </c>
      <c r="CE26">
        <f>IF(Evalucion!CF24=Datos!$C$15,Datos!$D$15,IF(Evalucion!CF24=Datos!$C$16,Datos!$D$16,IF(Evalucion!CF24=Datos!$C$17,Datos!$D$17,IF(Evalucion!CF24=Datos!$C$18,Datos!$D$18,IF(Evalucion!CF24=Datos!$C$19,Datos!$D$19,"=")))))</f>
        <v>3</v>
      </c>
      <c r="CF26">
        <f>IF(Evalucion!CG24=Datos!$C$15,Datos!$D$15,IF(Evalucion!CG24=Datos!$C$16,Datos!$D$16,IF(Evalucion!CG24=Datos!$C$17,Datos!$D$17,IF(Evalucion!CG24=Datos!$C$18,Datos!$D$18,IF(Evalucion!CG24=Datos!$C$19,Datos!$D$19,"=")))))</f>
        <v>5</v>
      </c>
      <c r="CG26">
        <f>IF(Evalucion!CH24=Datos!$C$15,Datos!$D$15,IF(Evalucion!CH24=Datos!$C$16,Datos!$D$16,IF(Evalucion!CH24=Datos!$C$17,Datos!$D$17,IF(Evalucion!CH24=Datos!$C$18,Datos!$D$18,IF(Evalucion!CH24=Datos!$C$19,Datos!$D$19,"=")))))</f>
        <v>1</v>
      </c>
      <c r="CH26">
        <f>IF(Evalucion!CI24=Datos!$C$15,Datos!$D$15,IF(Evalucion!CI24=Datos!$C$16,Datos!$D$16,IF(Evalucion!CI24=Datos!$C$17,Datos!$D$17,IF(Evalucion!CI24=Datos!$C$18,Datos!$D$18,IF(Evalucion!CI24=Datos!$C$19,Datos!$D$19,"=")))))</f>
        <v>5</v>
      </c>
      <c r="CI26">
        <f>IF(Evalucion!CJ24=Datos!$C$15,Datos!$D$15,IF(Evalucion!CJ24=Datos!$C$16,Datos!$D$16,IF(Evalucion!CJ24=Datos!$C$17,Datos!$D$17,IF(Evalucion!CJ24=Datos!$C$18,Datos!$D$18,IF(Evalucion!CJ24=Datos!$C$19,Datos!$D$19,"=")))))</f>
        <v>3</v>
      </c>
      <c r="CJ26">
        <f>IF(Evalucion!CK24=Datos!$C$15,Datos!$D$15,IF(Evalucion!CK24=Datos!$C$16,Datos!$D$16,IF(Evalucion!CK24=Datos!$C$17,Datos!$D$17,IF(Evalucion!CK24=Datos!$C$18,Datos!$D$18,IF(Evalucion!CK24=Datos!$C$19,Datos!$D$19,"=")))))</f>
        <v>5</v>
      </c>
      <c r="CK26">
        <f>IF(Evalucion!CL24=Datos!$C$15,Datos!$D$15,IF(Evalucion!CL24=Datos!$C$16,Datos!$D$16,IF(Evalucion!CL24=Datos!$C$17,Datos!$D$17,IF(Evalucion!CL24=Datos!$C$18,Datos!$D$18,IF(Evalucion!CL24=Datos!$C$19,Datos!$D$19,"=")))))</f>
        <v>5</v>
      </c>
      <c r="CL26">
        <f>IF(Evalucion!CM24=Datos!$C$15,Datos!$D$15,IF(Evalucion!CM24=Datos!$C$16,Datos!$D$16,IF(Evalucion!CM24=Datos!$C$17,Datos!$D$17,IF(Evalucion!CM24=Datos!$C$18,Datos!$D$18,IF(Evalucion!CM24=Datos!$C$19,Datos!$D$19,"=")))))</f>
        <v>5</v>
      </c>
      <c r="CM26">
        <f>IF(Evalucion!CN24=Datos!$C$15,Datos!$D$15,IF(Evalucion!CN24=Datos!$C$16,Datos!$D$16,IF(Evalucion!CN24=Datos!$C$17,Datos!$D$17,IF(Evalucion!CN24=Datos!$C$18,Datos!$D$18,IF(Evalucion!CN24=Datos!$C$19,Datos!$D$19,"=")))))</f>
        <v>5</v>
      </c>
      <c r="CN26">
        <f>IF(Evalucion!CO24=Datos!$C$15,Datos!$D$15,IF(Evalucion!CO24=Datos!$C$16,Datos!$D$16,IF(Evalucion!CO24=Datos!$C$17,Datos!$D$17,IF(Evalucion!CO24=Datos!$C$18,Datos!$D$18,IF(Evalucion!CO24=Datos!$C$19,Datos!$D$19,"=")))))</f>
        <v>5</v>
      </c>
      <c r="CO26">
        <f>IF(Evalucion!CP24=Datos!$C$15,Datos!$D$15,IF(Evalucion!CP24=Datos!$C$16,Datos!$D$16,IF(Evalucion!CP24=Datos!$C$17,Datos!$D$17,IF(Evalucion!CP24=Datos!$C$18,Datos!$D$18,IF(Evalucion!CP24=Datos!$C$19,Datos!$D$19,"=")))))</f>
        <v>5</v>
      </c>
      <c r="CP26">
        <f>IF(Evalucion!CQ24=Datos!$C$15,Datos!$D$15,IF(Evalucion!CQ24=Datos!$C$16,Datos!$D$16,IF(Evalucion!CQ24=Datos!$C$17,Datos!$D$17,IF(Evalucion!CQ24=Datos!$C$18,Datos!$D$18,IF(Evalucion!CQ24=Datos!$C$19,Datos!$D$19,"=")))))</f>
        <v>5</v>
      </c>
      <c r="CQ26">
        <f>IF(Evalucion!CR24=Datos!$C$15,Datos!$D$15,IF(Evalucion!CR24=Datos!$C$16,Datos!$D$16,IF(Evalucion!CR24=Datos!$C$17,Datos!$D$17,IF(Evalucion!CR24=Datos!$C$18,Datos!$D$18,IF(Evalucion!CR24=Datos!$C$19,Datos!$D$19,"=")))))</f>
        <v>3</v>
      </c>
      <c r="CR26">
        <f>IF(Evalucion!CS24=Datos!$C$15,Datos!$D$15,IF(Evalucion!CS24=Datos!$C$16,Datos!$D$16,IF(Evalucion!CS24=Datos!$C$17,Datos!$D$17,IF(Evalucion!CS24=Datos!$C$18,Datos!$D$18,IF(Evalucion!CS24=Datos!$C$19,Datos!$D$19,"=")))))</f>
        <v>5</v>
      </c>
      <c r="CS26">
        <f>IF(Evalucion!CT24=Datos!$C$15,Datos!$D$15,IF(Evalucion!CT24=Datos!$C$16,Datos!$D$16,IF(Evalucion!CT24=Datos!$C$17,Datos!$D$17,IF(Evalucion!CT24=Datos!$C$18,Datos!$D$18,IF(Evalucion!CT24=Datos!$C$19,Datos!$D$19,"=")))))</f>
        <v>3</v>
      </c>
      <c r="CT26">
        <f>IF(Evalucion!CU24=Datos!$C$15,Datos!$D$15,IF(Evalucion!CU24=Datos!$C$16,Datos!$D$16,IF(Evalucion!CU24=Datos!$C$17,Datos!$D$17,IF(Evalucion!CU24=Datos!$C$18,Datos!$D$18,IF(Evalucion!CU24=Datos!$C$19,Datos!$D$19,"=")))))</f>
        <v>5</v>
      </c>
      <c r="CU26">
        <f>IF(Evalucion!CV24=Datos!$C$15,Datos!$D$15,IF(Evalucion!CV24=Datos!$C$16,Datos!$D$16,IF(Evalucion!CV24=Datos!$C$17,Datos!$D$17,IF(Evalucion!CV24=Datos!$C$18,Datos!$D$18,IF(Evalucion!CV24=Datos!$C$19,Datos!$D$19,"=")))))</f>
        <v>3</v>
      </c>
      <c r="CV26">
        <f>IF(Evalucion!CW24=Datos!$C$15,Datos!$D$15,IF(Evalucion!CW24=Datos!$C$16,Datos!$D$16,IF(Evalucion!CW24=Datos!$C$17,Datos!$D$17,IF(Evalucion!CW24=Datos!$C$18,Datos!$D$18,IF(Evalucion!CW24=Datos!$C$19,Datos!$D$19,"=")))))</f>
        <v>5</v>
      </c>
      <c r="CW26">
        <f>IF(Evalucion!CX24=Datos!$C$15,Datos!$D$15,IF(Evalucion!CX24=Datos!$C$16,Datos!$D$16,IF(Evalucion!CX24=Datos!$C$17,Datos!$D$17,IF(Evalucion!CX24=Datos!$C$18,Datos!$D$18,IF(Evalucion!CX24=Datos!$C$19,Datos!$D$19,"=")))))</f>
        <v>3</v>
      </c>
      <c r="CX26">
        <f>IF(Evalucion!CY24=Datos!$C$15,Datos!$D$15,IF(Evalucion!CY24=Datos!$C$16,Datos!$D$16,IF(Evalucion!CY24=Datos!$C$17,Datos!$D$17,IF(Evalucion!CY24=Datos!$C$18,Datos!$D$18,IF(Evalucion!CY24=Datos!$C$19,Datos!$D$19,"=")))))</f>
        <v>5</v>
      </c>
      <c r="CY26">
        <f>IF(Evalucion!CZ24=Datos!$C$15,Datos!$D$15,IF(Evalucion!CZ24=Datos!$C$16,Datos!$D$16,IF(Evalucion!CZ24=Datos!$C$17,Datos!$D$17,IF(Evalucion!CZ24=Datos!$C$18,Datos!$D$18,IF(Evalucion!CZ24=Datos!$C$19,Datos!$D$19,"=")))))</f>
        <v>3</v>
      </c>
      <c r="CZ26">
        <f>IF(Evalucion!DA24=Datos!$C$15,Datos!$D$15,IF(Evalucion!DA24=Datos!$C$16,Datos!$D$16,IF(Evalucion!DA24=Datos!$C$17,Datos!$D$17,IF(Evalucion!DA24=Datos!$C$18,Datos!$D$18,IF(Evalucion!DA24=Datos!$C$19,Datos!$D$19,"=")))))</f>
        <v>5</v>
      </c>
      <c r="DA26">
        <f>IF(Evalucion!DB24=Datos!$C$15,Datos!$D$15,IF(Evalucion!DB24=Datos!$C$16,Datos!$D$16,IF(Evalucion!DB24=Datos!$C$17,Datos!$D$17,IF(Evalucion!DB24=Datos!$C$18,Datos!$D$18,IF(Evalucion!DB24=Datos!$C$19,Datos!$D$19,"=")))))</f>
        <v>3</v>
      </c>
      <c r="DB26">
        <f>IF(Evalucion!DC24=Datos!$C$15,Datos!$D$15,IF(Evalucion!DC24=Datos!$C$16,Datos!$D$16,IF(Evalucion!DC24=Datos!$C$17,Datos!$D$17,IF(Evalucion!DC24=Datos!$C$18,Datos!$D$18,IF(Evalucion!DC24=Datos!$C$19,Datos!$D$19,"=")))))</f>
        <v>5</v>
      </c>
      <c r="DC26">
        <f>IF(Evalucion!DD24=Datos!$C$15,Datos!$D$15,IF(Evalucion!DD24=Datos!$C$16,Datos!$D$16,IF(Evalucion!DD24=Datos!$C$17,Datos!$D$17,IF(Evalucion!DD24=Datos!$C$18,Datos!$D$18,IF(Evalucion!DD24=Datos!$C$19,Datos!$D$19,"=")))))</f>
        <v>5</v>
      </c>
      <c r="DD26">
        <f>IF(Evalucion!DE24=Datos!$C$15,Datos!$D$15,IF(Evalucion!DE24=Datos!$C$16,Datos!$D$16,IF(Evalucion!DE24=Datos!$C$17,Datos!$D$17,IF(Evalucion!DE24=Datos!$C$18,Datos!$D$18,IF(Evalucion!DE24=Datos!$C$19,Datos!$D$19,"=")))))</f>
        <v>1</v>
      </c>
      <c r="DE26">
        <f>IF(Evalucion!DF24=Datos!$C$15,Datos!$D$15,IF(Evalucion!DF24=Datos!$C$16,Datos!$D$16,IF(Evalucion!DF24=Datos!$C$17,Datos!$D$17,IF(Evalucion!DF24=Datos!$C$18,Datos!$D$18,IF(Evalucion!DF24=Datos!$C$19,Datos!$D$19,"=")))))</f>
        <v>1</v>
      </c>
      <c r="DF26">
        <f>IF(Evalucion!DG24=Datos!$C$15,Datos!$D$15,IF(Evalucion!DG24=Datos!$C$16,Datos!$D$16,IF(Evalucion!DG24=Datos!$C$17,Datos!$D$17,IF(Evalucion!DG24=Datos!$C$18,Datos!$D$18,IF(Evalucion!DG24=Datos!$C$19,Datos!$D$19,"=")))))</f>
        <v>5</v>
      </c>
      <c r="DG26">
        <f>IF(Evalucion!DH24=Datos!$C$15,Datos!$D$15,IF(Evalucion!DH24=Datos!$C$16,Datos!$D$16,IF(Evalucion!DH24=Datos!$C$17,Datos!$D$17,IF(Evalucion!DH24=Datos!$C$18,Datos!$D$18,IF(Evalucion!DH24=Datos!$C$19,Datos!$D$19,"=")))))</f>
        <v>5</v>
      </c>
      <c r="DH26">
        <f>IF(Evalucion!DI24=Datos!$C$15,Datos!$D$15,IF(Evalucion!DI24=Datos!$C$16,Datos!$D$16,IF(Evalucion!DI24=Datos!$C$17,Datos!$D$17,IF(Evalucion!DI24=Datos!$C$18,Datos!$D$18,IF(Evalucion!DI24=Datos!$C$19,Datos!$D$19,"=")))))</f>
        <v>1</v>
      </c>
      <c r="DI26">
        <f>IF(Evalucion!DJ24=Datos!$C$15,Datos!$D$15,IF(Evalucion!DJ24=Datos!$C$16,Datos!$D$16,IF(Evalucion!DJ24=Datos!$C$17,Datos!$D$17,IF(Evalucion!DJ24=Datos!$C$18,Datos!$D$18,IF(Evalucion!DJ24=Datos!$C$19,Datos!$D$19,"=")))))</f>
        <v>1</v>
      </c>
      <c r="DJ26">
        <f>IF(Evalucion!DK24=Datos!$C$15,Datos!$D$15,IF(Evalucion!DK24=Datos!$C$16,Datos!$D$16,IF(Evalucion!DK24=Datos!$C$17,Datos!$D$17,IF(Evalucion!DK24=Datos!$C$18,Datos!$D$18,IF(Evalucion!DK24=Datos!$C$19,Datos!$D$19,"=")))))</f>
        <v>1</v>
      </c>
      <c r="DK26">
        <f>IF(Evalucion!DL24=Datos!$C$15,Datos!$D$15,IF(Evalucion!DL24=Datos!$C$16,Datos!$D$16,IF(Evalucion!DL24=Datos!$C$17,Datos!$D$17,IF(Evalucion!DL24=Datos!$C$18,Datos!$D$18,IF(Evalucion!DL24=Datos!$C$19,Datos!$D$19,"=")))))</f>
        <v>1</v>
      </c>
      <c r="DL26">
        <f>IF(Evalucion!DM24=Datos!$C$15,Datos!$D$15,IF(Evalucion!DM24=Datos!$C$16,Datos!$D$16,IF(Evalucion!DM24=Datos!$C$17,Datos!$D$17,IF(Evalucion!DM24=Datos!$C$18,Datos!$D$18,IF(Evalucion!DM24=Datos!$C$19,Datos!$D$19,"=")))))</f>
        <v>1</v>
      </c>
      <c r="DM26">
        <f>IF(Evalucion!DN24=Datos!$C$15,Datos!$D$15,IF(Evalucion!DN24=Datos!$C$16,Datos!$D$16,IF(Evalucion!DN24=Datos!$C$17,Datos!$D$17,IF(Evalucion!DN24=Datos!$C$18,Datos!$D$18,IF(Evalucion!DN24=Datos!$C$19,Datos!$D$19,"=")))))</f>
        <v>1</v>
      </c>
      <c r="DN26">
        <f>IF(Evalucion!DO24=Datos!$C$15,Datos!$D$15,IF(Evalucion!DO24=Datos!$C$16,Datos!$D$16,IF(Evalucion!DO24=Datos!$C$17,Datos!$D$17,IF(Evalucion!DO24=Datos!$C$18,Datos!$D$18,IF(Evalucion!DO24=Datos!$C$19,Datos!$D$19,"=")))))</f>
        <v>5</v>
      </c>
      <c r="DO26">
        <f>IF(Evalucion!DP24=Datos!$C$15,Datos!$D$15,IF(Evalucion!DP24=Datos!$C$16,Datos!$D$16,IF(Evalucion!DP24=Datos!$C$17,Datos!$D$17,IF(Evalucion!DP24=Datos!$C$18,Datos!$D$18,IF(Evalucion!DP24=Datos!$C$19,Datos!$D$19,"=")))))</f>
        <v>5</v>
      </c>
      <c r="DP26">
        <f>IF(Evalucion!DQ24=Datos!$C$15,Datos!$D$15,IF(Evalucion!DQ24=Datos!$C$16,Datos!$D$16,IF(Evalucion!DQ24=Datos!$C$17,Datos!$D$17,IF(Evalucion!DQ24=Datos!$C$18,Datos!$D$18,IF(Evalucion!DQ24=Datos!$C$19,Datos!$D$19,"=")))))</f>
        <v>5</v>
      </c>
      <c r="DQ26">
        <f>IF(Evalucion!DR24=Datos!$C$15,Datos!$D$15,IF(Evalucion!DR24=Datos!$C$16,Datos!$D$16,IF(Evalucion!DR24=Datos!$C$17,Datos!$D$17,IF(Evalucion!DR24=Datos!$C$18,Datos!$D$18,IF(Evalucion!DR24=Datos!$C$19,Datos!$D$19,"=")))))</f>
        <v>3</v>
      </c>
      <c r="DR26">
        <f>IF(Evalucion!DS24=Datos!$C$15,Datos!$D$15,IF(Evalucion!DS24=Datos!$C$16,Datos!$D$16,IF(Evalucion!DS24=Datos!$C$17,Datos!$D$17,IF(Evalucion!DS24=Datos!$C$18,Datos!$D$18,IF(Evalucion!DS24=Datos!$C$19,Datos!$D$19,"=")))))</f>
        <v>5</v>
      </c>
      <c r="DS26">
        <f>IF(Evalucion!DT24=Datos!$C$15,Datos!$D$15,IF(Evalucion!DT24=Datos!$C$16,Datos!$D$16,IF(Evalucion!DT24=Datos!$C$17,Datos!$D$17,IF(Evalucion!DT24=Datos!$C$18,Datos!$D$18,IF(Evalucion!DT24=Datos!$C$19,Datos!$D$19,"=")))))</f>
        <v>3</v>
      </c>
      <c r="DT26">
        <f>IF(Evalucion!DU24=Datos!$C$15,Datos!$D$15,IF(Evalucion!DU24=Datos!$C$16,Datos!$D$16,IF(Evalucion!DU24=Datos!$C$17,Datos!$D$17,IF(Evalucion!DU24=Datos!$C$18,Datos!$D$18,IF(Evalucion!DU24=Datos!$C$19,Datos!$D$19,"=")))))</f>
        <v>5</v>
      </c>
      <c r="DU26">
        <f>IF(Evalucion!DV24=Datos!$C$15,Datos!$D$15,IF(Evalucion!DV24=Datos!$C$16,Datos!$D$16,IF(Evalucion!DV24=Datos!$C$17,Datos!$D$17,IF(Evalucion!DV24=Datos!$C$18,Datos!$D$18,IF(Evalucion!DV24=Datos!$C$19,Datos!$D$19,"=")))))</f>
        <v>5</v>
      </c>
      <c r="DV26">
        <f>IF(Evalucion!DW24=Datos!$C$15,Datos!$D$15,IF(Evalucion!DW24=Datos!$C$16,Datos!$D$16,IF(Evalucion!DW24=Datos!$C$17,Datos!$D$17,IF(Evalucion!DW24=Datos!$C$18,Datos!$D$18,IF(Evalucion!DW24=Datos!$C$19,Datos!$D$19,"=")))))</f>
        <v>5</v>
      </c>
      <c r="DW26">
        <f>IF(Evalucion!DX24=Datos!$C$15,Datos!$D$15,IF(Evalucion!DX24=Datos!$C$16,Datos!$D$16,IF(Evalucion!DX24=Datos!$C$17,Datos!$D$17,IF(Evalucion!DX24=Datos!$C$18,Datos!$D$18,IF(Evalucion!DX24=Datos!$C$19,Datos!$D$19,"=")))))</f>
        <v>5</v>
      </c>
      <c r="DX26">
        <f>IF(Evalucion!DY24=Datos!$C$15,Datos!$D$15,IF(Evalucion!DY24=Datos!$C$16,Datos!$D$16,IF(Evalucion!DY24=Datos!$C$17,Datos!$D$17,IF(Evalucion!DY24=Datos!$C$18,Datos!$D$18,IF(Evalucion!DY24=Datos!$C$19,Datos!$D$19,"=")))))</f>
        <v>5</v>
      </c>
      <c r="DY26">
        <f>IF(Evalucion!DZ24=Datos!$C$15,Datos!$D$15,IF(Evalucion!DZ24=Datos!$C$16,Datos!$D$16,IF(Evalucion!DZ24=Datos!$C$17,Datos!$D$17,IF(Evalucion!DZ24=Datos!$C$18,Datos!$D$18,IF(Evalucion!DZ24=Datos!$C$19,Datos!$D$19,"=")))))</f>
        <v>3</v>
      </c>
      <c r="DZ26">
        <f>IF(Evalucion!EA24=Datos!$C$15,Datos!$D$15,IF(Evalucion!EA24=Datos!$C$16,Datos!$D$16,IF(Evalucion!EA24=Datos!$C$17,Datos!$D$17,IF(Evalucion!EA24=Datos!$C$18,Datos!$D$18,IF(Evalucion!EA24=Datos!$C$19,Datos!$D$19,"=")))))</f>
        <v>5</v>
      </c>
      <c r="EA26">
        <f>IF(Evalucion!EB24=Datos!$C$15,Datos!$D$15,IF(Evalucion!EB24=Datos!$C$16,Datos!$D$16,IF(Evalucion!EB24=Datos!$C$17,Datos!$D$17,IF(Evalucion!EB24=Datos!$C$18,Datos!$D$18,IF(Evalucion!EB24=Datos!$C$19,Datos!$D$19,"=")))))</f>
        <v>5</v>
      </c>
      <c r="EB26">
        <f>IF(Evalucion!EC24=Datos!$C$15,Datos!$D$15,IF(Evalucion!EC24=Datos!$C$16,Datos!$D$16,IF(Evalucion!EC24=Datos!$C$17,Datos!$D$17,IF(Evalucion!EC24=Datos!$C$18,Datos!$D$18,IF(Evalucion!EC24=Datos!$C$19,Datos!$D$19,"=")))))</f>
        <v>5</v>
      </c>
      <c r="EC26">
        <f>IF(Evalucion!ED24=Datos!$C$15,Datos!$D$15,IF(Evalucion!ED24=Datos!$C$16,Datos!$D$16,IF(Evalucion!ED24=Datos!$C$17,Datos!$D$17,IF(Evalucion!ED24=Datos!$C$18,Datos!$D$18,IF(Evalucion!ED24=Datos!$C$19,Datos!$D$19,"=")))))</f>
        <v>3</v>
      </c>
      <c r="ED26">
        <f>IF(Evalucion!EE24=Datos!$C$15,Datos!$D$15,IF(Evalucion!EE24=Datos!$C$16,Datos!$D$16,IF(Evalucion!EE24=Datos!$C$17,Datos!$D$17,IF(Evalucion!EE24=Datos!$C$18,Datos!$D$18,IF(Evalucion!EE24=Datos!$C$19,Datos!$D$19,"=")))))</f>
        <v>5</v>
      </c>
      <c r="EE26">
        <f>IF(Evalucion!EF24=Datos!$C$15,Datos!$D$15,IF(Evalucion!EF24=Datos!$C$16,Datos!$D$16,IF(Evalucion!EF24=Datos!$C$17,Datos!$D$17,IF(Evalucion!EF24=Datos!$C$18,Datos!$D$18,IF(Evalucion!EF24=Datos!$C$19,Datos!$D$19,"=")))))</f>
        <v>5</v>
      </c>
      <c r="EF26">
        <f>IF(Evalucion!EG24=Datos!$C$15,Datos!$D$15,IF(Evalucion!EG24=Datos!$C$16,Datos!$D$16,IF(Evalucion!EG24=Datos!$C$17,Datos!$D$17,IF(Evalucion!EG24=Datos!$C$18,Datos!$D$18,IF(Evalucion!EG24=Datos!$C$19,Datos!$D$19,"=")))))</f>
        <v>5</v>
      </c>
      <c r="EG26">
        <f>IF(Evalucion!EH24=Datos!$C$15,Datos!$D$15,IF(Evalucion!EH24=Datos!$C$16,Datos!$D$16,IF(Evalucion!EH24=Datos!$C$17,Datos!$D$17,IF(Evalucion!EH24=Datos!$C$18,Datos!$D$18,IF(Evalucion!EH24=Datos!$C$19,Datos!$D$19,"=")))))</f>
        <v>5</v>
      </c>
      <c r="EH26">
        <f>IF(Evalucion!EI24=Datos!$C$15,Datos!$D$15,IF(Evalucion!EI24=Datos!$C$16,Datos!$D$16,IF(Evalucion!EI24=Datos!$C$17,Datos!$D$17,IF(Evalucion!EI24=Datos!$C$18,Datos!$D$18,IF(Evalucion!EI24=Datos!$C$19,Datos!$D$19,"=")))))</f>
        <v>5</v>
      </c>
      <c r="EI26">
        <f>IF(Evalucion!EJ24=Datos!$C$15,Datos!$D$15,IF(Evalucion!EJ24=Datos!$C$16,Datos!$D$16,IF(Evalucion!EJ24=Datos!$C$17,Datos!$D$17,IF(Evalucion!EJ24=Datos!$C$18,Datos!$D$18,IF(Evalucion!EJ24=Datos!$C$19,Datos!$D$19,"=")))))</f>
        <v>5</v>
      </c>
      <c r="EJ26">
        <f>IF(Evalucion!EK24=Datos!$C$15,Datos!$D$15,IF(Evalucion!EK24=Datos!$C$16,Datos!$D$16,IF(Evalucion!EK24=Datos!$C$17,Datos!$D$17,IF(Evalucion!EK24=Datos!$C$18,Datos!$D$18,IF(Evalucion!EK24=Datos!$C$19,Datos!$D$19,"=")))))</f>
        <v>5</v>
      </c>
      <c r="EK26">
        <f>IF(Evalucion!EL24=Datos!$C$15,Datos!$D$15,IF(Evalucion!EL24=Datos!$C$16,Datos!$D$16,IF(Evalucion!EL24=Datos!$C$17,Datos!$D$17,IF(Evalucion!EL24=Datos!$C$18,Datos!$D$18,IF(Evalucion!EL24=Datos!$C$19,Datos!$D$19,"=")))))</f>
        <v>5</v>
      </c>
      <c r="EL26">
        <f>IF(Evalucion!EM24=Datos!$C$15,Datos!$D$15,IF(Evalucion!EM24=Datos!$C$16,Datos!$D$16,IF(Evalucion!EM24=Datos!$C$17,Datos!$D$17,IF(Evalucion!EM24=Datos!$C$18,Datos!$D$18,IF(Evalucion!EM24=Datos!$C$19,Datos!$D$19,"=")))))</f>
        <v>5</v>
      </c>
      <c r="EM26">
        <f>IF(Evalucion!EN24=Datos!$C$15,Datos!$D$15,IF(Evalucion!EN24=Datos!$C$16,Datos!$D$16,IF(Evalucion!EN24=Datos!$C$17,Datos!$D$17,IF(Evalucion!EN24=Datos!$C$18,Datos!$D$18,IF(Evalucion!EN24=Datos!$C$19,Datos!$D$19,"=")))))</f>
        <v>5</v>
      </c>
      <c r="EN26">
        <f>IF(Evalucion!EO24=Datos!$C$15,Datos!$D$15,IF(Evalucion!EO24=Datos!$C$16,Datos!$D$16,IF(Evalucion!EO24=Datos!$C$17,Datos!$D$17,IF(Evalucion!EO24=Datos!$C$18,Datos!$D$18,IF(Evalucion!EO24=Datos!$C$19,Datos!$D$19,"=")))))</f>
        <v>5</v>
      </c>
      <c r="EO26">
        <f>IF(Evalucion!EP24=Datos!$C$15,Datos!$D$15,IF(Evalucion!EP24=Datos!$C$16,Datos!$D$16,IF(Evalucion!EP24=Datos!$C$17,Datos!$D$17,IF(Evalucion!EP24=Datos!$C$18,Datos!$D$18,IF(Evalucion!EP24=Datos!$C$19,Datos!$D$19,"=")))))</f>
        <v>5</v>
      </c>
      <c r="EP26">
        <f>IF(Evalucion!EQ24=Datos!$C$15,Datos!$D$15,IF(Evalucion!EQ24=Datos!$C$16,Datos!$D$16,IF(Evalucion!EQ24=Datos!$C$17,Datos!$D$17,IF(Evalucion!EQ24=Datos!$C$18,Datos!$D$18,IF(Evalucion!EQ24=Datos!$C$19,Datos!$D$19,"=")))))</f>
        <v>5</v>
      </c>
      <c r="EQ26">
        <f>IF(Evalucion!ER24=Datos!$C$15,Datos!$D$15,IF(Evalucion!ER24=Datos!$C$16,Datos!$D$16,IF(Evalucion!ER24=Datos!$C$17,Datos!$D$17,IF(Evalucion!ER24=Datos!$C$18,Datos!$D$18,IF(Evalucion!ER24=Datos!$C$19,Datos!$D$19,"=")))))</f>
        <v>5</v>
      </c>
      <c r="ER26">
        <f>IF(Evalucion!ES24=Datos!$C$15,Datos!$D$15,IF(Evalucion!ES24=Datos!$C$16,Datos!$D$16,IF(Evalucion!ES24=Datos!$C$17,Datos!$D$17,IF(Evalucion!ES24=Datos!$C$18,Datos!$D$18,IF(Evalucion!ES24=Datos!$C$19,Datos!$D$19,"=")))))</f>
        <v>5</v>
      </c>
      <c r="ES26">
        <f>IF(Evalucion!ET24=Datos!$C$15,Datos!$D$15,IF(Evalucion!ET24=Datos!$C$16,Datos!$D$16,IF(Evalucion!ET24=Datos!$C$17,Datos!$D$17,IF(Evalucion!ET24=Datos!$C$18,Datos!$D$18,IF(Evalucion!ET24=Datos!$C$19,Datos!$D$19,"=")))))</f>
        <v>5</v>
      </c>
      <c r="ET26">
        <f>IF(Evalucion!EU24=Datos!$C$15,Datos!$D$15,IF(Evalucion!EU24=Datos!$C$16,Datos!$D$16,IF(Evalucion!EU24=Datos!$C$17,Datos!$D$17,IF(Evalucion!EU24=Datos!$C$18,Datos!$D$18,IF(Evalucion!EU24=Datos!$C$19,Datos!$D$19,"=")))))</f>
        <v>5</v>
      </c>
      <c r="EU26">
        <f>IF(Evalucion!EV24=Datos!$C$15,Datos!$D$15,IF(Evalucion!EV24=Datos!$C$16,Datos!$D$16,IF(Evalucion!EV24=Datos!$C$17,Datos!$D$17,IF(Evalucion!EV24=Datos!$C$18,Datos!$D$18,IF(Evalucion!EV24=Datos!$C$19,Datos!$D$19,"=")))))</f>
        <v>3</v>
      </c>
      <c r="EV26">
        <f>IF(Evalucion!EW24=Datos!$C$15,Datos!$D$15,IF(Evalucion!EW24=Datos!$C$16,Datos!$D$16,IF(Evalucion!EW24=Datos!$C$17,Datos!$D$17,IF(Evalucion!EW24=Datos!$C$18,Datos!$D$18,IF(Evalucion!EW24=Datos!$C$19,Datos!$D$19,"=")))))</f>
        <v>5</v>
      </c>
      <c r="EW26">
        <f>IF(Evalucion!EX24=Datos!$C$15,Datos!$D$15,IF(Evalucion!EX24=Datos!$C$16,Datos!$D$16,IF(Evalucion!EX24=Datos!$C$17,Datos!$D$17,IF(Evalucion!EX24=Datos!$C$18,Datos!$D$18,IF(Evalucion!EX24=Datos!$C$19,Datos!$D$19,"=")))))</f>
        <v>5</v>
      </c>
      <c r="EX26">
        <f>IF(Evalucion!EY24=Datos!$C$15,Datos!$D$15,IF(Evalucion!EY24=Datos!$C$16,Datos!$D$16,IF(Evalucion!EY24=Datos!$C$17,Datos!$D$17,IF(Evalucion!EY24=Datos!$C$18,Datos!$D$18,IF(Evalucion!EY24=Datos!$C$19,Datos!$D$19,"=")))))</f>
        <v>5</v>
      </c>
      <c r="EY26">
        <f>IF(Evalucion!EZ24=Datos!$C$15,Datos!$D$15,IF(Evalucion!EZ24=Datos!$C$16,Datos!$D$16,IF(Evalucion!EZ24=Datos!$C$17,Datos!$D$17,IF(Evalucion!EZ24=Datos!$C$18,Datos!$D$18,IF(Evalucion!EZ24=Datos!$C$19,Datos!$D$19,"=")))))</f>
        <v>3</v>
      </c>
      <c r="FA26">
        <f t="shared" si="8"/>
        <v>331</v>
      </c>
      <c r="FB26">
        <f t="shared" si="8"/>
        <v>275</v>
      </c>
      <c r="FC26" s="3">
        <f t="shared" si="4"/>
        <v>0.73333333333333328</v>
      </c>
      <c r="FD26" t="str">
        <f t="shared" si="0"/>
        <v>Conf_CR</v>
      </c>
      <c r="FF26">
        <f t="shared" si="5"/>
        <v>606</v>
      </c>
      <c r="FG26">
        <f t="shared" si="6"/>
        <v>0</v>
      </c>
    </row>
    <row r="27" spans="1:163" x14ac:dyDescent="0.2">
      <c r="A27">
        <f t="shared" si="7"/>
        <v>24</v>
      </c>
      <c r="B27" t="s">
        <v>268</v>
      </c>
      <c r="C27" t="s">
        <v>197</v>
      </c>
      <c r="D27" s="6">
        <v>43928</v>
      </c>
      <c r="E27">
        <f>IF(Evalucion!F25=Datos!$C$15,Datos!$D$15,IF(Evalucion!F25=Datos!$C$16,Datos!$D$16,IF(Evalucion!F25=Datos!$C$17,Datos!$D$17,IF(Evalucion!F25=Datos!$C$18,Datos!$D$18,IF(Evalucion!F25=Datos!$C$19,Datos!$D$19,"=")))))</f>
        <v>5</v>
      </c>
      <c r="F27">
        <f>IF(Evalucion!G25=Datos!$C$15,Datos!$D$15,IF(Evalucion!G25=Datos!$C$16,Datos!$D$16,IF(Evalucion!G25=Datos!$C$17,Datos!$D$17,IF(Evalucion!G25=Datos!$C$18,Datos!$D$18,IF(Evalucion!G25=Datos!$C$19,Datos!$D$19,"=")))))</f>
        <v>5</v>
      </c>
      <c r="G27">
        <f>IF(Evalucion!H25=Datos!$C$15,Datos!$D$15,IF(Evalucion!H25=Datos!$C$16,Datos!$D$16,IF(Evalucion!H25=Datos!$C$17,Datos!$D$17,IF(Evalucion!H25=Datos!$C$18,Datos!$D$18,IF(Evalucion!H25=Datos!$C$19,Datos!$D$19,"=")))))</f>
        <v>5</v>
      </c>
      <c r="H27">
        <f>IF(Evalucion!I25=Datos!$C$15,Datos!$D$15,IF(Evalucion!I25=Datos!$C$16,Datos!$D$16,IF(Evalucion!I25=Datos!$C$17,Datos!$D$17,IF(Evalucion!I25=Datos!$C$18,Datos!$D$18,IF(Evalucion!I25=Datos!$C$19,Datos!$D$19,"=")))))</f>
        <v>1</v>
      </c>
      <c r="I27">
        <f>IF(Evalucion!J25=Datos!$C$15,Datos!$D$15,IF(Evalucion!J25=Datos!$C$16,Datos!$D$16,IF(Evalucion!J25=Datos!$C$17,Datos!$D$17,IF(Evalucion!J25=Datos!$C$18,Datos!$D$18,IF(Evalucion!J25=Datos!$C$19,Datos!$D$19,"=")))))</f>
        <v>1</v>
      </c>
      <c r="J27">
        <f>IF(Evalucion!K25=Datos!$C$15,Datos!$D$15,IF(Evalucion!K25=Datos!$C$16,Datos!$D$16,IF(Evalucion!K25=Datos!$C$17,Datos!$D$17,IF(Evalucion!K25=Datos!$C$18,Datos!$D$18,IF(Evalucion!K25=Datos!$C$19,Datos!$D$19,"=")))))</f>
        <v>1</v>
      </c>
      <c r="K27">
        <f>IF(Evalucion!L25=Datos!$C$15,Datos!$D$15,IF(Evalucion!L25=Datos!$C$16,Datos!$D$16,IF(Evalucion!L25=Datos!$C$17,Datos!$D$17,IF(Evalucion!L25=Datos!$C$18,Datos!$D$18,IF(Evalucion!L25=Datos!$C$19,Datos!$D$19,"=")))))</f>
        <v>5</v>
      </c>
      <c r="L27">
        <f>IF(Evalucion!M25=Datos!$C$15,Datos!$D$15,IF(Evalucion!M25=Datos!$C$16,Datos!$D$16,IF(Evalucion!M25=Datos!$C$17,Datos!$D$17,IF(Evalucion!M25=Datos!$C$18,Datos!$D$18,IF(Evalucion!M25=Datos!$C$19,Datos!$D$19,"=")))))</f>
        <v>5</v>
      </c>
      <c r="M27">
        <f>IF(Evalucion!N25=Datos!$C$15,Datos!$D$15,IF(Evalucion!N25=Datos!$C$16,Datos!$D$16,IF(Evalucion!N25=Datos!$C$17,Datos!$D$17,IF(Evalucion!N25=Datos!$C$18,Datos!$D$18,IF(Evalucion!N25=Datos!$C$19,Datos!$D$19,"=")))))</f>
        <v>5</v>
      </c>
      <c r="N27">
        <f>IF(Evalucion!O25=Datos!$C$15,Datos!$D$15,IF(Evalucion!O25=Datos!$C$16,Datos!$D$16,IF(Evalucion!O25=Datos!$C$17,Datos!$D$17,IF(Evalucion!O25=Datos!$C$18,Datos!$D$18,IF(Evalucion!O25=Datos!$C$19,Datos!$D$19,"=")))))</f>
        <v>5</v>
      </c>
      <c r="O27">
        <f>IF(Evalucion!P25=Datos!$C$15,Datos!$D$15,IF(Evalucion!P25=Datos!$C$16,Datos!$D$16,IF(Evalucion!P25=Datos!$C$17,Datos!$D$17,IF(Evalucion!P25=Datos!$C$18,Datos!$D$18,IF(Evalucion!P25=Datos!$C$19,Datos!$D$19,"=")))))</f>
        <v>5</v>
      </c>
      <c r="P27">
        <f>IF(Evalucion!Q25=Datos!$C$15,Datos!$D$15,IF(Evalucion!Q25=Datos!$C$16,Datos!$D$16,IF(Evalucion!Q25=Datos!$C$17,Datos!$D$17,IF(Evalucion!Q25=Datos!$C$18,Datos!$D$18,IF(Evalucion!Q25=Datos!$C$19,Datos!$D$19,"=")))))</f>
        <v>5</v>
      </c>
      <c r="Q27">
        <f>IF(Evalucion!R25=Datos!$C$15,Datos!$D$15,IF(Evalucion!R25=Datos!$C$16,Datos!$D$16,IF(Evalucion!R25=Datos!$C$17,Datos!$D$17,IF(Evalucion!R25=Datos!$C$18,Datos!$D$18,IF(Evalucion!R25=Datos!$C$19,Datos!$D$19,"=")))))</f>
        <v>5</v>
      </c>
      <c r="R27">
        <f>IF(Evalucion!S25=Datos!$C$15,Datos!$D$15,IF(Evalucion!S25=Datos!$C$16,Datos!$D$16,IF(Evalucion!S25=Datos!$C$17,Datos!$D$17,IF(Evalucion!S25=Datos!$C$18,Datos!$D$18,IF(Evalucion!S25=Datos!$C$19,Datos!$D$19,"=")))))</f>
        <v>5</v>
      </c>
      <c r="S27">
        <f>IF(Evalucion!T25=Datos!$C$15,Datos!$D$15,IF(Evalucion!T25=Datos!$C$16,Datos!$D$16,IF(Evalucion!T25=Datos!$C$17,Datos!$D$17,IF(Evalucion!T25=Datos!$C$18,Datos!$D$18,IF(Evalucion!T25=Datos!$C$19,Datos!$D$19,"=")))))</f>
        <v>5</v>
      </c>
      <c r="T27">
        <f>IF(Evalucion!U25=Datos!$C$15,Datos!$D$15,IF(Evalucion!U25=Datos!$C$16,Datos!$D$16,IF(Evalucion!U25=Datos!$C$17,Datos!$D$17,IF(Evalucion!U25=Datos!$C$18,Datos!$D$18,IF(Evalucion!U25=Datos!$C$19,Datos!$D$19,"=")))))</f>
        <v>5</v>
      </c>
      <c r="U27">
        <f>IF(Evalucion!V25=Datos!$C$15,Datos!$D$15,IF(Evalucion!V25=Datos!$C$16,Datos!$D$16,IF(Evalucion!V25=Datos!$C$17,Datos!$D$17,IF(Evalucion!V25=Datos!$C$18,Datos!$D$18,IF(Evalucion!V25=Datos!$C$19,Datos!$D$19,"=")))))</f>
        <v>5</v>
      </c>
      <c r="V27">
        <f>IF(Evalucion!W25=Datos!$C$15,Datos!$D$15,IF(Evalucion!W25=Datos!$C$16,Datos!$D$16,IF(Evalucion!W25=Datos!$C$17,Datos!$D$17,IF(Evalucion!W25=Datos!$C$18,Datos!$D$18,IF(Evalucion!W25=Datos!$C$19,Datos!$D$19,"=")))))</f>
        <v>5</v>
      </c>
      <c r="W27">
        <f>IF(Evalucion!X25=Datos!$C$15,Datos!$D$15,IF(Evalucion!X25=Datos!$C$16,Datos!$D$16,IF(Evalucion!X25=Datos!$C$17,Datos!$D$17,IF(Evalucion!X25=Datos!$C$18,Datos!$D$18,IF(Evalucion!X25=Datos!$C$19,Datos!$D$19,"=")))))</f>
        <v>5</v>
      </c>
      <c r="X27">
        <f>IF(Evalucion!Y25=Datos!$C$15,Datos!$D$15,IF(Evalucion!Y25=Datos!$C$16,Datos!$D$16,IF(Evalucion!Y25=Datos!$C$17,Datos!$D$17,IF(Evalucion!Y25=Datos!$C$18,Datos!$D$18,IF(Evalucion!Y25=Datos!$C$19,Datos!$D$19,"=")))))</f>
        <v>5</v>
      </c>
      <c r="Y27">
        <f>IF(Evalucion!Z25=Datos!$C$15,Datos!$D$15,IF(Evalucion!Z25=Datos!$C$16,Datos!$D$16,IF(Evalucion!Z25=Datos!$C$17,Datos!$D$17,IF(Evalucion!Z25=Datos!$C$18,Datos!$D$18,IF(Evalucion!Z25=Datos!$C$19,Datos!$D$19,"=")))))</f>
        <v>5</v>
      </c>
      <c r="Z27">
        <f>IF(Evalucion!AA25=Datos!$C$15,Datos!$D$15,IF(Evalucion!AA25=Datos!$C$16,Datos!$D$16,IF(Evalucion!AA25=Datos!$C$17,Datos!$D$17,IF(Evalucion!AA25=Datos!$C$18,Datos!$D$18,IF(Evalucion!AA25=Datos!$C$19,Datos!$D$19,"=")))))</f>
        <v>5</v>
      </c>
      <c r="AA27">
        <f>IF(Evalucion!AB25=Datos!$C$15,Datos!$D$15,IF(Evalucion!AB25=Datos!$C$16,Datos!$D$16,IF(Evalucion!AB25=Datos!$C$17,Datos!$D$17,IF(Evalucion!AB25=Datos!$C$18,Datos!$D$18,IF(Evalucion!AB25=Datos!$C$19,Datos!$D$19,"=")))))</f>
        <v>5</v>
      </c>
      <c r="AB27">
        <f>IF(Evalucion!AC25=Datos!$C$15,Datos!$D$15,IF(Evalucion!AC25=Datos!$C$16,Datos!$D$16,IF(Evalucion!AC25=Datos!$C$17,Datos!$D$17,IF(Evalucion!AC25=Datos!$C$18,Datos!$D$18,IF(Evalucion!AC25=Datos!$C$19,Datos!$D$19,"=")))))</f>
        <v>5</v>
      </c>
      <c r="AC27">
        <f>IF(Evalucion!AD25=Datos!$C$15,Datos!$D$15,IF(Evalucion!AD25=Datos!$C$16,Datos!$D$16,IF(Evalucion!AD25=Datos!$C$17,Datos!$D$17,IF(Evalucion!AD25=Datos!$C$18,Datos!$D$18,IF(Evalucion!AD25=Datos!$C$19,Datos!$D$19,"=")))))</f>
        <v>5</v>
      </c>
      <c r="AD27">
        <f>IF(Evalucion!AE25=Datos!$C$15,Datos!$D$15,IF(Evalucion!AE25=Datos!$C$16,Datos!$D$16,IF(Evalucion!AE25=Datos!$C$17,Datos!$D$17,IF(Evalucion!AE25=Datos!$C$18,Datos!$D$18,IF(Evalucion!AE25=Datos!$C$19,Datos!$D$19,"=")))))</f>
        <v>3</v>
      </c>
      <c r="AE27">
        <f>IF(Evalucion!AF25=Datos!$C$15,Datos!$D$15,IF(Evalucion!AF25=Datos!$C$16,Datos!$D$16,IF(Evalucion!AF25=Datos!$C$17,Datos!$D$17,IF(Evalucion!AF25=Datos!$C$18,Datos!$D$18,IF(Evalucion!AF25=Datos!$C$19,Datos!$D$19,"=")))))</f>
        <v>5</v>
      </c>
      <c r="AF27">
        <f>IF(Evalucion!AG25=Datos!$C$15,Datos!$D$15,IF(Evalucion!AG25=Datos!$C$16,Datos!$D$16,IF(Evalucion!AG25=Datos!$C$17,Datos!$D$17,IF(Evalucion!AG25=Datos!$C$18,Datos!$D$18,IF(Evalucion!AG25=Datos!$C$19,Datos!$D$19,"=")))))</f>
        <v>5</v>
      </c>
      <c r="AO27">
        <f>IF(Evalucion!AP25=Datos!$C$15,Datos!$D$15,IF(Evalucion!AP25=Datos!$C$16,Datos!$D$16,IF(Evalucion!AP25=Datos!$C$17,Datos!$D$17,IF(Evalucion!AP25=Datos!$C$18,Datos!$D$18,IF(Evalucion!AP25=Datos!$C$19,Datos!$D$19,"=")))))</f>
        <v>5</v>
      </c>
      <c r="AP27">
        <f>IF(Evalucion!AQ25=Datos!$C$15,Datos!$D$15,IF(Evalucion!AQ25=Datos!$C$16,Datos!$D$16,IF(Evalucion!AQ25=Datos!$C$17,Datos!$D$17,IF(Evalucion!AQ25=Datos!$C$18,Datos!$D$18,IF(Evalucion!AQ25=Datos!$C$19,Datos!$D$19,"=")))))</f>
        <v>3</v>
      </c>
      <c r="AQ27">
        <f>IF(Evalucion!AR25=Datos!$C$15,Datos!$D$15,IF(Evalucion!AR25=Datos!$C$16,Datos!$D$16,IF(Evalucion!AR25=Datos!$C$17,Datos!$D$17,IF(Evalucion!AR25=Datos!$C$18,Datos!$D$18,IF(Evalucion!AR25=Datos!$C$19,Datos!$D$19,"=")))))</f>
        <v>1</v>
      </c>
      <c r="AR27">
        <f>IF(Evalucion!AS25=Datos!$C$15,Datos!$D$15,IF(Evalucion!AS25=Datos!$C$16,Datos!$D$16,IF(Evalucion!AS25=Datos!$C$17,Datos!$D$17,IF(Evalucion!AS25=Datos!$C$18,Datos!$D$18,IF(Evalucion!AS25=Datos!$C$19,Datos!$D$19,"=")))))</f>
        <v>1</v>
      </c>
      <c r="AS27">
        <f>IF(Evalucion!AT25=Datos!$C$15,Datos!$D$15,IF(Evalucion!AT25=Datos!$C$16,Datos!$D$16,IF(Evalucion!AT25=Datos!$C$17,Datos!$D$17,IF(Evalucion!AT25=Datos!$C$18,Datos!$D$18,IF(Evalucion!AT25=Datos!$C$19,Datos!$D$19,"=")))))</f>
        <v>5</v>
      </c>
      <c r="AT27">
        <f>IF(Evalucion!AU25=Datos!$C$15,Datos!$D$15,IF(Evalucion!AU25=Datos!$C$16,Datos!$D$16,IF(Evalucion!AU25=Datos!$C$17,Datos!$D$17,IF(Evalucion!AU25=Datos!$C$18,Datos!$D$18,IF(Evalucion!AU25=Datos!$C$19,Datos!$D$19,"=")))))</f>
        <v>5</v>
      </c>
      <c r="AV27">
        <f>IF(Evalucion!AW25=Datos!$C$15,Datos!$D$15,IF(Evalucion!AW25=Datos!$C$16,Datos!$D$16,IF(Evalucion!AW25=Datos!$C$17,Datos!$D$17,IF(Evalucion!AW25=Datos!$C$18,Datos!$D$18,IF(Evalucion!AW25=Datos!$C$19,Datos!$D$19,"=")))))</f>
        <v>5</v>
      </c>
      <c r="AW27">
        <f>IF(Evalucion!AX25=Datos!$C$15,Datos!$D$15,IF(Evalucion!AX25=Datos!$C$16,Datos!$D$16,IF(Evalucion!AX25=Datos!$C$17,Datos!$D$17,IF(Evalucion!AX25=Datos!$C$18,Datos!$D$18,IF(Evalucion!AX25=Datos!$C$19,Datos!$D$19,"=")))))</f>
        <v>5</v>
      </c>
      <c r="AX27">
        <f>IF(Evalucion!AY25=Datos!$C$15,Datos!$D$15,IF(Evalucion!AY25=Datos!$C$16,Datos!$D$16,IF(Evalucion!AY25=Datos!$C$17,Datos!$D$17,IF(Evalucion!AY25=Datos!$C$18,Datos!$D$18,IF(Evalucion!AY25=Datos!$C$19,Datos!$D$19,"=")))))</f>
        <v>5</v>
      </c>
      <c r="AY27">
        <f>IF(Evalucion!AZ25=Datos!$C$15,Datos!$D$15,IF(Evalucion!AZ25=Datos!$C$16,Datos!$D$16,IF(Evalucion!AZ25=Datos!$C$17,Datos!$D$17,IF(Evalucion!AZ25=Datos!$C$18,Datos!$D$18,IF(Evalucion!AZ25=Datos!$C$19,Datos!$D$19,"=")))))</f>
        <v>5</v>
      </c>
      <c r="AZ27">
        <f>IF(Evalucion!BA25=Datos!$C$15,Datos!$D$15,IF(Evalucion!BA25=Datos!$C$16,Datos!$D$16,IF(Evalucion!BA25=Datos!$C$17,Datos!$D$17,IF(Evalucion!BA25=Datos!$C$18,Datos!$D$18,IF(Evalucion!BA25=Datos!$C$19,Datos!$D$19,"=")))))</f>
        <v>5</v>
      </c>
      <c r="BA27">
        <f>IF(Evalucion!BB25=Datos!$C$15,Datos!$D$15,IF(Evalucion!BB25=Datos!$C$16,Datos!$D$16,IF(Evalucion!BB25=Datos!$C$17,Datos!$D$17,IF(Evalucion!BB25=Datos!$C$18,Datos!$D$18,IF(Evalucion!BB25=Datos!$C$19,Datos!$D$19,"=")))))</f>
        <v>5</v>
      </c>
      <c r="BB27">
        <f>IF(Evalucion!BC25=Datos!$C$15,Datos!$D$15,IF(Evalucion!BC25=Datos!$C$16,Datos!$D$16,IF(Evalucion!BC25=Datos!$C$17,Datos!$D$17,IF(Evalucion!BC25=Datos!$C$18,Datos!$D$18,IF(Evalucion!BC25=Datos!$C$19,Datos!$D$19,"=")))))</f>
        <v>5</v>
      </c>
      <c r="BC27">
        <f>IF(Evalucion!BD25=Datos!$C$15,Datos!$D$15,IF(Evalucion!BD25=Datos!$C$16,Datos!$D$16,IF(Evalucion!BD25=Datos!$C$17,Datos!$D$17,IF(Evalucion!BD25=Datos!$C$18,Datos!$D$18,IF(Evalucion!BD25=Datos!$C$19,Datos!$D$19,"=")))))</f>
        <v>1</v>
      </c>
      <c r="BD27">
        <f>IF(Evalucion!BE25=Datos!$C$15,Datos!$D$15,IF(Evalucion!BE25=Datos!$C$16,Datos!$D$16,IF(Evalucion!BE25=Datos!$C$17,Datos!$D$17,IF(Evalucion!BE25=Datos!$C$18,Datos!$D$18,IF(Evalucion!BE25=Datos!$C$19,Datos!$D$19,"=")))))</f>
        <v>5</v>
      </c>
      <c r="BE27">
        <f>IF(Evalucion!BF25=Datos!$C$15,Datos!$D$15,IF(Evalucion!BF25=Datos!$C$16,Datos!$D$16,IF(Evalucion!BF25=Datos!$C$17,Datos!$D$17,IF(Evalucion!BF25=Datos!$C$18,Datos!$D$18,IF(Evalucion!BF25=Datos!$C$19,Datos!$D$19,"=")))))</f>
        <v>1</v>
      </c>
      <c r="BF27">
        <f>IF(Evalucion!BG25=Datos!$C$15,Datos!$D$15,IF(Evalucion!BG25=Datos!$C$16,Datos!$D$16,IF(Evalucion!BG25=Datos!$C$17,Datos!$D$17,IF(Evalucion!BG25=Datos!$C$18,Datos!$D$18,IF(Evalucion!BG25=Datos!$C$19,Datos!$D$19,"=")))))</f>
        <v>5</v>
      </c>
      <c r="BG27">
        <f>IF(Evalucion!BH25=Datos!$C$15,Datos!$D$15,IF(Evalucion!BH25=Datos!$C$16,Datos!$D$16,IF(Evalucion!BH25=Datos!$C$17,Datos!$D$17,IF(Evalucion!BH25=Datos!$C$18,Datos!$D$18,IF(Evalucion!BH25=Datos!$C$19,Datos!$D$19,"=")))))</f>
        <v>5</v>
      </c>
      <c r="BH27">
        <f>IF(Evalucion!BI25=Datos!$C$15,Datos!$D$15,IF(Evalucion!BI25=Datos!$C$16,Datos!$D$16,IF(Evalucion!BI25=Datos!$C$17,Datos!$D$17,IF(Evalucion!BI25=Datos!$C$18,Datos!$D$18,IF(Evalucion!BI25=Datos!$C$19,Datos!$D$19,"=")))))</f>
        <v>5</v>
      </c>
      <c r="BI27">
        <f>IF(Evalucion!BJ25=Datos!$C$15,Datos!$D$15,IF(Evalucion!BJ25=Datos!$C$16,Datos!$D$16,IF(Evalucion!BJ25=Datos!$C$17,Datos!$D$17,IF(Evalucion!BJ25=Datos!$C$18,Datos!$D$18,IF(Evalucion!BJ25=Datos!$C$19,Datos!$D$19,"=")))))</f>
        <v>5</v>
      </c>
      <c r="BJ27">
        <f>IF(Evalucion!BK25=Datos!$C$15,Datos!$D$15,IF(Evalucion!BK25=Datos!$C$16,Datos!$D$16,IF(Evalucion!BK25=Datos!$C$17,Datos!$D$17,IF(Evalucion!BK25=Datos!$C$18,Datos!$D$18,IF(Evalucion!BK25=Datos!$C$19,Datos!$D$19,"=")))))</f>
        <v>5</v>
      </c>
      <c r="BK27">
        <f>IF(Evalucion!BL25=Datos!$C$15,Datos!$D$15,IF(Evalucion!BL25=Datos!$C$16,Datos!$D$16,IF(Evalucion!BL25=Datos!$C$17,Datos!$D$17,IF(Evalucion!BL25=Datos!$C$18,Datos!$D$18,IF(Evalucion!BL25=Datos!$C$19,Datos!$D$19,"=")))))</f>
        <v>5</v>
      </c>
      <c r="BL27">
        <f>IF(Evalucion!BM25=Datos!$C$15,Datos!$D$15,IF(Evalucion!BM25=Datos!$C$16,Datos!$D$16,IF(Evalucion!BM25=Datos!$C$17,Datos!$D$17,IF(Evalucion!BM25=Datos!$C$18,Datos!$D$18,IF(Evalucion!BM25=Datos!$C$19,Datos!$D$19,"=")))))</f>
        <v>5</v>
      </c>
      <c r="BM27">
        <f>IF(Evalucion!BN25=Datos!$C$15,Datos!$D$15,IF(Evalucion!BN25=Datos!$C$16,Datos!$D$16,IF(Evalucion!BN25=Datos!$C$17,Datos!$D$17,IF(Evalucion!BN25=Datos!$C$18,Datos!$D$18,IF(Evalucion!BN25=Datos!$C$19,Datos!$D$19,"=")))))</f>
        <v>5</v>
      </c>
      <c r="BN27">
        <f>IF(Evalucion!BO25=Datos!$C$15,Datos!$D$15,IF(Evalucion!BO25=Datos!$C$16,Datos!$D$16,IF(Evalucion!BO25=Datos!$C$17,Datos!$D$17,IF(Evalucion!BO25=Datos!$C$18,Datos!$D$18,IF(Evalucion!BO25=Datos!$C$19,Datos!$D$19,"=")))))</f>
        <v>5</v>
      </c>
      <c r="BO27">
        <f>IF(Evalucion!BP25=Datos!$C$15,Datos!$D$15,IF(Evalucion!BP25=Datos!$C$16,Datos!$D$16,IF(Evalucion!BP25=Datos!$C$17,Datos!$D$17,IF(Evalucion!BP25=Datos!$C$18,Datos!$D$18,IF(Evalucion!BP25=Datos!$C$19,Datos!$D$19,"=")))))</f>
        <v>5</v>
      </c>
      <c r="BP27">
        <f>IF(Evalucion!BQ25=Datos!$C$15,Datos!$D$15,IF(Evalucion!BQ25=Datos!$C$16,Datos!$D$16,IF(Evalucion!BQ25=Datos!$C$17,Datos!$D$17,IF(Evalucion!BQ25=Datos!$C$18,Datos!$D$18,IF(Evalucion!BQ25=Datos!$C$19,Datos!$D$19,"=")))))</f>
        <v>5</v>
      </c>
      <c r="BQ27">
        <f>IF(Evalucion!BR25=Datos!$C$15,Datos!$D$15,IF(Evalucion!BR25=Datos!$C$16,Datos!$D$16,IF(Evalucion!BR25=Datos!$C$17,Datos!$D$17,IF(Evalucion!BR25=Datos!$C$18,Datos!$D$18,IF(Evalucion!BR25=Datos!$C$19,Datos!$D$19,"=")))))</f>
        <v>3</v>
      </c>
      <c r="BR27">
        <f>IF(Evalucion!BS25=Datos!$C$15,Datos!$D$15,IF(Evalucion!BS25=Datos!$C$16,Datos!$D$16,IF(Evalucion!BS25=Datos!$C$17,Datos!$D$17,IF(Evalucion!BS25=Datos!$C$18,Datos!$D$18,IF(Evalucion!BS25=Datos!$C$19,Datos!$D$19,"=")))))</f>
        <v>5</v>
      </c>
      <c r="BS27">
        <f>IF(Evalucion!BT25=Datos!$C$15,Datos!$D$15,IF(Evalucion!BT25=Datos!$C$16,Datos!$D$16,IF(Evalucion!BT25=Datos!$C$17,Datos!$D$17,IF(Evalucion!BT25=Datos!$C$18,Datos!$D$18,IF(Evalucion!BT25=Datos!$C$19,Datos!$D$19,"=")))))</f>
        <v>1</v>
      </c>
      <c r="BT27">
        <f>IF(Evalucion!BU25=Datos!$C$15,Datos!$D$15,IF(Evalucion!BU25=Datos!$C$16,Datos!$D$16,IF(Evalucion!BU25=Datos!$C$17,Datos!$D$17,IF(Evalucion!BU25=Datos!$C$18,Datos!$D$18,IF(Evalucion!BU25=Datos!$C$19,Datos!$D$19,"=")))))</f>
        <v>5</v>
      </c>
      <c r="BU27">
        <f>IF(Evalucion!BV25=Datos!$C$15,Datos!$D$15,IF(Evalucion!BV25=Datos!$C$16,Datos!$D$16,IF(Evalucion!BV25=Datos!$C$17,Datos!$D$17,IF(Evalucion!BV25=Datos!$C$18,Datos!$D$18,IF(Evalucion!BV25=Datos!$C$19,Datos!$D$19,"=")))))</f>
        <v>3</v>
      </c>
      <c r="BV27">
        <f>IF(Evalucion!BW25=Datos!$C$15,Datos!$D$15,IF(Evalucion!BW25=Datos!$C$16,Datos!$D$16,IF(Evalucion!BW25=Datos!$C$17,Datos!$D$17,IF(Evalucion!BW25=Datos!$C$18,Datos!$D$18,IF(Evalucion!BW25=Datos!$C$19,Datos!$D$19,"=")))))</f>
        <v>5</v>
      </c>
      <c r="BW27">
        <f>IF(Evalucion!BX25=Datos!$C$15,Datos!$D$15,IF(Evalucion!BX25=Datos!$C$16,Datos!$D$16,IF(Evalucion!BX25=Datos!$C$17,Datos!$D$17,IF(Evalucion!BX25=Datos!$C$18,Datos!$D$18,IF(Evalucion!BX25=Datos!$C$19,Datos!$D$19,"=")))))</f>
        <v>5</v>
      </c>
      <c r="BX27">
        <f>IF(Evalucion!BY25=Datos!$C$15,Datos!$D$15,IF(Evalucion!BY25=Datos!$C$16,Datos!$D$16,IF(Evalucion!BY25=Datos!$C$17,Datos!$D$17,IF(Evalucion!BY25=Datos!$C$18,Datos!$D$18,IF(Evalucion!BY25=Datos!$C$19,Datos!$D$19,"=")))))</f>
        <v>5</v>
      </c>
      <c r="BY27">
        <f>IF(Evalucion!BZ25=Datos!$C$15,Datos!$D$15,IF(Evalucion!BZ25=Datos!$C$16,Datos!$D$16,IF(Evalucion!BZ25=Datos!$C$17,Datos!$D$17,IF(Evalucion!BZ25=Datos!$C$18,Datos!$D$18,IF(Evalucion!BZ25=Datos!$C$19,Datos!$D$19,"=")))))</f>
        <v>5</v>
      </c>
      <c r="BZ27">
        <f>IF(Evalucion!CA25=Datos!$C$15,Datos!$D$15,IF(Evalucion!CA25=Datos!$C$16,Datos!$D$16,IF(Evalucion!CA25=Datos!$C$17,Datos!$D$17,IF(Evalucion!CA25=Datos!$C$18,Datos!$D$18,IF(Evalucion!CA25=Datos!$C$19,Datos!$D$19,"=")))))</f>
        <v>5</v>
      </c>
      <c r="CA27">
        <f>IF(Evalucion!CB25=Datos!$C$15,Datos!$D$15,IF(Evalucion!CB25=Datos!$C$16,Datos!$D$16,IF(Evalucion!CB25=Datos!$C$17,Datos!$D$17,IF(Evalucion!CB25=Datos!$C$18,Datos!$D$18,IF(Evalucion!CB25=Datos!$C$19,Datos!$D$19,"=")))))</f>
        <v>5</v>
      </c>
      <c r="CB27">
        <f>IF(Evalucion!CC25=Datos!$C$15,Datos!$D$15,IF(Evalucion!CC25=Datos!$C$16,Datos!$D$16,IF(Evalucion!CC25=Datos!$C$17,Datos!$D$17,IF(Evalucion!CC25=Datos!$C$18,Datos!$D$18,IF(Evalucion!CC25=Datos!$C$19,Datos!$D$19,"=")))))</f>
        <v>5</v>
      </c>
      <c r="CC27">
        <f>IF(Evalucion!CD25=Datos!$C$15,Datos!$D$15,IF(Evalucion!CD25=Datos!$C$16,Datos!$D$16,IF(Evalucion!CD25=Datos!$C$17,Datos!$D$17,IF(Evalucion!CD25=Datos!$C$18,Datos!$D$18,IF(Evalucion!CD25=Datos!$C$19,Datos!$D$19,"=")))))</f>
        <v>5</v>
      </c>
      <c r="CD27">
        <f>IF(Evalucion!CE25=Datos!$C$15,Datos!$D$15,IF(Evalucion!CE25=Datos!$C$16,Datos!$D$16,IF(Evalucion!CE25=Datos!$C$17,Datos!$D$17,IF(Evalucion!CE25=Datos!$C$18,Datos!$D$18,IF(Evalucion!CE25=Datos!$C$19,Datos!$D$19,"=")))))</f>
        <v>5</v>
      </c>
      <c r="CE27">
        <f>IF(Evalucion!CF25=Datos!$C$15,Datos!$D$15,IF(Evalucion!CF25=Datos!$C$16,Datos!$D$16,IF(Evalucion!CF25=Datos!$C$17,Datos!$D$17,IF(Evalucion!CF25=Datos!$C$18,Datos!$D$18,IF(Evalucion!CF25=Datos!$C$19,Datos!$D$19,"=")))))</f>
        <v>3</v>
      </c>
      <c r="CF27">
        <f>IF(Evalucion!CG25=Datos!$C$15,Datos!$D$15,IF(Evalucion!CG25=Datos!$C$16,Datos!$D$16,IF(Evalucion!CG25=Datos!$C$17,Datos!$D$17,IF(Evalucion!CG25=Datos!$C$18,Datos!$D$18,IF(Evalucion!CG25=Datos!$C$19,Datos!$D$19,"=")))))</f>
        <v>5</v>
      </c>
      <c r="CG27">
        <f>IF(Evalucion!CH25=Datos!$C$15,Datos!$D$15,IF(Evalucion!CH25=Datos!$C$16,Datos!$D$16,IF(Evalucion!CH25=Datos!$C$17,Datos!$D$17,IF(Evalucion!CH25=Datos!$C$18,Datos!$D$18,IF(Evalucion!CH25=Datos!$C$19,Datos!$D$19,"=")))))</f>
        <v>1</v>
      </c>
      <c r="CH27">
        <f>IF(Evalucion!CI25=Datos!$C$15,Datos!$D$15,IF(Evalucion!CI25=Datos!$C$16,Datos!$D$16,IF(Evalucion!CI25=Datos!$C$17,Datos!$D$17,IF(Evalucion!CI25=Datos!$C$18,Datos!$D$18,IF(Evalucion!CI25=Datos!$C$19,Datos!$D$19,"=")))))</f>
        <v>5</v>
      </c>
      <c r="CI27">
        <f>IF(Evalucion!CJ25=Datos!$C$15,Datos!$D$15,IF(Evalucion!CJ25=Datos!$C$16,Datos!$D$16,IF(Evalucion!CJ25=Datos!$C$17,Datos!$D$17,IF(Evalucion!CJ25=Datos!$C$18,Datos!$D$18,IF(Evalucion!CJ25=Datos!$C$19,Datos!$D$19,"=")))))</f>
        <v>3</v>
      </c>
      <c r="CJ27">
        <f>IF(Evalucion!CK25=Datos!$C$15,Datos!$D$15,IF(Evalucion!CK25=Datos!$C$16,Datos!$D$16,IF(Evalucion!CK25=Datos!$C$17,Datos!$D$17,IF(Evalucion!CK25=Datos!$C$18,Datos!$D$18,IF(Evalucion!CK25=Datos!$C$19,Datos!$D$19,"=")))))</f>
        <v>5</v>
      </c>
      <c r="CK27">
        <f>IF(Evalucion!CL25=Datos!$C$15,Datos!$D$15,IF(Evalucion!CL25=Datos!$C$16,Datos!$D$16,IF(Evalucion!CL25=Datos!$C$17,Datos!$D$17,IF(Evalucion!CL25=Datos!$C$18,Datos!$D$18,IF(Evalucion!CL25=Datos!$C$19,Datos!$D$19,"=")))))</f>
        <v>5</v>
      </c>
      <c r="CL27">
        <f>IF(Evalucion!CM25=Datos!$C$15,Datos!$D$15,IF(Evalucion!CM25=Datos!$C$16,Datos!$D$16,IF(Evalucion!CM25=Datos!$C$17,Datos!$D$17,IF(Evalucion!CM25=Datos!$C$18,Datos!$D$18,IF(Evalucion!CM25=Datos!$C$19,Datos!$D$19,"=")))))</f>
        <v>5</v>
      </c>
      <c r="CM27">
        <f>IF(Evalucion!CN25=Datos!$C$15,Datos!$D$15,IF(Evalucion!CN25=Datos!$C$16,Datos!$D$16,IF(Evalucion!CN25=Datos!$C$17,Datos!$D$17,IF(Evalucion!CN25=Datos!$C$18,Datos!$D$18,IF(Evalucion!CN25=Datos!$C$19,Datos!$D$19,"=")))))</f>
        <v>5</v>
      </c>
      <c r="CN27">
        <f>IF(Evalucion!CO25=Datos!$C$15,Datos!$D$15,IF(Evalucion!CO25=Datos!$C$16,Datos!$D$16,IF(Evalucion!CO25=Datos!$C$17,Datos!$D$17,IF(Evalucion!CO25=Datos!$C$18,Datos!$D$18,IF(Evalucion!CO25=Datos!$C$19,Datos!$D$19,"=")))))</f>
        <v>5</v>
      </c>
      <c r="CO27">
        <f>IF(Evalucion!CP25=Datos!$C$15,Datos!$D$15,IF(Evalucion!CP25=Datos!$C$16,Datos!$D$16,IF(Evalucion!CP25=Datos!$C$17,Datos!$D$17,IF(Evalucion!CP25=Datos!$C$18,Datos!$D$18,IF(Evalucion!CP25=Datos!$C$19,Datos!$D$19,"=")))))</f>
        <v>5</v>
      </c>
      <c r="CP27">
        <f>IF(Evalucion!CQ25=Datos!$C$15,Datos!$D$15,IF(Evalucion!CQ25=Datos!$C$16,Datos!$D$16,IF(Evalucion!CQ25=Datos!$C$17,Datos!$D$17,IF(Evalucion!CQ25=Datos!$C$18,Datos!$D$18,IF(Evalucion!CQ25=Datos!$C$19,Datos!$D$19,"=")))))</f>
        <v>5</v>
      </c>
      <c r="CQ27">
        <f>IF(Evalucion!CR25=Datos!$C$15,Datos!$D$15,IF(Evalucion!CR25=Datos!$C$16,Datos!$D$16,IF(Evalucion!CR25=Datos!$C$17,Datos!$D$17,IF(Evalucion!CR25=Datos!$C$18,Datos!$D$18,IF(Evalucion!CR25=Datos!$C$19,Datos!$D$19,"=")))))</f>
        <v>3</v>
      </c>
      <c r="CR27">
        <f>IF(Evalucion!CS25=Datos!$C$15,Datos!$D$15,IF(Evalucion!CS25=Datos!$C$16,Datos!$D$16,IF(Evalucion!CS25=Datos!$C$17,Datos!$D$17,IF(Evalucion!CS25=Datos!$C$18,Datos!$D$18,IF(Evalucion!CS25=Datos!$C$19,Datos!$D$19,"=")))))</f>
        <v>5</v>
      </c>
      <c r="CS27">
        <f>IF(Evalucion!CT25=Datos!$C$15,Datos!$D$15,IF(Evalucion!CT25=Datos!$C$16,Datos!$D$16,IF(Evalucion!CT25=Datos!$C$17,Datos!$D$17,IF(Evalucion!CT25=Datos!$C$18,Datos!$D$18,IF(Evalucion!CT25=Datos!$C$19,Datos!$D$19,"=")))))</f>
        <v>3</v>
      </c>
      <c r="CT27">
        <f>IF(Evalucion!CU25=Datos!$C$15,Datos!$D$15,IF(Evalucion!CU25=Datos!$C$16,Datos!$D$16,IF(Evalucion!CU25=Datos!$C$17,Datos!$D$17,IF(Evalucion!CU25=Datos!$C$18,Datos!$D$18,IF(Evalucion!CU25=Datos!$C$19,Datos!$D$19,"=")))))</f>
        <v>5</v>
      </c>
      <c r="CU27">
        <f>IF(Evalucion!CV25=Datos!$C$15,Datos!$D$15,IF(Evalucion!CV25=Datos!$C$16,Datos!$D$16,IF(Evalucion!CV25=Datos!$C$17,Datos!$D$17,IF(Evalucion!CV25=Datos!$C$18,Datos!$D$18,IF(Evalucion!CV25=Datos!$C$19,Datos!$D$19,"=")))))</f>
        <v>3</v>
      </c>
      <c r="CV27">
        <f>IF(Evalucion!CW25=Datos!$C$15,Datos!$D$15,IF(Evalucion!CW25=Datos!$C$16,Datos!$D$16,IF(Evalucion!CW25=Datos!$C$17,Datos!$D$17,IF(Evalucion!CW25=Datos!$C$18,Datos!$D$18,IF(Evalucion!CW25=Datos!$C$19,Datos!$D$19,"=")))))</f>
        <v>5</v>
      </c>
      <c r="CW27">
        <f>IF(Evalucion!CX25=Datos!$C$15,Datos!$D$15,IF(Evalucion!CX25=Datos!$C$16,Datos!$D$16,IF(Evalucion!CX25=Datos!$C$17,Datos!$D$17,IF(Evalucion!CX25=Datos!$C$18,Datos!$D$18,IF(Evalucion!CX25=Datos!$C$19,Datos!$D$19,"=")))))</f>
        <v>3</v>
      </c>
      <c r="CX27">
        <f>IF(Evalucion!CY25=Datos!$C$15,Datos!$D$15,IF(Evalucion!CY25=Datos!$C$16,Datos!$D$16,IF(Evalucion!CY25=Datos!$C$17,Datos!$D$17,IF(Evalucion!CY25=Datos!$C$18,Datos!$D$18,IF(Evalucion!CY25=Datos!$C$19,Datos!$D$19,"=")))))</f>
        <v>5</v>
      </c>
      <c r="CY27">
        <f>IF(Evalucion!CZ25=Datos!$C$15,Datos!$D$15,IF(Evalucion!CZ25=Datos!$C$16,Datos!$D$16,IF(Evalucion!CZ25=Datos!$C$17,Datos!$D$17,IF(Evalucion!CZ25=Datos!$C$18,Datos!$D$18,IF(Evalucion!CZ25=Datos!$C$19,Datos!$D$19,"=")))))</f>
        <v>3</v>
      </c>
      <c r="CZ27">
        <f>IF(Evalucion!DA25=Datos!$C$15,Datos!$D$15,IF(Evalucion!DA25=Datos!$C$16,Datos!$D$16,IF(Evalucion!DA25=Datos!$C$17,Datos!$D$17,IF(Evalucion!DA25=Datos!$C$18,Datos!$D$18,IF(Evalucion!DA25=Datos!$C$19,Datos!$D$19,"=")))))</f>
        <v>5</v>
      </c>
      <c r="DA27">
        <f>IF(Evalucion!DB25=Datos!$C$15,Datos!$D$15,IF(Evalucion!DB25=Datos!$C$16,Datos!$D$16,IF(Evalucion!DB25=Datos!$C$17,Datos!$D$17,IF(Evalucion!DB25=Datos!$C$18,Datos!$D$18,IF(Evalucion!DB25=Datos!$C$19,Datos!$D$19,"=")))))</f>
        <v>3</v>
      </c>
      <c r="DB27">
        <f>IF(Evalucion!DC25=Datos!$C$15,Datos!$D$15,IF(Evalucion!DC25=Datos!$C$16,Datos!$D$16,IF(Evalucion!DC25=Datos!$C$17,Datos!$D$17,IF(Evalucion!DC25=Datos!$C$18,Datos!$D$18,IF(Evalucion!DC25=Datos!$C$19,Datos!$D$19,"=")))))</f>
        <v>5</v>
      </c>
      <c r="DC27">
        <f>IF(Evalucion!DD25=Datos!$C$15,Datos!$D$15,IF(Evalucion!DD25=Datos!$C$16,Datos!$D$16,IF(Evalucion!DD25=Datos!$C$17,Datos!$D$17,IF(Evalucion!DD25=Datos!$C$18,Datos!$D$18,IF(Evalucion!DD25=Datos!$C$19,Datos!$D$19,"=")))))</f>
        <v>5</v>
      </c>
      <c r="DD27">
        <f>IF(Evalucion!DE25=Datos!$C$15,Datos!$D$15,IF(Evalucion!DE25=Datos!$C$16,Datos!$D$16,IF(Evalucion!DE25=Datos!$C$17,Datos!$D$17,IF(Evalucion!DE25=Datos!$C$18,Datos!$D$18,IF(Evalucion!DE25=Datos!$C$19,Datos!$D$19,"=")))))</f>
        <v>1</v>
      </c>
      <c r="DE27">
        <f>IF(Evalucion!DF25=Datos!$C$15,Datos!$D$15,IF(Evalucion!DF25=Datos!$C$16,Datos!$D$16,IF(Evalucion!DF25=Datos!$C$17,Datos!$D$17,IF(Evalucion!DF25=Datos!$C$18,Datos!$D$18,IF(Evalucion!DF25=Datos!$C$19,Datos!$D$19,"=")))))</f>
        <v>1</v>
      </c>
      <c r="DF27">
        <f>IF(Evalucion!DG25=Datos!$C$15,Datos!$D$15,IF(Evalucion!DG25=Datos!$C$16,Datos!$D$16,IF(Evalucion!DG25=Datos!$C$17,Datos!$D$17,IF(Evalucion!DG25=Datos!$C$18,Datos!$D$18,IF(Evalucion!DG25=Datos!$C$19,Datos!$D$19,"=")))))</f>
        <v>5</v>
      </c>
      <c r="DG27">
        <f>IF(Evalucion!DH25=Datos!$C$15,Datos!$D$15,IF(Evalucion!DH25=Datos!$C$16,Datos!$D$16,IF(Evalucion!DH25=Datos!$C$17,Datos!$D$17,IF(Evalucion!DH25=Datos!$C$18,Datos!$D$18,IF(Evalucion!DH25=Datos!$C$19,Datos!$D$19,"=")))))</f>
        <v>5</v>
      </c>
      <c r="DH27">
        <f>IF(Evalucion!DI25=Datos!$C$15,Datos!$D$15,IF(Evalucion!DI25=Datos!$C$16,Datos!$D$16,IF(Evalucion!DI25=Datos!$C$17,Datos!$D$17,IF(Evalucion!DI25=Datos!$C$18,Datos!$D$18,IF(Evalucion!DI25=Datos!$C$19,Datos!$D$19,"=")))))</f>
        <v>1</v>
      </c>
      <c r="DI27">
        <f>IF(Evalucion!DJ25=Datos!$C$15,Datos!$D$15,IF(Evalucion!DJ25=Datos!$C$16,Datos!$D$16,IF(Evalucion!DJ25=Datos!$C$17,Datos!$D$17,IF(Evalucion!DJ25=Datos!$C$18,Datos!$D$18,IF(Evalucion!DJ25=Datos!$C$19,Datos!$D$19,"=")))))</f>
        <v>1</v>
      </c>
      <c r="DJ27">
        <f>IF(Evalucion!DK25=Datos!$C$15,Datos!$D$15,IF(Evalucion!DK25=Datos!$C$16,Datos!$D$16,IF(Evalucion!DK25=Datos!$C$17,Datos!$D$17,IF(Evalucion!DK25=Datos!$C$18,Datos!$D$18,IF(Evalucion!DK25=Datos!$C$19,Datos!$D$19,"=")))))</f>
        <v>1</v>
      </c>
      <c r="DK27">
        <f>IF(Evalucion!DL25=Datos!$C$15,Datos!$D$15,IF(Evalucion!DL25=Datos!$C$16,Datos!$D$16,IF(Evalucion!DL25=Datos!$C$17,Datos!$D$17,IF(Evalucion!DL25=Datos!$C$18,Datos!$D$18,IF(Evalucion!DL25=Datos!$C$19,Datos!$D$19,"=")))))</f>
        <v>1</v>
      </c>
      <c r="DL27">
        <f>IF(Evalucion!DM25=Datos!$C$15,Datos!$D$15,IF(Evalucion!DM25=Datos!$C$16,Datos!$D$16,IF(Evalucion!DM25=Datos!$C$17,Datos!$D$17,IF(Evalucion!DM25=Datos!$C$18,Datos!$D$18,IF(Evalucion!DM25=Datos!$C$19,Datos!$D$19,"=")))))</f>
        <v>1</v>
      </c>
      <c r="DM27">
        <f>IF(Evalucion!DN25=Datos!$C$15,Datos!$D$15,IF(Evalucion!DN25=Datos!$C$16,Datos!$D$16,IF(Evalucion!DN25=Datos!$C$17,Datos!$D$17,IF(Evalucion!DN25=Datos!$C$18,Datos!$D$18,IF(Evalucion!DN25=Datos!$C$19,Datos!$D$19,"=")))))</f>
        <v>1</v>
      </c>
      <c r="DN27">
        <f>IF(Evalucion!DO25=Datos!$C$15,Datos!$D$15,IF(Evalucion!DO25=Datos!$C$16,Datos!$D$16,IF(Evalucion!DO25=Datos!$C$17,Datos!$D$17,IF(Evalucion!DO25=Datos!$C$18,Datos!$D$18,IF(Evalucion!DO25=Datos!$C$19,Datos!$D$19,"=")))))</f>
        <v>5</v>
      </c>
      <c r="DO27">
        <f>IF(Evalucion!DP25=Datos!$C$15,Datos!$D$15,IF(Evalucion!DP25=Datos!$C$16,Datos!$D$16,IF(Evalucion!DP25=Datos!$C$17,Datos!$D$17,IF(Evalucion!DP25=Datos!$C$18,Datos!$D$18,IF(Evalucion!DP25=Datos!$C$19,Datos!$D$19,"=")))))</f>
        <v>5</v>
      </c>
      <c r="DP27">
        <f>IF(Evalucion!DQ25=Datos!$C$15,Datos!$D$15,IF(Evalucion!DQ25=Datos!$C$16,Datos!$D$16,IF(Evalucion!DQ25=Datos!$C$17,Datos!$D$17,IF(Evalucion!DQ25=Datos!$C$18,Datos!$D$18,IF(Evalucion!DQ25=Datos!$C$19,Datos!$D$19,"=")))))</f>
        <v>5</v>
      </c>
      <c r="DQ27">
        <f>IF(Evalucion!DR25=Datos!$C$15,Datos!$D$15,IF(Evalucion!DR25=Datos!$C$16,Datos!$D$16,IF(Evalucion!DR25=Datos!$C$17,Datos!$D$17,IF(Evalucion!DR25=Datos!$C$18,Datos!$D$18,IF(Evalucion!DR25=Datos!$C$19,Datos!$D$19,"=")))))</f>
        <v>3</v>
      </c>
      <c r="DR27">
        <f>IF(Evalucion!DS25=Datos!$C$15,Datos!$D$15,IF(Evalucion!DS25=Datos!$C$16,Datos!$D$16,IF(Evalucion!DS25=Datos!$C$17,Datos!$D$17,IF(Evalucion!DS25=Datos!$C$18,Datos!$D$18,IF(Evalucion!DS25=Datos!$C$19,Datos!$D$19,"=")))))</f>
        <v>5</v>
      </c>
      <c r="DS27">
        <f>IF(Evalucion!DT25=Datos!$C$15,Datos!$D$15,IF(Evalucion!DT25=Datos!$C$16,Datos!$D$16,IF(Evalucion!DT25=Datos!$C$17,Datos!$D$17,IF(Evalucion!DT25=Datos!$C$18,Datos!$D$18,IF(Evalucion!DT25=Datos!$C$19,Datos!$D$19,"=")))))</f>
        <v>3</v>
      </c>
      <c r="DT27">
        <f>IF(Evalucion!DU25=Datos!$C$15,Datos!$D$15,IF(Evalucion!DU25=Datos!$C$16,Datos!$D$16,IF(Evalucion!DU25=Datos!$C$17,Datos!$D$17,IF(Evalucion!DU25=Datos!$C$18,Datos!$D$18,IF(Evalucion!DU25=Datos!$C$19,Datos!$D$19,"=")))))</f>
        <v>5</v>
      </c>
      <c r="DU27">
        <f>IF(Evalucion!DV25=Datos!$C$15,Datos!$D$15,IF(Evalucion!DV25=Datos!$C$16,Datos!$D$16,IF(Evalucion!DV25=Datos!$C$17,Datos!$D$17,IF(Evalucion!DV25=Datos!$C$18,Datos!$D$18,IF(Evalucion!DV25=Datos!$C$19,Datos!$D$19,"=")))))</f>
        <v>5</v>
      </c>
      <c r="DV27">
        <f>IF(Evalucion!DW25=Datos!$C$15,Datos!$D$15,IF(Evalucion!DW25=Datos!$C$16,Datos!$D$16,IF(Evalucion!DW25=Datos!$C$17,Datos!$D$17,IF(Evalucion!DW25=Datos!$C$18,Datos!$D$18,IF(Evalucion!DW25=Datos!$C$19,Datos!$D$19,"=")))))</f>
        <v>5</v>
      </c>
      <c r="DW27">
        <f>IF(Evalucion!DX25=Datos!$C$15,Datos!$D$15,IF(Evalucion!DX25=Datos!$C$16,Datos!$D$16,IF(Evalucion!DX25=Datos!$C$17,Datos!$D$17,IF(Evalucion!DX25=Datos!$C$18,Datos!$D$18,IF(Evalucion!DX25=Datos!$C$19,Datos!$D$19,"=")))))</f>
        <v>5</v>
      </c>
      <c r="DX27">
        <f>IF(Evalucion!DY25=Datos!$C$15,Datos!$D$15,IF(Evalucion!DY25=Datos!$C$16,Datos!$D$16,IF(Evalucion!DY25=Datos!$C$17,Datos!$D$17,IF(Evalucion!DY25=Datos!$C$18,Datos!$D$18,IF(Evalucion!DY25=Datos!$C$19,Datos!$D$19,"=")))))</f>
        <v>5</v>
      </c>
      <c r="DY27">
        <f>IF(Evalucion!DZ25=Datos!$C$15,Datos!$D$15,IF(Evalucion!DZ25=Datos!$C$16,Datos!$D$16,IF(Evalucion!DZ25=Datos!$C$17,Datos!$D$17,IF(Evalucion!DZ25=Datos!$C$18,Datos!$D$18,IF(Evalucion!DZ25=Datos!$C$19,Datos!$D$19,"=")))))</f>
        <v>3</v>
      </c>
      <c r="DZ27">
        <f>IF(Evalucion!EA25=Datos!$C$15,Datos!$D$15,IF(Evalucion!EA25=Datos!$C$16,Datos!$D$16,IF(Evalucion!EA25=Datos!$C$17,Datos!$D$17,IF(Evalucion!EA25=Datos!$C$18,Datos!$D$18,IF(Evalucion!EA25=Datos!$C$19,Datos!$D$19,"=")))))</f>
        <v>5</v>
      </c>
      <c r="EA27">
        <f>IF(Evalucion!EB25=Datos!$C$15,Datos!$D$15,IF(Evalucion!EB25=Datos!$C$16,Datos!$D$16,IF(Evalucion!EB25=Datos!$C$17,Datos!$D$17,IF(Evalucion!EB25=Datos!$C$18,Datos!$D$18,IF(Evalucion!EB25=Datos!$C$19,Datos!$D$19,"=")))))</f>
        <v>5</v>
      </c>
      <c r="EB27">
        <f>IF(Evalucion!EC25=Datos!$C$15,Datos!$D$15,IF(Evalucion!EC25=Datos!$C$16,Datos!$D$16,IF(Evalucion!EC25=Datos!$C$17,Datos!$D$17,IF(Evalucion!EC25=Datos!$C$18,Datos!$D$18,IF(Evalucion!EC25=Datos!$C$19,Datos!$D$19,"=")))))</f>
        <v>5</v>
      </c>
      <c r="EC27">
        <f>IF(Evalucion!ED25=Datos!$C$15,Datos!$D$15,IF(Evalucion!ED25=Datos!$C$16,Datos!$D$16,IF(Evalucion!ED25=Datos!$C$17,Datos!$D$17,IF(Evalucion!ED25=Datos!$C$18,Datos!$D$18,IF(Evalucion!ED25=Datos!$C$19,Datos!$D$19,"=")))))</f>
        <v>3</v>
      </c>
      <c r="ED27">
        <f>IF(Evalucion!EE25=Datos!$C$15,Datos!$D$15,IF(Evalucion!EE25=Datos!$C$16,Datos!$D$16,IF(Evalucion!EE25=Datos!$C$17,Datos!$D$17,IF(Evalucion!EE25=Datos!$C$18,Datos!$D$18,IF(Evalucion!EE25=Datos!$C$19,Datos!$D$19,"=")))))</f>
        <v>5</v>
      </c>
      <c r="EE27">
        <f>IF(Evalucion!EF25=Datos!$C$15,Datos!$D$15,IF(Evalucion!EF25=Datos!$C$16,Datos!$D$16,IF(Evalucion!EF25=Datos!$C$17,Datos!$D$17,IF(Evalucion!EF25=Datos!$C$18,Datos!$D$18,IF(Evalucion!EF25=Datos!$C$19,Datos!$D$19,"=")))))</f>
        <v>5</v>
      </c>
      <c r="EF27">
        <f>IF(Evalucion!EG25=Datos!$C$15,Datos!$D$15,IF(Evalucion!EG25=Datos!$C$16,Datos!$D$16,IF(Evalucion!EG25=Datos!$C$17,Datos!$D$17,IF(Evalucion!EG25=Datos!$C$18,Datos!$D$18,IF(Evalucion!EG25=Datos!$C$19,Datos!$D$19,"=")))))</f>
        <v>5</v>
      </c>
      <c r="EG27">
        <f>IF(Evalucion!EH25=Datos!$C$15,Datos!$D$15,IF(Evalucion!EH25=Datos!$C$16,Datos!$D$16,IF(Evalucion!EH25=Datos!$C$17,Datos!$D$17,IF(Evalucion!EH25=Datos!$C$18,Datos!$D$18,IF(Evalucion!EH25=Datos!$C$19,Datos!$D$19,"=")))))</f>
        <v>5</v>
      </c>
      <c r="EH27">
        <f>IF(Evalucion!EI25=Datos!$C$15,Datos!$D$15,IF(Evalucion!EI25=Datos!$C$16,Datos!$D$16,IF(Evalucion!EI25=Datos!$C$17,Datos!$D$17,IF(Evalucion!EI25=Datos!$C$18,Datos!$D$18,IF(Evalucion!EI25=Datos!$C$19,Datos!$D$19,"=")))))</f>
        <v>5</v>
      </c>
      <c r="EI27">
        <f>IF(Evalucion!EJ25=Datos!$C$15,Datos!$D$15,IF(Evalucion!EJ25=Datos!$C$16,Datos!$D$16,IF(Evalucion!EJ25=Datos!$C$17,Datos!$D$17,IF(Evalucion!EJ25=Datos!$C$18,Datos!$D$18,IF(Evalucion!EJ25=Datos!$C$19,Datos!$D$19,"=")))))</f>
        <v>5</v>
      </c>
      <c r="EJ27">
        <f>IF(Evalucion!EK25=Datos!$C$15,Datos!$D$15,IF(Evalucion!EK25=Datos!$C$16,Datos!$D$16,IF(Evalucion!EK25=Datos!$C$17,Datos!$D$17,IF(Evalucion!EK25=Datos!$C$18,Datos!$D$18,IF(Evalucion!EK25=Datos!$C$19,Datos!$D$19,"=")))))</f>
        <v>5</v>
      </c>
      <c r="EK27">
        <f>IF(Evalucion!EL25=Datos!$C$15,Datos!$D$15,IF(Evalucion!EL25=Datos!$C$16,Datos!$D$16,IF(Evalucion!EL25=Datos!$C$17,Datos!$D$17,IF(Evalucion!EL25=Datos!$C$18,Datos!$D$18,IF(Evalucion!EL25=Datos!$C$19,Datos!$D$19,"=")))))</f>
        <v>5</v>
      </c>
      <c r="EL27">
        <f>IF(Evalucion!EM25=Datos!$C$15,Datos!$D$15,IF(Evalucion!EM25=Datos!$C$16,Datos!$D$16,IF(Evalucion!EM25=Datos!$C$17,Datos!$D$17,IF(Evalucion!EM25=Datos!$C$18,Datos!$D$18,IF(Evalucion!EM25=Datos!$C$19,Datos!$D$19,"=")))))</f>
        <v>5</v>
      </c>
      <c r="EM27">
        <f>IF(Evalucion!EN25=Datos!$C$15,Datos!$D$15,IF(Evalucion!EN25=Datos!$C$16,Datos!$D$16,IF(Evalucion!EN25=Datos!$C$17,Datos!$D$17,IF(Evalucion!EN25=Datos!$C$18,Datos!$D$18,IF(Evalucion!EN25=Datos!$C$19,Datos!$D$19,"=")))))</f>
        <v>5</v>
      </c>
      <c r="EN27">
        <f>IF(Evalucion!EO25=Datos!$C$15,Datos!$D$15,IF(Evalucion!EO25=Datos!$C$16,Datos!$D$16,IF(Evalucion!EO25=Datos!$C$17,Datos!$D$17,IF(Evalucion!EO25=Datos!$C$18,Datos!$D$18,IF(Evalucion!EO25=Datos!$C$19,Datos!$D$19,"=")))))</f>
        <v>5</v>
      </c>
      <c r="EO27">
        <f>IF(Evalucion!EP25=Datos!$C$15,Datos!$D$15,IF(Evalucion!EP25=Datos!$C$16,Datos!$D$16,IF(Evalucion!EP25=Datos!$C$17,Datos!$D$17,IF(Evalucion!EP25=Datos!$C$18,Datos!$D$18,IF(Evalucion!EP25=Datos!$C$19,Datos!$D$19,"=")))))</f>
        <v>5</v>
      </c>
      <c r="EP27">
        <f>IF(Evalucion!EQ25=Datos!$C$15,Datos!$D$15,IF(Evalucion!EQ25=Datos!$C$16,Datos!$D$16,IF(Evalucion!EQ25=Datos!$C$17,Datos!$D$17,IF(Evalucion!EQ25=Datos!$C$18,Datos!$D$18,IF(Evalucion!EQ25=Datos!$C$19,Datos!$D$19,"=")))))</f>
        <v>5</v>
      </c>
      <c r="EQ27">
        <f>IF(Evalucion!ER25=Datos!$C$15,Datos!$D$15,IF(Evalucion!ER25=Datos!$C$16,Datos!$D$16,IF(Evalucion!ER25=Datos!$C$17,Datos!$D$17,IF(Evalucion!ER25=Datos!$C$18,Datos!$D$18,IF(Evalucion!ER25=Datos!$C$19,Datos!$D$19,"=")))))</f>
        <v>5</v>
      </c>
      <c r="ER27">
        <f>IF(Evalucion!ES25=Datos!$C$15,Datos!$D$15,IF(Evalucion!ES25=Datos!$C$16,Datos!$D$16,IF(Evalucion!ES25=Datos!$C$17,Datos!$D$17,IF(Evalucion!ES25=Datos!$C$18,Datos!$D$18,IF(Evalucion!ES25=Datos!$C$19,Datos!$D$19,"=")))))</f>
        <v>5</v>
      </c>
      <c r="ES27">
        <f>IF(Evalucion!ET25=Datos!$C$15,Datos!$D$15,IF(Evalucion!ET25=Datos!$C$16,Datos!$D$16,IF(Evalucion!ET25=Datos!$C$17,Datos!$D$17,IF(Evalucion!ET25=Datos!$C$18,Datos!$D$18,IF(Evalucion!ET25=Datos!$C$19,Datos!$D$19,"=")))))</f>
        <v>5</v>
      </c>
      <c r="ET27">
        <f>IF(Evalucion!EU25=Datos!$C$15,Datos!$D$15,IF(Evalucion!EU25=Datos!$C$16,Datos!$D$16,IF(Evalucion!EU25=Datos!$C$17,Datos!$D$17,IF(Evalucion!EU25=Datos!$C$18,Datos!$D$18,IF(Evalucion!EU25=Datos!$C$19,Datos!$D$19,"=")))))</f>
        <v>5</v>
      </c>
      <c r="EU27">
        <f>IF(Evalucion!EV25=Datos!$C$15,Datos!$D$15,IF(Evalucion!EV25=Datos!$C$16,Datos!$D$16,IF(Evalucion!EV25=Datos!$C$17,Datos!$D$17,IF(Evalucion!EV25=Datos!$C$18,Datos!$D$18,IF(Evalucion!EV25=Datos!$C$19,Datos!$D$19,"=")))))</f>
        <v>3</v>
      </c>
      <c r="EV27">
        <f>IF(Evalucion!EW25=Datos!$C$15,Datos!$D$15,IF(Evalucion!EW25=Datos!$C$16,Datos!$D$16,IF(Evalucion!EW25=Datos!$C$17,Datos!$D$17,IF(Evalucion!EW25=Datos!$C$18,Datos!$D$18,IF(Evalucion!EW25=Datos!$C$19,Datos!$D$19,"=")))))</f>
        <v>5</v>
      </c>
      <c r="EW27">
        <f>IF(Evalucion!EX25=Datos!$C$15,Datos!$D$15,IF(Evalucion!EX25=Datos!$C$16,Datos!$D$16,IF(Evalucion!EX25=Datos!$C$17,Datos!$D$17,IF(Evalucion!EX25=Datos!$C$18,Datos!$D$18,IF(Evalucion!EX25=Datos!$C$19,Datos!$D$19,"=")))))</f>
        <v>5</v>
      </c>
      <c r="EX27">
        <f>IF(Evalucion!EY25=Datos!$C$15,Datos!$D$15,IF(Evalucion!EY25=Datos!$C$16,Datos!$D$16,IF(Evalucion!EY25=Datos!$C$17,Datos!$D$17,IF(Evalucion!EY25=Datos!$C$18,Datos!$D$18,IF(Evalucion!EY25=Datos!$C$19,Datos!$D$19,"=")))))</f>
        <v>5</v>
      </c>
      <c r="EY27">
        <f>IF(Evalucion!EZ25=Datos!$C$15,Datos!$D$15,IF(Evalucion!EZ25=Datos!$C$16,Datos!$D$16,IF(Evalucion!EZ25=Datos!$C$17,Datos!$D$17,IF(Evalucion!EZ25=Datos!$C$18,Datos!$D$18,IF(Evalucion!EZ25=Datos!$C$19,Datos!$D$19,"=")))))</f>
        <v>3</v>
      </c>
      <c r="FA27">
        <f t="shared" si="8"/>
        <v>331</v>
      </c>
      <c r="FB27">
        <f t="shared" si="8"/>
        <v>275</v>
      </c>
      <c r="FC27" s="3">
        <f t="shared" si="4"/>
        <v>0.73333333333333328</v>
      </c>
      <c r="FD27" t="str">
        <f t="shared" si="0"/>
        <v>Conf_CR</v>
      </c>
      <c r="FF27">
        <f t="shared" si="5"/>
        <v>606</v>
      </c>
      <c r="FG27">
        <f t="shared" si="6"/>
        <v>0</v>
      </c>
    </row>
    <row r="28" spans="1:163" x14ac:dyDescent="0.2">
      <c r="A28">
        <f t="shared" si="7"/>
        <v>25</v>
      </c>
      <c r="B28" t="s">
        <v>269</v>
      </c>
      <c r="C28" t="s">
        <v>197</v>
      </c>
      <c r="D28" s="6">
        <v>43989</v>
      </c>
      <c r="E28">
        <f>IF(Evalucion!F26=Datos!$C$15,Datos!$D$15,IF(Evalucion!F26=Datos!$C$16,Datos!$D$16,IF(Evalucion!F26=Datos!$C$17,Datos!$D$17,IF(Evalucion!F26=Datos!$C$18,Datos!$D$18,IF(Evalucion!F26=Datos!$C$19,Datos!$D$19,"=")))))</f>
        <v>5</v>
      </c>
      <c r="F28">
        <f>IF(Evalucion!G26=Datos!$C$15,Datos!$D$15,IF(Evalucion!G26=Datos!$C$16,Datos!$D$16,IF(Evalucion!G26=Datos!$C$17,Datos!$D$17,IF(Evalucion!G26=Datos!$C$18,Datos!$D$18,IF(Evalucion!G26=Datos!$C$19,Datos!$D$19,"=")))))</f>
        <v>5</v>
      </c>
      <c r="G28">
        <f>IF(Evalucion!H26=Datos!$C$15,Datos!$D$15,IF(Evalucion!H26=Datos!$C$16,Datos!$D$16,IF(Evalucion!H26=Datos!$C$17,Datos!$D$17,IF(Evalucion!H26=Datos!$C$18,Datos!$D$18,IF(Evalucion!H26=Datos!$C$19,Datos!$D$19,"=")))))</f>
        <v>5</v>
      </c>
      <c r="H28">
        <f>IF(Evalucion!I26=Datos!$C$15,Datos!$D$15,IF(Evalucion!I26=Datos!$C$16,Datos!$D$16,IF(Evalucion!I26=Datos!$C$17,Datos!$D$17,IF(Evalucion!I26=Datos!$C$18,Datos!$D$18,IF(Evalucion!I26=Datos!$C$19,Datos!$D$19,"=")))))</f>
        <v>1</v>
      </c>
      <c r="I28">
        <f>IF(Evalucion!J26=Datos!$C$15,Datos!$D$15,IF(Evalucion!J26=Datos!$C$16,Datos!$D$16,IF(Evalucion!J26=Datos!$C$17,Datos!$D$17,IF(Evalucion!J26=Datos!$C$18,Datos!$D$18,IF(Evalucion!J26=Datos!$C$19,Datos!$D$19,"=")))))</f>
        <v>1</v>
      </c>
      <c r="J28">
        <f>IF(Evalucion!K26=Datos!$C$15,Datos!$D$15,IF(Evalucion!K26=Datos!$C$16,Datos!$D$16,IF(Evalucion!K26=Datos!$C$17,Datos!$D$17,IF(Evalucion!K26=Datos!$C$18,Datos!$D$18,IF(Evalucion!K26=Datos!$C$19,Datos!$D$19,"=")))))</f>
        <v>1</v>
      </c>
      <c r="K28">
        <f>IF(Evalucion!L26=Datos!$C$15,Datos!$D$15,IF(Evalucion!L26=Datos!$C$16,Datos!$D$16,IF(Evalucion!L26=Datos!$C$17,Datos!$D$17,IF(Evalucion!L26=Datos!$C$18,Datos!$D$18,IF(Evalucion!L26=Datos!$C$19,Datos!$D$19,"=")))))</f>
        <v>5</v>
      </c>
      <c r="L28">
        <f>IF(Evalucion!M26=Datos!$C$15,Datos!$D$15,IF(Evalucion!M26=Datos!$C$16,Datos!$D$16,IF(Evalucion!M26=Datos!$C$17,Datos!$D$17,IF(Evalucion!M26=Datos!$C$18,Datos!$D$18,IF(Evalucion!M26=Datos!$C$19,Datos!$D$19,"=")))))</f>
        <v>5</v>
      </c>
      <c r="M28">
        <f>IF(Evalucion!N26=Datos!$C$15,Datos!$D$15,IF(Evalucion!N26=Datos!$C$16,Datos!$D$16,IF(Evalucion!N26=Datos!$C$17,Datos!$D$17,IF(Evalucion!N26=Datos!$C$18,Datos!$D$18,IF(Evalucion!N26=Datos!$C$19,Datos!$D$19,"=")))))</f>
        <v>5</v>
      </c>
      <c r="N28">
        <f>IF(Evalucion!O26=Datos!$C$15,Datos!$D$15,IF(Evalucion!O26=Datos!$C$16,Datos!$D$16,IF(Evalucion!O26=Datos!$C$17,Datos!$D$17,IF(Evalucion!O26=Datos!$C$18,Datos!$D$18,IF(Evalucion!O26=Datos!$C$19,Datos!$D$19,"=")))))</f>
        <v>5</v>
      </c>
      <c r="O28">
        <f>IF(Evalucion!P26=Datos!$C$15,Datos!$D$15,IF(Evalucion!P26=Datos!$C$16,Datos!$D$16,IF(Evalucion!P26=Datos!$C$17,Datos!$D$17,IF(Evalucion!P26=Datos!$C$18,Datos!$D$18,IF(Evalucion!P26=Datos!$C$19,Datos!$D$19,"=")))))</f>
        <v>5</v>
      </c>
      <c r="P28">
        <f>IF(Evalucion!Q26=Datos!$C$15,Datos!$D$15,IF(Evalucion!Q26=Datos!$C$16,Datos!$D$16,IF(Evalucion!Q26=Datos!$C$17,Datos!$D$17,IF(Evalucion!Q26=Datos!$C$18,Datos!$D$18,IF(Evalucion!Q26=Datos!$C$19,Datos!$D$19,"=")))))</f>
        <v>5</v>
      </c>
      <c r="Q28">
        <f>IF(Evalucion!R26=Datos!$C$15,Datos!$D$15,IF(Evalucion!R26=Datos!$C$16,Datos!$D$16,IF(Evalucion!R26=Datos!$C$17,Datos!$D$17,IF(Evalucion!R26=Datos!$C$18,Datos!$D$18,IF(Evalucion!R26=Datos!$C$19,Datos!$D$19,"=")))))</f>
        <v>5</v>
      </c>
      <c r="R28">
        <f>IF(Evalucion!S26=Datos!$C$15,Datos!$D$15,IF(Evalucion!S26=Datos!$C$16,Datos!$D$16,IF(Evalucion!S26=Datos!$C$17,Datos!$D$17,IF(Evalucion!S26=Datos!$C$18,Datos!$D$18,IF(Evalucion!S26=Datos!$C$19,Datos!$D$19,"=")))))</f>
        <v>5</v>
      </c>
      <c r="S28">
        <f>IF(Evalucion!T26=Datos!$C$15,Datos!$D$15,IF(Evalucion!T26=Datos!$C$16,Datos!$D$16,IF(Evalucion!T26=Datos!$C$17,Datos!$D$17,IF(Evalucion!T26=Datos!$C$18,Datos!$D$18,IF(Evalucion!T26=Datos!$C$19,Datos!$D$19,"=")))))</f>
        <v>5</v>
      </c>
      <c r="T28">
        <f>IF(Evalucion!U26=Datos!$C$15,Datos!$D$15,IF(Evalucion!U26=Datos!$C$16,Datos!$D$16,IF(Evalucion!U26=Datos!$C$17,Datos!$D$17,IF(Evalucion!U26=Datos!$C$18,Datos!$D$18,IF(Evalucion!U26=Datos!$C$19,Datos!$D$19,"=")))))</f>
        <v>5</v>
      </c>
      <c r="U28">
        <f>IF(Evalucion!V26=Datos!$C$15,Datos!$D$15,IF(Evalucion!V26=Datos!$C$16,Datos!$D$16,IF(Evalucion!V26=Datos!$C$17,Datos!$D$17,IF(Evalucion!V26=Datos!$C$18,Datos!$D$18,IF(Evalucion!V26=Datos!$C$19,Datos!$D$19,"=")))))</f>
        <v>5</v>
      </c>
      <c r="V28">
        <f>IF(Evalucion!W26=Datos!$C$15,Datos!$D$15,IF(Evalucion!W26=Datos!$C$16,Datos!$D$16,IF(Evalucion!W26=Datos!$C$17,Datos!$D$17,IF(Evalucion!W26=Datos!$C$18,Datos!$D$18,IF(Evalucion!W26=Datos!$C$19,Datos!$D$19,"=")))))</f>
        <v>5</v>
      </c>
      <c r="W28">
        <f>IF(Evalucion!X26=Datos!$C$15,Datos!$D$15,IF(Evalucion!X26=Datos!$C$16,Datos!$D$16,IF(Evalucion!X26=Datos!$C$17,Datos!$D$17,IF(Evalucion!X26=Datos!$C$18,Datos!$D$18,IF(Evalucion!X26=Datos!$C$19,Datos!$D$19,"=")))))</f>
        <v>5</v>
      </c>
      <c r="X28">
        <f>IF(Evalucion!Y26=Datos!$C$15,Datos!$D$15,IF(Evalucion!Y26=Datos!$C$16,Datos!$D$16,IF(Evalucion!Y26=Datos!$C$17,Datos!$D$17,IF(Evalucion!Y26=Datos!$C$18,Datos!$D$18,IF(Evalucion!Y26=Datos!$C$19,Datos!$D$19,"=")))))</f>
        <v>5</v>
      </c>
      <c r="Y28">
        <f>IF(Evalucion!Z26=Datos!$C$15,Datos!$D$15,IF(Evalucion!Z26=Datos!$C$16,Datos!$D$16,IF(Evalucion!Z26=Datos!$C$17,Datos!$D$17,IF(Evalucion!Z26=Datos!$C$18,Datos!$D$18,IF(Evalucion!Z26=Datos!$C$19,Datos!$D$19,"=")))))</f>
        <v>5</v>
      </c>
      <c r="Z28">
        <f>IF(Evalucion!AA26=Datos!$C$15,Datos!$D$15,IF(Evalucion!AA26=Datos!$C$16,Datos!$D$16,IF(Evalucion!AA26=Datos!$C$17,Datos!$D$17,IF(Evalucion!AA26=Datos!$C$18,Datos!$D$18,IF(Evalucion!AA26=Datos!$C$19,Datos!$D$19,"=")))))</f>
        <v>5</v>
      </c>
      <c r="AA28">
        <f>IF(Evalucion!AB26=Datos!$C$15,Datos!$D$15,IF(Evalucion!AB26=Datos!$C$16,Datos!$D$16,IF(Evalucion!AB26=Datos!$C$17,Datos!$D$17,IF(Evalucion!AB26=Datos!$C$18,Datos!$D$18,IF(Evalucion!AB26=Datos!$C$19,Datos!$D$19,"=")))))</f>
        <v>5</v>
      </c>
      <c r="AB28">
        <f>IF(Evalucion!AC26=Datos!$C$15,Datos!$D$15,IF(Evalucion!AC26=Datos!$C$16,Datos!$D$16,IF(Evalucion!AC26=Datos!$C$17,Datos!$D$17,IF(Evalucion!AC26=Datos!$C$18,Datos!$D$18,IF(Evalucion!AC26=Datos!$C$19,Datos!$D$19,"=")))))</f>
        <v>5</v>
      </c>
      <c r="AC28">
        <f>IF(Evalucion!AD26=Datos!$C$15,Datos!$D$15,IF(Evalucion!AD26=Datos!$C$16,Datos!$D$16,IF(Evalucion!AD26=Datos!$C$17,Datos!$D$17,IF(Evalucion!AD26=Datos!$C$18,Datos!$D$18,IF(Evalucion!AD26=Datos!$C$19,Datos!$D$19,"=")))))</f>
        <v>5</v>
      </c>
      <c r="AD28">
        <f>IF(Evalucion!AE26=Datos!$C$15,Datos!$D$15,IF(Evalucion!AE26=Datos!$C$16,Datos!$D$16,IF(Evalucion!AE26=Datos!$C$17,Datos!$D$17,IF(Evalucion!AE26=Datos!$C$18,Datos!$D$18,IF(Evalucion!AE26=Datos!$C$19,Datos!$D$19,"=")))))</f>
        <v>3</v>
      </c>
      <c r="AE28">
        <f>IF(Evalucion!AF26=Datos!$C$15,Datos!$D$15,IF(Evalucion!AF26=Datos!$C$16,Datos!$D$16,IF(Evalucion!AF26=Datos!$C$17,Datos!$D$17,IF(Evalucion!AF26=Datos!$C$18,Datos!$D$18,IF(Evalucion!AF26=Datos!$C$19,Datos!$D$19,"=")))))</f>
        <v>5</v>
      </c>
      <c r="AF28">
        <f>IF(Evalucion!AG26=Datos!$C$15,Datos!$D$15,IF(Evalucion!AG26=Datos!$C$16,Datos!$D$16,IF(Evalucion!AG26=Datos!$C$17,Datos!$D$17,IF(Evalucion!AG26=Datos!$C$18,Datos!$D$18,IF(Evalucion!AG26=Datos!$C$19,Datos!$D$19,"=")))))</f>
        <v>5</v>
      </c>
      <c r="AO28">
        <f>IF(Evalucion!AP26=Datos!$C$15,Datos!$D$15,IF(Evalucion!AP26=Datos!$C$16,Datos!$D$16,IF(Evalucion!AP26=Datos!$C$17,Datos!$D$17,IF(Evalucion!AP26=Datos!$C$18,Datos!$D$18,IF(Evalucion!AP26=Datos!$C$19,Datos!$D$19,"=")))))</f>
        <v>5</v>
      </c>
      <c r="AP28">
        <f>IF(Evalucion!AQ26=Datos!$C$15,Datos!$D$15,IF(Evalucion!AQ26=Datos!$C$16,Datos!$D$16,IF(Evalucion!AQ26=Datos!$C$17,Datos!$D$17,IF(Evalucion!AQ26=Datos!$C$18,Datos!$D$18,IF(Evalucion!AQ26=Datos!$C$19,Datos!$D$19,"=")))))</f>
        <v>3</v>
      </c>
      <c r="AQ28">
        <f>IF(Evalucion!AR26=Datos!$C$15,Datos!$D$15,IF(Evalucion!AR26=Datos!$C$16,Datos!$D$16,IF(Evalucion!AR26=Datos!$C$17,Datos!$D$17,IF(Evalucion!AR26=Datos!$C$18,Datos!$D$18,IF(Evalucion!AR26=Datos!$C$19,Datos!$D$19,"=")))))</f>
        <v>1</v>
      </c>
      <c r="AR28">
        <f>IF(Evalucion!AS26=Datos!$C$15,Datos!$D$15,IF(Evalucion!AS26=Datos!$C$16,Datos!$D$16,IF(Evalucion!AS26=Datos!$C$17,Datos!$D$17,IF(Evalucion!AS26=Datos!$C$18,Datos!$D$18,IF(Evalucion!AS26=Datos!$C$19,Datos!$D$19,"=")))))</f>
        <v>1</v>
      </c>
      <c r="AS28">
        <f>IF(Evalucion!AT26=Datos!$C$15,Datos!$D$15,IF(Evalucion!AT26=Datos!$C$16,Datos!$D$16,IF(Evalucion!AT26=Datos!$C$17,Datos!$D$17,IF(Evalucion!AT26=Datos!$C$18,Datos!$D$18,IF(Evalucion!AT26=Datos!$C$19,Datos!$D$19,"=")))))</f>
        <v>5</v>
      </c>
      <c r="AT28">
        <f>IF(Evalucion!AU26=Datos!$C$15,Datos!$D$15,IF(Evalucion!AU26=Datos!$C$16,Datos!$D$16,IF(Evalucion!AU26=Datos!$C$17,Datos!$D$17,IF(Evalucion!AU26=Datos!$C$18,Datos!$D$18,IF(Evalucion!AU26=Datos!$C$19,Datos!$D$19,"=")))))</f>
        <v>5</v>
      </c>
      <c r="AV28">
        <f>IF(Evalucion!AW26=Datos!$C$15,Datos!$D$15,IF(Evalucion!AW26=Datos!$C$16,Datos!$D$16,IF(Evalucion!AW26=Datos!$C$17,Datos!$D$17,IF(Evalucion!AW26=Datos!$C$18,Datos!$D$18,IF(Evalucion!AW26=Datos!$C$19,Datos!$D$19,"=")))))</f>
        <v>5</v>
      </c>
      <c r="AW28">
        <f>IF(Evalucion!AX26=Datos!$C$15,Datos!$D$15,IF(Evalucion!AX26=Datos!$C$16,Datos!$D$16,IF(Evalucion!AX26=Datos!$C$17,Datos!$D$17,IF(Evalucion!AX26=Datos!$C$18,Datos!$D$18,IF(Evalucion!AX26=Datos!$C$19,Datos!$D$19,"=")))))</f>
        <v>5</v>
      </c>
      <c r="AX28">
        <f>IF(Evalucion!AY26=Datos!$C$15,Datos!$D$15,IF(Evalucion!AY26=Datos!$C$16,Datos!$D$16,IF(Evalucion!AY26=Datos!$C$17,Datos!$D$17,IF(Evalucion!AY26=Datos!$C$18,Datos!$D$18,IF(Evalucion!AY26=Datos!$C$19,Datos!$D$19,"=")))))</f>
        <v>5</v>
      </c>
      <c r="AY28">
        <f>IF(Evalucion!AZ26=Datos!$C$15,Datos!$D$15,IF(Evalucion!AZ26=Datos!$C$16,Datos!$D$16,IF(Evalucion!AZ26=Datos!$C$17,Datos!$D$17,IF(Evalucion!AZ26=Datos!$C$18,Datos!$D$18,IF(Evalucion!AZ26=Datos!$C$19,Datos!$D$19,"=")))))</f>
        <v>5</v>
      </c>
      <c r="AZ28">
        <f>IF(Evalucion!BA26=Datos!$C$15,Datos!$D$15,IF(Evalucion!BA26=Datos!$C$16,Datos!$D$16,IF(Evalucion!BA26=Datos!$C$17,Datos!$D$17,IF(Evalucion!BA26=Datos!$C$18,Datos!$D$18,IF(Evalucion!BA26=Datos!$C$19,Datos!$D$19,"=")))))</f>
        <v>5</v>
      </c>
      <c r="BA28">
        <f>IF(Evalucion!BB26=Datos!$C$15,Datos!$D$15,IF(Evalucion!BB26=Datos!$C$16,Datos!$D$16,IF(Evalucion!BB26=Datos!$C$17,Datos!$D$17,IF(Evalucion!BB26=Datos!$C$18,Datos!$D$18,IF(Evalucion!BB26=Datos!$C$19,Datos!$D$19,"=")))))</f>
        <v>5</v>
      </c>
      <c r="BB28">
        <f>IF(Evalucion!BC26=Datos!$C$15,Datos!$D$15,IF(Evalucion!BC26=Datos!$C$16,Datos!$D$16,IF(Evalucion!BC26=Datos!$C$17,Datos!$D$17,IF(Evalucion!BC26=Datos!$C$18,Datos!$D$18,IF(Evalucion!BC26=Datos!$C$19,Datos!$D$19,"=")))))</f>
        <v>5</v>
      </c>
      <c r="BC28">
        <f>IF(Evalucion!BD26=Datos!$C$15,Datos!$D$15,IF(Evalucion!BD26=Datos!$C$16,Datos!$D$16,IF(Evalucion!BD26=Datos!$C$17,Datos!$D$17,IF(Evalucion!BD26=Datos!$C$18,Datos!$D$18,IF(Evalucion!BD26=Datos!$C$19,Datos!$D$19,"=")))))</f>
        <v>1</v>
      </c>
      <c r="BD28">
        <f>IF(Evalucion!BE26=Datos!$C$15,Datos!$D$15,IF(Evalucion!BE26=Datos!$C$16,Datos!$D$16,IF(Evalucion!BE26=Datos!$C$17,Datos!$D$17,IF(Evalucion!BE26=Datos!$C$18,Datos!$D$18,IF(Evalucion!BE26=Datos!$C$19,Datos!$D$19,"=")))))</f>
        <v>5</v>
      </c>
      <c r="BE28">
        <f>IF(Evalucion!BF26=Datos!$C$15,Datos!$D$15,IF(Evalucion!BF26=Datos!$C$16,Datos!$D$16,IF(Evalucion!BF26=Datos!$C$17,Datos!$D$17,IF(Evalucion!BF26=Datos!$C$18,Datos!$D$18,IF(Evalucion!BF26=Datos!$C$19,Datos!$D$19,"=")))))</f>
        <v>1</v>
      </c>
      <c r="BF28">
        <f>IF(Evalucion!BG26=Datos!$C$15,Datos!$D$15,IF(Evalucion!BG26=Datos!$C$16,Datos!$D$16,IF(Evalucion!BG26=Datos!$C$17,Datos!$D$17,IF(Evalucion!BG26=Datos!$C$18,Datos!$D$18,IF(Evalucion!BG26=Datos!$C$19,Datos!$D$19,"=")))))</f>
        <v>5</v>
      </c>
      <c r="BG28">
        <f>IF(Evalucion!BH26=Datos!$C$15,Datos!$D$15,IF(Evalucion!BH26=Datos!$C$16,Datos!$D$16,IF(Evalucion!BH26=Datos!$C$17,Datos!$D$17,IF(Evalucion!BH26=Datos!$C$18,Datos!$D$18,IF(Evalucion!BH26=Datos!$C$19,Datos!$D$19,"=")))))</f>
        <v>5</v>
      </c>
      <c r="BH28">
        <f>IF(Evalucion!BI26=Datos!$C$15,Datos!$D$15,IF(Evalucion!BI26=Datos!$C$16,Datos!$D$16,IF(Evalucion!BI26=Datos!$C$17,Datos!$D$17,IF(Evalucion!BI26=Datos!$C$18,Datos!$D$18,IF(Evalucion!BI26=Datos!$C$19,Datos!$D$19,"=")))))</f>
        <v>5</v>
      </c>
      <c r="BI28">
        <f>IF(Evalucion!BJ26=Datos!$C$15,Datos!$D$15,IF(Evalucion!BJ26=Datos!$C$16,Datos!$D$16,IF(Evalucion!BJ26=Datos!$C$17,Datos!$D$17,IF(Evalucion!BJ26=Datos!$C$18,Datos!$D$18,IF(Evalucion!BJ26=Datos!$C$19,Datos!$D$19,"=")))))</f>
        <v>5</v>
      </c>
      <c r="BJ28">
        <f>IF(Evalucion!BK26=Datos!$C$15,Datos!$D$15,IF(Evalucion!BK26=Datos!$C$16,Datos!$D$16,IF(Evalucion!BK26=Datos!$C$17,Datos!$D$17,IF(Evalucion!BK26=Datos!$C$18,Datos!$D$18,IF(Evalucion!BK26=Datos!$C$19,Datos!$D$19,"=")))))</f>
        <v>5</v>
      </c>
      <c r="BK28">
        <f>IF(Evalucion!BL26=Datos!$C$15,Datos!$D$15,IF(Evalucion!BL26=Datos!$C$16,Datos!$D$16,IF(Evalucion!BL26=Datos!$C$17,Datos!$D$17,IF(Evalucion!BL26=Datos!$C$18,Datos!$D$18,IF(Evalucion!BL26=Datos!$C$19,Datos!$D$19,"=")))))</f>
        <v>5</v>
      </c>
      <c r="BL28">
        <f>IF(Evalucion!BM26=Datos!$C$15,Datos!$D$15,IF(Evalucion!BM26=Datos!$C$16,Datos!$D$16,IF(Evalucion!BM26=Datos!$C$17,Datos!$D$17,IF(Evalucion!BM26=Datos!$C$18,Datos!$D$18,IF(Evalucion!BM26=Datos!$C$19,Datos!$D$19,"=")))))</f>
        <v>5</v>
      </c>
      <c r="BM28">
        <f>IF(Evalucion!BN26=Datos!$C$15,Datos!$D$15,IF(Evalucion!BN26=Datos!$C$16,Datos!$D$16,IF(Evalucion!BN26=Datos!$C$17,Datos!$D$17,IF(Evalucion!BN26=Datos!$C$18,Datos!$D$18,IF(Evalucion!BN26=Datos!$C$19,Datos!$D$19,"=")))))</f>
        <v>5</v>
      </c>
      <c r="BN28">
        <f>IF(Evalucion!BO26=Datos!$C$15,Datos!$D$15,IF(Evalucion!BO26=Datos!$C$16,Datos!$D$16,IF(Evalucion!BO26=Datos!$C$17,Datos!$D$17,IF(Evalucion!BO26=Datos!$C$18,Datos!$D$18,IF(Evalucion!BO26=Datos!$C$19,Datos!$D$19,"=")))))</f>
        <v>5</v>
      </c>
      <c r="BO28">
        <f>IF(Evalucion!BP26=Datos!$C$15,Datos!$D$15,IF(Evalucion!BP26=Datos!$C$16,Datos!$D$16,IF(Evalucion!BP26=Datos!$C$17,Datos!$D$17,IF(Evalucion!BP26=Datos!$C$18,Datos!$D$18,IF(Evalucion!BP26=Datos!$C$19,Datos!$D$19,"=")))))</f>
        <v>5</v>
      </c>
      <c r="BP28">
        <f>IF(Evalucion!BQ26=Datos!$C$15,Datos!$D$15,IF(Evalucion!BQ26=Datos!$C$16,Datos!$D$16,IF(Evalucion!BQ26=Datos!$C$17,Datos!$D$17,IF(Evalucion!BQ26=Datos!$C$18,Datos!$D$18,IF(Evalucion!BQ26=Datos!$C$19,Datos!$D$19,"=")))))</f>
        <v>5</v>
      </c>
      <c r="BQ28">
        <f>IF(Evalucion!BR26=Datos!$C$15,Datos!$D$15,IF(Evalucion!BR26=Datos!$C$16,Datos!$D$16,IF(Evalucion!BR26=Datos!$C$17,Datos!$D$17,IF(Evalucion!BR26=Datos!$C$18,Datos!$D$18,IF(Evalucion!BR26=Datos!$C$19,Datos!$D$19,"=")))))</f>
        <v>3</v>
      </c>
      <c r="BR28">
        <f>IF(Evalucion!BS26=Datos!$C$15,Datos!$D$15,IF(Evalucion!BS26=Datos!$C$16,Datos!$D$16,IF(Evalucion!BS26=Datos!$C$17,Datos!$D$17,IF(Evalucion!BS26=Datos!$C$18,Datos!$D$18,IF(Evalucion!BS26=Datos!$C$19,Datos!$D$19,"=")))))</f>
        <v>5</v>
      </c>
      <c r="BS28">
        <f>IF(Evalucion!BT26=Datos!$C$15,Datos!$D$15,IF(Evalucion!BT26=Datos!$C$16,Datos!$D$16,IF(Evalucion!BT26=Datos!$C$17,Datos!$D$17,IF(Evalucion!BT26=Datos!$C$18,Datos!$D$18,IF(Evalucion!BT26=Datos!$C$19,Datos!$D$19,"=")))))</f>
        <v>1</v>
      </c>
      <c r="BT28">
        <f>IF(Evalucion!BU26=Datos!$C$15,Datos!$D$15,IF(Evalucion!BU26=Datos!$C$16,Datos!$D$16,IF(Evalucion!BU26=Datos!$C$17,Datos!$D$17,IF(Evalucion!BU26=Datos!$C$18,Datos!$D$18,IF(Evalucion!BU26=Datos!$C$19,Datos!$D$19,"=")))))</f>
        <v>5</v>
      </c>
      <c r="BU28">
        <f>IF(Evalucion!BV26=Datos!$C$15,Datos!$D$15,IF(Evalucion!BV26=Datos!$C$16,Datos!$D$16,IF(Evalucion!BV26=Datos!$C$17,Datos!$D$17,IF(Evalucion!BV26=Datos!$C$18,Datos!$D$18,IF(Evalucion!BV26=Datos!$C$19,Datos!$D$19,"=")))))</f>
        <v>3</v>
      </c>
      <c r="BV28">
        <f>IF(Evalucion!BW26=Datos!$C$15,Datos!$D$15,IF(Evalucion!BW26=Datos!$C$16,Datos!$D$16,IF(Evalucion!BW26=Datos!$C$17,Datos!$D$17,IF(Evalucion!BW26=Datos!$C$18,Datos!$D$18,IF(Evalucion!BW26=Datos!$C$19,Datos!$D$19,"=")))))</f>
        <v>5</v>
      </c>
      <c r="BW28">
        <f>IF(Evalucion!BX26=Datos!$C$15,Datos!$D$15,IF(Evalucion!BX26=Datos!$C$16,Datos!$D$16,IF(Evalucion!BX26=Datos!$C$17,Datos!$D$17,IF(Evalucion!BX26=Datos!$C$18,Datos!$D$18,IF(Evalucion!BX26=Datos!$C$19,Datos!$D$19,"=")))))</f>
        <v>5</v>
      </c>
      <c r="BX28">
        <f>IF(Evalucion!BY26=Datos!$C$15,Datos!$D$15,IF(Evalucion!BY26=Datos!$C$16,Datos!$D$16,IF(Evalucion!BY26=Datos!$C$17,Datos!$D$17,IF(Evalucion!BY26=Datos!$C$18,Datos!$D$18,IF(Evalucion!BY26=Datos!$C$19,Datos!$D$19,"=")))))</f>
        <v>5</v>
      </c>
      <c r="BY28">
        <f>IF(Evalucion!BZ26=Datos!$C$15,Datos!$D$15,IF(Evalucion!BZ26=Datos!$C$16,Datos!$D$16,IF(Evalucion!BZ26=Datos!$C$17,Datos!$D$17,IF(Evalucion!BZ26=Datos!$C$18,Datos!$D$18,IF(Evalucion!BZ26=Datos!$C$19,Datos!$D$19,"=")))))</f>
        <v>5</v>
      </c>
      <c r="BZ28">
        <f>IF(Evalucion!CA26=Datos!$C$15,Datos!$D$15,IF(Evalucion!CA26=Datos!$C$16,Datos!$D$16,IF(Evalucion!CA26=Datos!$C$17,Datos!$D$17,IF(Evalucion!CA26=Datos!$C$18,Datos!$D$18,IF(Evalucion!CA26=Datos!$C$19,Datos!$D$19,"=")))))</f>
        <v>5</v>
      </c>
      <c r="CA28">
        <f>IF(Evalucion!CB26=Datos!$C$15,Datos!$D$15,IF(Evalucion!CB26=Datos!$C$16,Datos!$D$16,IF(Evalucion!CB26=Datos!$C$17,Datos!$D$17,IF(Evalucion!CB26=Datos!$C$18,Datos!$D$18,IF(Evalucion!CB26=Datos!$C$19,Datos!$D$19,"=")))))</f>
        <v>5</v>
      </c>
      <c r="CB28">
        <f>IF(Evalucion!CC26=Datos!$C$15,Datos!$D$15,IF(Evalucion!CC26=Datos!$C$16,Datos!$D$16,IF(Evalucion!CC26=Datos!$C$17,Datos!$D$17,IF(Evalucion!CC26=Datos!$C$18,Datos!$D$18,IF(Evalucion!CC26=Datos!$C$19,Datos!$D$19,"=")))))</f>
        <v>5</v>
      </c>
      <c r="CC28">
        <f>IF(Evalucion!CD26=Datos!$C$15,Datos!$D$15,IF(Evalucion!CD26=Datos!$C$16,Datos!$D$16,IF(Evalucion!CD26=Datos!$C$17,Datos!$D$17,IF(Evalucion!CD26=Datos!$C$18,Datos!$D$18,IF(Evalucion!CD26=Datos!$C$19,Datos!$D$19,"=")))))</f>
        <v>5</v>
      </c>
      <c r="CD28">
        <f>IF(Evalucion!CE26=Datos!$C$15,Datos!$D$15,IF(Evalucion!CE26=Datos!$C$16,Datos!$D$16,IF(Evalucion!CE26=Datos!$C$17,Datos!$D$17,IF(Evalucion!CE26=Datos!$C$18,Datos!$D$18,IF(Evalucion!CE26=Datos!$C$19,Datos!$D$19,"=")))))</f>
        <v>5</v>
      </c>
      <c r="CE28">
        <f>IF(Evalucion!CF26=Datos!$C$15,Datos!$D$15,IF(Evalucion!CF26=Datos!$C$16,Datos!$D$16,IF(Evalucion!CF26=Datos!$C$17,Datos!$D$17,IF(Evalucion!CF26=Datos!$C$18,Datos!$D$18,IF(Evalucion!CF26=Datos!$C$19,Datos!$D$19,"=")))))</f>
        <v>3</v>
      </c>
      <c r="CF28">
        <f>IF(Evalucion!CG26=Datos!$C$15,Datos!$D$15,IF(Evalucion!CG26=Datos!$C$16,Datos!$D$16,IF(Evalucion!CG26=Datos!$C$17,Datos!$D$17,IF(Evalucion!CG26=Datos!$C$18,Datos!$D$18,IF(Evalucion!CG26=Datos!$C$19,Datos!$D$19,"=")))))</f>
        <v>5</v>
      </c>
      <c r="CG28">
        <f>IF(Evalucion!CH26=Datos!$C$15,Datos!$D$15,IF(Evalucion!CH26=Datos!$C$16,Datos!$D$16,IF(Evalucion!CH26=Datos!$C$17,Datos!$D$17,IF(Evalucion!CH26=Datos!$C$18,Datos!$D$18,IF(Evalucion!CH26=Datos!$C$19,Datos!$D$19,"=")))))</f>
        <v>1</v>
      </c>
      <c r="CH28">
        <f>IF(Evalucion!CI26=Datos!$C$15,Datos!$D$15,IF(Evalucion!CI26=Datos!$C$16,Datos!$D$16,IF(Evalucion!CI26=Datos!$C$17,Datos!$D$17,IF(Evalucion!CI26=Datos!$C$18,Datos!$D$18,IF(Evalucion!CI26=Datos!$C$19,Datos!$D$19,"=")))))</f>
        <v>5</v>
      </c>
      <c r="CI28">
        <f>IF(Evalucion!CJ26=Datos!$C$15,Datos!$D$15,IF(Evalucion!CJ26=Datos!$C$16,Datos!$D$16,IF(Evalucion!CJ26=Datos!$C$17,Datos!$D$17,IF(Evalucion!CJ26=Datos!$C$18,Datos!$D$18,IF(Evalucion!CJ26=Datos!$C$19,Datos!$D$19,"=")))))</f>
        <v>3</v>
      </c>
      <c r="CJ28">
        <f>IF(Evalucion!CK26=Datos!$C$15,Datos!$D$15,IF(Evalucion!CK26=Datos!$C$16,Datos!$D$16,IF(Evalucion!CK26=Datos!$C$17,Datos!$D$17,IF(Evalucion!CK26=Datos!$C$18,Datos!$D$18,IF(Evalucion!CK26=Datos!$C$19,Datos!$D$19,"=")))))</f>
        <v>5</v>
      </c>
      <c r="CK28">
        <f>IF(Evalucion!CL26=Datos!$C$15,Datos!$D$15,IF(Evalucion!CL26=Datos!$C$16,Datos!$D$16,IF(Evalucion!CL26=Datos!$C$17,Datos!$D$17,IF(Evalucion!CL26=Datos!$C$18,Datos!$D$18,IF(Evalucion!CL26=Datos!$C$19,Datos!$D$19,"=")))))</f>
        <v>5</v>
      </c>
      <c r="CL28">
        <f>IF(Evalucion!CM26=Datos!$C$15,Datos!$D$15,IF(Evalucion!CM26=Datos!$C$16,Datos!$D$16,IF(Evalucion!CM26=Datos!$C$17,Datos!$D$17,IF(Evalucion!CM26=Datos!$C$18,Datos!$D$18,IF(Evalucion!CM26=Datos!$C$19,Datos!$D$19,"=")))))</f>
        <v>5</v>
      </c>
      <c r="CM28">
        <f>IF(Evalucion!CN26=Datos!$C$15,Datos!$D$15,IF(Evalucion!CN26=Datos!$C$16,Datos!$D$16,IF(Evalucion!CN26=Datos!$C$17,Datos!$D$17,IF(Evalucion!CN26=Datos!$C$18,Datos!$D$18,IF(Evalucion!CN26=Datos!$C$19,Datos!$D$19,"=")))))</f>
        <v>5</v>
      </c>
      <c r="CN28">
        <f>IF(Evalucion!CO26=Datos!$C$15,Datos!$D$15,IF(Evalucion!CO26=Datos!$C$16,Datos!$D$16,IF(Evalucion!CO26=Datos!$C$17,Datos!$D$17,IF(Evalucion!CO26=Datos!$C$18,Datos!$D$18,IF(Evalucion!CO26=Datos!$C$19,Datos!$D$19,"=")))))</f>
        <v>5</v>
      </c>
      <c r="CO28">
        <f>IF(Evalucion!CP26=Datos!$C$15,Datos!$D$15,IF(Evalucion!CP26=Datos!$C$16,Datos!$D$16,IF(Evalucion!CP26=Datos!$C$17,Datos!$D$17,IF(Evalucion!CP26=Datos!$C$18,Datos!$D$18,IF(Evalucion!CP26=Datos!$C$19,Datos!$D$19,"=")))))</f>
        <v>5</v>
      </c>
      <c r="CP28">
        <f>IF(Evalucion!CQ26=Datos!$C$15,Datos!$D$15,IF(Evalucion!CQ26=Datos!$C$16,Datos!$D$16,IF(Evalucion!CQ26=Datos!$C$17,Datos!$D$17,IF(Evalucion!CQ26=Datos!$C$18,Datos!$D$18,IF(Evalucion!CQ26=Datos!$C$19,Datos!$D$19,"=")))))</f>
        <v>5</v>
      </c>
      <c r="CQ28">
        <f>IF(Evalucion!CR26=Datos!$C$15,Datos!$D$15,IF(Evalucion!CR26=Datos!$C$16,Datos!$D$16,IF(Evalucion!CR26=Datos!$C$17,Datos!$D$17,IF(Evalucion!CR26=Datos!$C$18,Datos!$D$18,IF(Evalucion!CR26=Datos!$C$19,Datos!$D$19,"=")))))</f>
        <v>3</v>
      </c>
      <c r="CR28">
        <f>IF(Evalucion!CS26=Datos!$C$15,Datos!$D$15,IF(Evalucion!CS26=Datos!$C$16,Datos!$D$16,IF(Evalucion!CS26=Datos!$C$17,Datos!$D$17,IF(Evalucion!CS26=Datos!$C$18,Datos!$D$18,IF(Evalucion!CS26=Datos!$C$19,Datos!$D$19,"=")))))</f>
        <v>5</v>
      </c>
      <c r="CS28">
        <f>IF(Evalucion!CT26=Datos!$C$15,Datos!$D$15,IF(Evalucion!CT26=Datos!$C$16,Datos!$D$16,IF(Evalucion!CT26=Datos!$C$17,Datos!$D$17,IF(Evalucion!CT26=Datos!$C$18,Datos!$D$18,IF(Evalucion!CT26=Datos!$C$19,Datos!$D$19,"=")))))</f>
        <v>3</v>
      </c>
      <c r="CT28">
        <f>IF(Evalucion!CU26=Datos!$C$15,Datos!$D$15,IF(Evalucion!CU26=Datos!$C$16,Datos!$D$16,IF(Evalucion!CU26=Datos!$C$17,Datos!$D$17,IF(Evalucion!CU26=Datos!$C$18,Datos!$D$18,IF(Evalucion!CU26=Datos!$C$19,Datos!$D$19,"=")))))</f>
        <v>5</v>
      </c>
      <c r="CU28">
        <f>IF(Evalucion!CV26=Datos!$C$15,Datos!$D$15,IF(Evalucion!CV26=Datos!$C$16,Datos!$D$16,IF(Evalucion!CV26=Datos!$C$17,Datos!$D$17,IF(Evalucion!CV26=Datos!$C$18,Datos!$D$18,IF(Evalucion!CV26=Datos!$C$19,Datos!$D$19,"=")))))</f>
        <v>3</v>
      </c>
      <c r="CV28">
        <f>IF(Evalucion!CW26=Datos!$C$15,Datos!$D$15,IF(Evalucion!CW26=Datos!$C$16,Datos!$D$16,IF(Evalucion!CW26=Datos!$C$17,Datos!$D$17,IF(Evalucion!CW26=Datos!$C$18,Datos!$D$18,IF(Evalucion!CW26=Datos!$C$19,Datos!$D$19,"=")))))</f>
        <v>5</v>
      </c>
      <c r="CW28">
        <f>IF(Evalucion!CX26=Datos!$C$15,Datos!$D$15,IF(Evalucion!CX26=Datos!$C$16,Datos!$D$16,IF(Evalucion!CX26=Datos!$C$17,Datos!$D$17,IF(Evalucion!CX26=Datos!$C$18,Datos!$D$18,IF(Evalucion!CX26=Datos!$C$19,Datos!$D$19,"=")))))</f>
        <v>3</v>
      </c>
      <c r="CX28">
        <f>IF(Evalucion!CY26=Datos!$C$15,Datos!$D$15,IF(Evalucion!CY26=Datos!$C$16,Datos!$D$16,IF(Evalucion!CY26=Datos!$C$17,Datos!$D$17,IF(Evalucion!CY26=Datos!$C$18,Datos!$D$18,IF(Evalucion!CY26=Datos!$C$19,Datos!$D$19,"=")))))</f>
        <v>5</v>
      </c>
      <c r="CY28">
        <f>IF(Evalucion!CZ26=Datos!$C$15,Datos!$D$15,IF(Evalucion!CZ26=Datos!$C$16,Datos!$D$16,IF(Evalucion!CZ26=Datos!$C$17,Datos!$D$17,IF(Evalucion!CZ26=Datos!$C$18,Datos!$D$18,IF(Evalucion!CZ26=Datos!$C$19,Datos!$D$19,"=")))))</f>
        <v>3</v>
      </c>
      <c r="CZ28">
        <f>IF(Evalucion!DA26=Datos!$C$15,Datos!$D$15,IF(Evalucion!DA26=Datos!$C$16,Datos!$D$16,IF(Evalucion!DA26=Datos!$C$17,Datos!$D$17,IF(Evalucion!DA26=Datos!$C$18,Datos!$D$18,IF(Evalucion!DA26=Datos!$C$19,Datos!$D$19,"=")))))</f>
        <v>5</v>
      </c>
      <c r="DA28">
        <f>IF(Evalucion!DB26=Datos!$C$15,Datos!$D$15,IF(Evalucion!DB26=Datos!$C$16,Datos!$D$16,IF(Evalucion!DB26=Datos!$C$17,Datos!$D$17,IF(Evalucion!DB26=Datos!$C$18,Datos!$D$18,IF(Evalucion!DB26=Datos!$C$19,Datos!$D$19,"=")))))</f>
        <v>3</v>
      </c>
      <c r="DB28">
        <f>IF(Evalucion!DC26=Datos!$C$15,Datos!$D$15,IF(Evalucion!DC26=Datos!$C$16,Datos!$D$16,IF(Evalucion!DC26=Datos!$C$17,Datos!$D$17,IF(Evalucion!DC26=Datos!$C$18,Datos!$D$18,IF(Evalucion!DC26=Datos!$C$19,Datos!$D$19,"=")))))</f>
        <v>5</v>
      </c>
      <c r="DC28">
        <f>IF(Evalucion!DD26=Datos!$C$15,Datos!$D$15,IF(Evalucion!DD26=Datos!$C$16,Datos!$D$16,IF(Evalucion!DD26=Datos!$C$17,Datos!$D$17,IF(Evalucion!DD26=Datos!$C$18,Datos!$D$18,IF(Evalucion!DD26=Datos!$C$19,Datos!$D$19,"=")))))</f>
        <v>5</v>
      </c>
      <c r="DD28">
        <f>IF(Evalucion!DE26=Datos!$C$15,Datos!$D$15,IF(Evalucion!DE26=Datos!$C$16,Datos!$D$16,IF(Evalucion!DE26=Datos!$C$17,Datos!$D$17,IF(Evalucion!DE26=Datos!$C$18,Datos!$D$18,IF(Evalucion!DE26=Datos!$C$19,Datos!$D$19,"=")))))</f>
        <v>1</v>
      </c>
      <c r="DE28">
        <f>IF(Evalucion!DF26=Datos!$C$15,Datos!$D$15,IF(Evalucion!DF26=Datos!$C$16,Datos!$D$16,IF(Evalucion!DF26=Datos!$C$17,Datos!$D$17,IF(Evalucion!DF26=Datos!$C$18,Datos!$D$18,IF(Evalucion!DF26=Datos!$C$19,Datos!$D$19,"=")))))</f>
        <v>1</v>
      </c>
      <c r="DF28">
        <f>IF(Evalucion!DG26=Datos!$C$15,Datos!$D$15,IF(Evalucion!DG26=Datos!$C$16,Datos!$D$16,IF(Evalucion!DG26=Datos!$C$17,Datos!$D$17,IF(Evalucion!DG26=Datos!$C$18,Datos!$D$18,IF(Evalucion!DG26=Datos!$C$19,Datos!$D$19,"=")))))</f>
        <v>5</v>
      </c>
      <c r="DG28">
        <f>IF(Evalucion!DH26=Datos!$C$15,Datos!$D$15,IF(Evalucion!DH26=Datos!$C$16,Datos!$D$16,IF(Evalucion!DH26=Datos!$C$17,Datos!$D$17,IF(Evalucion!DH26=Datos!$C$18,Datos!$D$18,IF(Evalucion!DH26=Datos!$C$19,Datos!$D$19,"=")))))</f>
        <v>5</v>
      </c>
      <c r="DH28">
        <f>IF(Evalucion!DI26=Datos!$C$15,Datos!$D$15,IF(Evalucion!DI26=Datos!$C$16,Datos!$D$16,IF(Evalucion!DI26=Datos!$C$17,Datos!$D$17,IF(Evalucion!DI26=Datos!$C$18,Datos!$D$18,IF(Evalucion!DI26=Datos!$C$19,Datos!$D$19,"=")))))</f>
        <v>1</v>
      </c>
      <c r="DI28">
        <f>IF(Evalucion!DJ26=Datos!$C$15,Datos!$D$15,IF(Evalucion!DJ26=Datos!$C$16,Datos!$D$16,IF(Evalucion!DJ26=Datos!$C$17,Datos!$D$17,IF(Evalucion!DJ26=Datos!$C$18,Datos!$D$18,IF(Evalucion!DJ26=Datos!$C$19,Datos!$D$19,"=")))))</f>
        <v>1</v>
      </c>
      <c r="DJ28">
        <f>IF(Evalucion!DK26=Datos!$C$15,Datos!$D$15,IF(Evalucion!DK26=Datos!$C$16,Datos!$D$16,IF(Evalucion!DK26=Datos!$C$17,Datos!$D$17,IF(Evalucion!DK26=Datos!$C$18,Datos!$D$18,IF(Evalucion!DK26=Datos!$C$19,Datos!$D$19,"=")))))</f>
        <v>1</v>
      </c>
      <c r="DK28">
        <f>IF(Evalucion!DL26=Datos!$C$15,Datos!$D$15,IF(Evalucion!DL26=Datos!$C$16,Datos!$D$16,IF(Evalucion!DL26=Datos!$C$17,Datos!$D$17,IF(Evalucion!DL26=Datos!$C$18,Datos!$D$18,IF(Evalucion!DL26=Datos!$C$19,Datos!$D$19,"=")))))</f>
        <v>1</v>
      </c>
      <c r="DL28">
        <f>IF(Evalucion!DM26=Datos!$C$15,Datos!$D$15,IF(Evalucion!DM26=Datos!$C$16,Datos!$D$16,IF(Evalucion!DM26=Datos!$C$17,Datos!$D$17,IF(Evalucion!DM26=Datos!$C$18,Datos!$D$18,IF(Evalucion!DM26=Datos!$C$19,Datos!$D$19,"=")))))</f>
        <v>1</v>
      </c>
      <c r="DM28">
        <f>IF(Evalucion!DN26=Datos!$C$15,Datos!$D$15,IF(Evalucion!DN26=Datos!$C$16,Datos!$D$16,IF(Evalucion!DN26=Datos!$C$17,Datos!$D$17,IF(Evalucion!DN26=Datos!$C$18,Datos!$D$18,IF(Evalucion!DN26=Datos!$C$19,Datos!$D$19,"=")))))</f>
        <v>1</v>
      </c>
      <c r="DN28">
        <f>IF(Evalucion!DO26=Datos!$C$15,Datos!$D$15,IF(Evalucion!DO26=Datos!$C$16,Datos!$D$16,IF(Evalucion!DO26=Datos!$C$17,Datos!$D$17,IF(Evalucion!DO26=Datos!$C$18,Datos!$D$18,IF(Evalucion!DO26=Datos!$C$19,Datos!$D$19,"=")))))</f>
        <v>5</v>
      </c>
      <c r="DO28">
        <f>IF(Evalucion!DP26=Datos!$C$15,Datos!$D$15,IF(Evalucion!DP26=Datos!$C$16,Datos!$D$16,IF(Evalucion!DP26=Datos!$C$17,Datos!$D$17,IF(Evalucion!DP26=Datos!$C$18,Datos!$D$18,IF(Evalucion!DP26=Datos!$C$19,Datos!$D$19,"=")))))</f>
        <v>5</v>
      </c>
      <c r="DP28">
        <f>IF(Evalucion!DQ26=Datos!$C$15,Datos!$D$15,IF(Evalucion!DQ26=Datos!$C$16,Datos!$D$16,IF(Evalucion!DQ26=Datos!$C$17,Datos!$D$17,IF(Evalucion!DQ26=Datos!$C$18,Datos!$D$18,IF(Evalucion!DQ26=Datos!$C$19,Datos!$D$19,"=")))))</f>
        <v>5</v>
      </c>
      <c r="DQ28">
        <f>IF(Evalucion!DR26=Datos!$C$15,Datos!$D$15,IF(Evalucion!DR26=Datos!$C$16,Datos!$D$16,IF(Evalucion!DR26=Datos!$C$17,Datos!$D$17,IF(Evalucion!DR26=Datos!$C$18,Datos!$D$18,IF(Evalucion!DR26=Datos!$C$19,Datos!$D$19,"=")))))</f>
        <v>3</v>
      </c>
      <c r="DR28">
        <f>IF(Evalucion!DS26=Datos!$C$15,Datos!$D$15,IF(Evalucion!DS26=Datos!$C$16,Datos!$D$16,IF(Evalucion!DS26=Datos!$C$17,Datos!$D$17,IF(Evalucion!DS26=Datos!$C$18,Datos!$D$18,IF(Evalucion!DS26=Datos!$C$19,Datos!$D$19,"=")))))</f>
        <v>5</v>
      </c>
      <c r="DS28">
        <f>IF(Evalucion!DT26=Datos!$C$15,Datos!$D$15,IF(Evalucion!DT26=Datos!$C$16,Datos!$D$16,IF(Evalucion!DT26=Datos!$C$17,Datos!$D$17,IF(Evalucion!DT26=Datos!$C$18,Datos!$D$18,IF(Evalucion!DT26=Datos!$C$19,Datos!$D$19,"=")))))</f>
        <v>3</v>
      </c>
      <c r="DT28">
        <f>IF(Evalucion!DU26=Datos!$C$15,Datos!$D$15,IF(Evalucion!DU26=Datos!$C$16,Datos!$D$16,IF(Evalucion!DU26=Datos!$C$17,Datos!$D$17,IF(Evalucion!DU26=Datos!$C$18,Datos!$D$18,IF(Evalucion!DU26=Datos!$C$19,Datos!$D$19,"=")))))</f>
        <v>5</v>
      </c>
      <c r="DU28">
        <f>IF(Evalucion!DV26=Datos!$C$15,Datos!$D$15,IF(Evalucion!DV26=Datos!$C$16,Datos!$D$16,IF(Evalucion!DV26=Datos!$C$17,Datos!$D$17,IF(Evalucion!DV26=Datos!$C$18,Datos!$D$18,IF(Evalucion!DV26=Datos!$C$19,Datos!$D$19,"=")))))</f>
        <v>5</v>
      </c>
      <c r="DV28">
        <f>IF(Evalucion!DW26=Datos!$C$15,Datos!$D$15,IF(Evalucion!DW26=Datos!$C$16,Datos!$D$16,IF(Evalucion!DW26=Datos!$C$17,Datos!$D$17,IF(Evalucion!DW26=Datos!$C$18,Datos!$D$18,IF(Evalucion!DW26=Datos!$C$19,Datos!$D$19,"=")))))</f>
        <v>5</v>
      </c>
      <c r="DW28">
        <f>IF(Evalucion!DX26=Datos!$C$15,Datos!$D$15,IF(Evalucion!DX26=Datos!$C$16,Datos!$D$16,IF(Evalucion!DX26=Datos!$C$17,Datos!$D$17,IF(Evalucion!DX26=Datos!$C$18,Datos!$D$18,IF(Evalucion!DX26=Datos!$C$19,Datos!$D$19,"=")))))</f>
        <v>5</v>
      </c>
      <c r="DX28">
        <f>IF(Evalucion!DY26=Datos!$C$15,Datos!$D$15,IF(Evalucion!DY26=Datos!$C$16,Datos!$D$16,IF(Evalucion!DY26=Datos!$C$17,Datos!$D$17,IF(Evalucion!DY26=Datos!$C$18,Datos!$D$18,IF(Evalucion!DY26=Datos!$C$19,Datos!$D$19,"=")))))</f>
        <v>5</v>
      </c>
      <c r="DY28">
        <f>IF(Evalucion!DZ26=Datos!$C$15,Datos!$D$15,IF(Evalucion!DZ26=Datos!$C$16,Datos!$D$16,IF(Evalucion!DZ26=Datos!$C$17,Datos!$D$17,IF(Evalucion!DZ26=Datos!$C$18,Datos!$D$18,IF(Evalucion!DZ26=Datos!$C$19,Datos!$D$19,"=")))))</f>
        <v>3</v>
      </c>
      <c r="DZ28">
        <f>IF(Evalucion!EA26=Datos!$C$15,Datos!$D$15,IF(Evalucion!EA26=Datos!$C$16,Datos!$D$16,IF(Evalucion!EA26=Datos!$C$17,Datos!$D$17,IF(Evalucion!EA26=Datos!$C$18,Datos!$D$18,IF(Evalucion!EA26=Datos!$C$19,Datos!$D$19,"=")))))</f>
        <v>5</v>
      </c>
      <c r="EA28">
        <f>IF(Evalucion!EB26=Datos!$C$15,Datos!$D$15,IF(Evalucion!EB26=Datos!$C$16,Datos!$D$16,IF(Evalucion!EB26=Datos!$C$17,Datos!$D$17,IF(Evalucion!EB26=Datos!$C$18,Datos!$D$18,IF(Evalucion!EB26=Datos!$C$19,Datos!$D$19,"=")))))</f>
        <v>5</v>
      </c>
      <c r="EB28">
        <f>IF(Evalucion!EC26=Datos!$C$15,Datos!$D$15,IF(Evalucion!EC26=Datos!$C$16,Datos!$D$16,IF(Evalucion!EC26=Datos!$C$17,Datos!$D$17,IF(Evalucion!EC26=Datos!$C$18,Datos!$D$18,IF(Evalucion!EC26=Datos!$C$19,Datos!$D$19,"=")))))</f>
        <v>5</v>
      </c>
      <c r="EC28">
        <f>IF(Evalucion!ED26=Datos!$C$15,Datos!$D$15,IF(Evalucion!ED26=Datos!$C$16,Datos!$D$16,IF(Evalucion!ED26=Datos!$C$17,Datos!$D$17,IF(Evalucion!ED26=Datos!$C$18,Datos!$D$18,IF(Evalucion!ED26=Datos!$C$19,Datos!$D$19,"=")))))</f>
        <v>3</v>
      </c>
      <c r="ED28">
        <f>IF(Evalucion!EE26=Datos!$C$15,Datos!$D$15,IF(Evalucion!EE26=Datos!$C$16,Datos!$D$16,IF(Evalucion!EE26=Datos!$C$17,Datos!$D$17,IF(Evalucion!EE26=Datos!$C$18,Datos!$D$18,IF(Evalucion!EE26=Datos!$C$19,Datos!$D$19,"=")))))</f>
        <v>5</v>
      </c>
      <c r="EE28">
        <f>IF(Evalucion!EF26=Datos!$C$15,Datos!$D$15,IF(Evalucion!EF26=Datos!$C$16,Datos!$D$16,IF(Evalucion!EF26=Datos!$C$17,Datos!$D$17,IF(Evalucion!EF26=Datos!$C$18,Datos!$D$18,IF(Evalucion!EF26=Datos!$C$19,Datos!$D$19,"=")))))</f>
        <v>5</v>
      </c>
      <c r="EF28">
        <f>IF(Evalucion!EG26=Datos!$C$15,Datos!$D$15,IF(Evalucion!EG26=Datos!$C$16,Datos!$D$16,IF(Evalucion!EG26=Datos!$C$17,Datos!$D$17,IF(Evalucion!EG26=Datos!$C$18,Datos!$D$18,IF(Evalucion!EG26=Datos!$C$19,Datos!$D$19,"=")))))</f>
        <v>5</v>
      </c>
      <c r="EG28">
        <f>IF(Evalucion!EH26=Datos!$C$15,Datos!$D$15,IF(Evalucion!EH26=Datos!$C$16,Datos!$D$16,IF(Evalucion!EH26=Datos!$C$17,Datos!$D$17,IF(Evalucion!EH26=Datos!$C$18,Datos!$D$18,IF(Evalucion!EH26=Datos!$C$19,Datos!$D$19,"=")))))</f>
        <v>5</v>
      </c>
      <c r="EH28">
        <f>IF(Evalucion!EI26=Datos!$C$15,Datos!$D$15,IF(Evalucion!EI26=Datos!$C$16,Datos!$D$16,IF(Evalucion!EI26=Datos!$C$17,Datos!$D$17,IF(Evalucion!EI26=Datos!$C$18,Datos!$D$18,IF(Evalucion!EI26=Datos!$C$19,Datos!$D$19,"=")))))</f>
        <v>5</v>
      </c>
      <c r="EI28">
        <f>IF(Evalucion!EJ26=Datos!$C$15,Datos!$D$15,IF(Evalucion!EJ26=Datos!$C$16,Datos!$D$16,IF(Evalucion!EJ26=Datos!$C$17,Datos!$D$17,IF(Evalucion!EJ26=Datos!$C$18,Datos!$D$18,IF(Evalucion!EJ26=Datos!$C$19,Datos!$D$19,"=")))))</f>
        <v>5</v>
      </c>
      <c r="EJ28">
        <f>IF(Evalucion!EK26=Datos!$C$15,Datos!$D$15,IF(Evalucion!EK26=Datos!$C$16,Datos!$D$16,IF(Evalucion!EK26=Datos!$C$17,Datos!$D$17,IF(Evalucion!EK26=Datos!$C$18,Datos!$D$18,IF(Evalucion!EK26=Datos!$C$19,Datos!$D$19,"=")))))</f>
        <v>5</v>
      </c>
      <c r="EK28">
        <f>IF(Evalucion!EL26=Datos!$C$15,Datos!$D$15,IF(Evalucion!EL26=Datos!$C$16,Datos!$D$16,IF(Evalucion!EL26=Datos!$C$17,Datos!$D$17,IF(Evalucion!EL26=Datos!$C$18,Datos!$D$18,IF(Evalucion!EL26=Datos!$C$19,Datos!$D$19,"=")))))</f>
        <v>5</v>
      </c>
      <c r="EL28">
        <f>IF(Evalucion!EM26=Datos!$C$15,Datos!$D$15,IF(Evalucion!EM26=Datos!$C$16,Datos!$D$16,IF(Evalucion!EM26=Datos!$C$17,Datos!$D$17,IF(Evalucion!EM26=Datos!$C$18,Datos!$D$18,IF(Evalucion!EM26=Datos!$C$19,Datos!$D$19,"=")))))</f>
        <v>5</v>
      </c>
      <c r="EM28">
        <f>IF(Evalucion!EN26=Datos!$C$15,Datos!$D$15,IF(Evalucion!EN26=Datos!$C$16,Datos!$D$16,IF(Evalucion!EN26=Datos!$C$17,Datos!$D$17,IF(Evalucion!EN26=Datos!$C$18,Datos!$D$18,IF(Evalucion!EN26=Datos!$C$19,Datos!$D$19,"=")))))</f>
        <v>5</v>
      </c>
      <c r="EN28">
        <f>IF(Evalucion!EO26=Datos!$C$15,Datos!$D$15,IF(Evalucion!EO26=Datos!$C$16,Datos!$D$16,IF(Evalucion!EO26=Datos!$C$17,Datos!$D$17,IF(Evalucion!EO26=Datos!$C$18,Datos!$D$18,IF(Evalucion!EO26=Datos!$C$19,Datos!$D$19,"=")))))</f>
        <v>5</v>
      </c>
      <c r="EO28">
        <f>IF(Evalucion!EP26=Datos!$C$15,Datos!$D$15,IF(Evalucion!EP26=Datos!$C$16,Datos!$D$16,IF(Evalucion!EP26=Datos!$C$17,Datos!$D$17,IF(Evalucion!EP26=Datos!$C$18,Datos!$D$18,IF(Evalucion!EP26=Datos!$C$19,Datos!$D$19,"=")))))</f>
        <v>5</v>
      </c>
      <c r="EP28">
        <f>IF(Evalucion!EQ26=Datos!$C$15,Datos!$D$15,IF(Evalucion!EQ26=Datos!$C$16,Datos!$D$16,IF(Evalucion!EQ26=Datos!$C$17,Datos!$D$17,IF(Evalucion!EQ26=Datos!$C$18,Datos!$D$18,IF(Evalucion!EQ26=Datos!$C$19,Datos!$D$19,"=")))))</f>
        <v>5</v>
      </c>
      <c r="EQ28">
        <f>IF(Evalucion!ER26=Datos!$C$15,Datos!$D$15,IF(Evalucion!ER26=Datos!$C$16,Datos!$D$16,IF(Evalucion!ER26=Datos!$C$17,Datos!$D$17,IF(Evalucion!ER26=Datos!$C$18,Datos!$D$18,IF(Evalucion!ER26=Datos!$C$19,Datos!$D$19,"=")))))</f>
        <v>5</v>
      </c>
      <c r="ER28">
        <f>IF(Evalucion!ES26=Datos!$C$15,Datos!$D$15,IF(Evalucion!ES26=Datos!$C$16,Datos!$D$16,IF(Evalucion!ES26=Datos!$C$17,Datos!$D$17,IF(Evalucion!ES26=Datos!$C$18,Datos!$D$18,IF(Evalucion!ES26=Datos!$C$19,Datos!$D$19,"=")))))</f>
        <v>5</v>
      </c>
      <c r="ES28">
        <f>IF(Evalucion!ET26=Datos!$C$15,Datos!$D$15,IF(Evalucion!ET26=Datos!$C$16,Datos!$D$16,IF(Evalucion!ET26=Datos!$C$17,Datos!$D$17,IF(Evalucion!ET26=Datos!$C$18,Datos!$D$18,IF(Evalucion!ET26=Datos!$C$19,Datos!$D$19,"=")))))</f>
        <v>5</v>
      </c>
      <c r="ET28">
        <f>IF(Evalucion!EU26=Datos!$C$15,Datos!$D$15,IF(Evalucion!EU26=Datos!$C$16,Datos!$D$16,IF(Evalucion!EU26=Datos!$C$17,Datos!$D$17,IF(Evalucion!EU26=Datos!$C$18,Datos!$D$18,IF(Evalucion!EU26=Datos!$C$19,Datos!$D$19,"=")))))</f>
        <v>5</v>
      </c>
      <c r="EU28">
        <f>IF(Evalucion!EV26=Datos!$C$15,Datos!$D$15,IF(Evalucion!EV26=Datos!$C$16,Datos!$D$16,IF(Evalucion!EV26=Datos!$C$17,Datos!$D$17,IF(Evalucion!EV26=Datos!$C$18,Datos!$D$18,IF(Evalucion!EV26=Datos!$C$19,Datos!$D$19,"=")))))</f>
        <v>3</v>
      </c>
      <c r="EV28">
        <f>IF(Evalucion!EW26=Datos!$C$15,Datos!$D$15,IF(Evalucion!EW26=Datos!$C$16,Datos!$D$16,IF(Evalucion!EW26=Datos!$C$17,Datos!$D$17,IF(Evalucion!EW26=Datos!$C$18,Datos!$D$18,IF(Evalucion!EW26=Datos!$C$19,Datos!$D$19,"=")))))</f>
        <v>5</v>
      </c>
      <c r="EW28">
        <f>IF(Evalucion!EX26=Datos!$C$15,Datos!$D$15,IF(Evalucion!EX26=Datos!$C$16,Datos!$D$16,IF(Evalucion!EX26=Datos!$C$17,Datos!$D$17,IF(Evalucion!EX26=Datos!$C$18,Datos!$D$18,IF(Evalucion!EX26=Datos!$C$19,Datos!$D$19,"=")))))</f>
        <v>5</v>
      </c>
      <c r="EX28">
        <f>IF(Evalucion!EY26=Datos!$C$15,Datos!$D$15,IF(Evalucion!EY26=Datos!$C$16,Datos!$D$16,IF(Evalucion!EY26=Datos!$C$17,Datos!$D$17,IF(Evalucion!EY26=Datos!$C$18,Datos!$D$18,IF(Evalucion!EY26=Datos!$C$19,Datos!$D$19,"=")))))</f>
        <v>5</v>
      </c>
      <c r="EY28">
        <f>IF(Evalucion!EZ26=Datos!$C$15,Datos!$D$15,IF(Evalucion!EZ26=Datos!$C$16,Datos!$D$16,IF(Evalucion!EZ26=Datos!$C$17,Datos!$D$17,IF(Evalucion!EZ26=Datos!$C$18,Datos!$D$18,IF(Evalucion!EZ26=Datos!$C$19,Datos!$D$19,"=")))))</f>
        <v>3</v>
      </c>
      <c r="FA28">
        <f t="shared" si="8"/>
        <v>331</v>
      </c>
      <c r="FB28">
        <f t="shared" si="8"/>
        <v>275</v>
      </c>
      <c r="FC28" s="3">
        <f t="shared" si="4"/>
        <v>0.73333333333333328</v>
      </c>
      <c r="FD28" t="str">
        <f t="shared" si="0"/>
        <v>Conf_CR</v>
      </c>
      <c r="FF28">
        <f t="shared" si="5"/>
        <v>606</v>
      </c>
      <c r="FG28">
        <f t="shared" si="6"/>
        <v>0</v>
      </c>
    </row>
    <row r="29" spans="1:163" x14ac:dyDescent="0.2">
      <c r="A29">
        <f t="shared" si="7"/>
        <v>26</v>
      </c>
      <c r="B29" t="s">
        <v>270</v>
      </c>
      <c r="C29" t="s">
        <v>192</v>
      </c>
      <c r="D29" s="1">
        <v>42677</v>
      </c>
      <c r="E29">
        <f>IF(Evalucion!F27=Datos!$C$15,Datos!$D$15,IF(Evalucion!F27=Datos!$C$16,Datos!$D$16,IF(Evalucion!F27=Datos!$C$17,Datos!$D$17,IF(Evalucion!F27=Datos!$C$18,Datos!$D$18,IF(Evalucion!F27=Datos!$C$19,Datos!$D$19,"=")))))</f>
        <v>5</v>
      </c>
      <c r="F29">
        <f>IF(Evalucion!G27=Datos!$C$15,Datos!$D$15,IF(Evalucion!G27=Datos!$C$16,Datos!$D$16,IF(Evalucion!G27=Datos!$C$17,Datos!$D$17,IF(Evalucion!G27=Datos!$C$18,Datos!$D$18,IF(Evalucion!G27=Datos!$C$19,Datos!$D$19,"=")))))</f>
        <v>5</v>
      </c>
      <c r="G29">
        <f>IF(Evalucion!H27=Datos!$C$15,Datos!$D$15,IF(Evalucion!H27=Datos!$C$16,Datos!$D$16,IF(Evalucion!H27=Datos!$C$17,Datos!$D$17,IF(Evalucion!H27=Datos!$C$18,Datos!$D$18,IF(Evalucion!H27=Datos!$C$19,Datos!$D$19,"=")))))</f>
        <v>5</v>
      </c>
      <c r="H29">
        <f>IF(Evalucion!I27=Datos!$C$15,Datos!$D$15,IF(Evalucion!I27=Datos!$C$16,Datos!$D$16,IF(Evalucion!I27=Datos!$C$17,Datos!$D$17,IF(Evalucion!I27=Datos!$C$18,Datos!$D$18,IF(Evalucion!I27=Datos!$C$19,Datos!$D$19,"=")))))</f>
        <v>5</v>
      </c>
      <c r="I29">
        <f>IF(Evalucion!J27=Datos!$C$15,Datos!$D$15,IF(Evalucion!J27=Datos!$C$16,Datos!$D$16,IF(Evalucion!J27=Datos!$C$17,Datos!$D$17,IF(Evalucion!J27=Datos!$C$18,Datos!$D$18,IF(Evalucion!J27=Datos!$C$19,Datos!$D$19,"=")))))</f>
        <v>5</v>
      </c>
      <c r="J29">
        <f>IF(Evalucion!K27=Datos!$C$15,Datos!$D$15,IF(Evalucion!K27=Datos!$C$16,Datos!$D$16,IF(Evalucion!K27=Datos!$C$17,Datos!$D$17,IF(Evalucion!K27=Datos!$C$18,Datos!$D$18,IF(Evalucion!K27=Datos!$C$19,Datos!$D$19,"=")))))</f>
        <v>5</v>
      </c>
      <c r="K29">
        <f>IF(Evalucion!L27=Datos!$C$15,Datos!$D$15,IF(Evalucion!L27=Datos!$C$16,Datos!$D$16,IF(Evalucion!L27=Datos!$C$17,Datos!$D$17,IF(Evalucion!L27=Datos!$C$18,Datos!$D$18,IF(Evalucion!L27=Datos!$C$19,Datos!$D$19,"=")))))</f>
        <v>5</v>
      </c>
      <c r="L29">
        <f>IF(Evalucion!M27=Datos!$C$15,Datos!$D$15,IF(Evalucion!M27=Datos!$C$16,Datos!$D$16,IF(Evalucion!M27=Datos!$C$17,Datos!$D$17,IF(Evalucion!M27=Datos!$C$18,Datos!$D$18,IF(Evalucion!M27=Datos!$C$19,Datos!$D$19,"=")))))</f>
        <v>5</v>
      </c>
      <c r="M29">
        <f>IF(Evalucion!N27=Datos!$C$15,Datos!$D$15,IF(Evalucion!N27=Datos!$C$16,Datos!$D$16,IF(Evalucion!N27=Datos!$C$17,Datos!$D$17,IF(Evalucion!N27=Datos!$C$18,Datos!$D$18,IF(Evalucion!N27=Datos!$C$19,Datos!$D$19,"=")))))</f>
        <v>5</v>
      </c>
      <c r="N29">
        <f>IF(Evalucion!O27=Datos!$C$15,Datos!$D$15,IF(Evalucion!O27=Datos!$C$16,Datos!$D$16,IF(Evalucion!O27=Datos!$C$17,Datos!$D$17,IF(Evalucion!O27=Datos!$C$18,Datos!$D$18,IF(Evalucion!O27=Datos!$C$19,Datos!$D$19,"=")))))</f>
        <v>5</v>
      </c>
      <c r="O29">
        <f>IF(Evalucion!P27=Datos!$C$15,Datos!$D$15,IF(Evalucion!P27=Datos!$C$16,Datos!$D$16,IF(Evalucion!P27=Datos!$C$17,Datos!$D$17,IF(Evalucion!P27=Datos!$C$18,Datos!$D$18,IF(Evalucion!P27=Datos!$C$19,Datos!$D$19,"=")))))</f>
        <v>5</v>
      </c>
      <c r="P29">
        <f>IF(Evalucion!Q27=Datos!$C$15,Datos!$D$15,IF(Evalucion!Q27=Datos!$C$16,Datos!$D$16,IF(Evalucion!Q27=Datos!$C$17,Datos!$D$17,IF(Evalucion!Q27=Datos!$C$18,Datos!$D$18,IF(Evalucion!Q27=Datos!$C$19,Datos!$D$19,"=")))))</f>
        <v>5</v>
      </c>
      <c r="Q29">
        <f>IF(Evalucion!R27=Datos!$C$15,Datos!$D$15,IF(Evalucion!R27=Datos!$C$16,Datos!$D$16,IF(Evalucion!R27=Datos!$C$17,Datos!$D$17,IF(Evalucion!R27=Datos!$C$18,Datos!$D$18,IF(Evalucion!R27=Datos!$C$19,Datos!$D$19,"=")))))</f>
        <v>5</v>
      </c>
      <c r="R29">
        <f>IF(Evalucion!S27=Datos!$C$15,Datos!$D$15,IF(Evalucion!S27=Datos!$C$16,Datos!$D$16,IF(Evalucion!S27=Datos!$C$17,Datos!$D$17,IF(Evalucion!S27=Datos!$C$18,Datos!$D$18,IF(Evalucion!S27=Datos!$C$19,Datos!$D$19,"=")))))</f>
        <v>5</v>
      </c>
      <c r="S29">
        <f>IF(Evalucion!T27=Datos!$C$15,Datos!$D$15,IF(Evalucion!T27=Datos!$C$16,Datos!$D$16,IF(Evalucion!T27=Datos!$C$17,Datos!$D$17,IF(Evalucion!T27=Datos!$C$18,Datos!$D$18,IF(Evalucion!T27=Datos!$C$19,Datos!$D$19,"=")))))</f>
        <v>5</v>
      </c>
      <c r="T29">
        <f>IF(Evalucion!U27=Datos!$C$15,Datos!$D$15,IF(Evalucion!U27=Datos!$C$16,Datos!$D$16,IF(Evalucion!U27=Datos!$C$17,Datos!$D$17,IF(Evalucion!U27=Datos!$C$18,Datos!$D$18,IF(Evalucion!U27=Datos!$C$19,Datos!$D$19,"=")))))</f>
        <v>5</v>
      </c>
      <c r="U29">
        <f>IF(Evalucion!V27=Datos!$C$15,Datos!$D$15,IF(Evalucion!V27=Datos!$C$16,Datos!$D$16,IF(Evalucion!V27=Datos!$C$17,Datos!$D$17,IF(Evalucion!V27=Datos!$C$18,Datos!$D$18,IF(Evalucion!V27=Datos!$C$19,Datos!$D$19,"=")))))</f>
        <v>5</v>
      </c>
      <c r="V29">
        <f>IF(Evalucion!W27=Datos!$C$15,Datos!$D$15,IF(Evalucion!W27=Datos!$C$16,Datos!$D$16,IF(Evalucion!W27=Datos!$C$17,Datos!$D$17,IF(Evalucion!W27=Datos!$C$18,Datos!$D$18,IF(Evalucion!W27=Datos!$C$19,Datos!$D$19,"=")))))</f>
        <v>5</v>
      </c>
      <c r="W29">
        <f>IF(Evalucion!X27=Datos!$C$15,Datos!$D$15,IF(Evalucion!X27=Datos!$C$16,Datos!$D$16,IF(Evalucion!X27=Datos!$C$17,Datos!$D$17,IF(Evalucion!X27=Datos!$C$18,Datos!$D$18,IF(Evalucion!X27=Datos!$C$19,Datos!$D$19,"=")))))</f>
        <v>5</v>
      </c>
      <c r="X29">
        <f>IF(Evalucion!Y27=Datos!$C$15,Datos!$D$15,IF(Evalucion!Y27=Datos!$C$16,Datos!$D$16,IF(Evalucion!Y27=Datos!$C$17,Datos!$D$17,IF(Evalucion!Y27=Datos!$C$18,Datos!$D$18,IF(Evalucion!Y27=Datos!$C$19,Datos!$D$19,"=")))))</f>
        <v>5</v>
      </c>
      <c r="Y29">
        <f>IF(Evalucion!Z27=Datos!$C$15,Datos!$D$15,IF(Evalucion!Z27=Datos!$C$16,Datos!$D$16,IF(Evalucion!Z27=Datos!$C$17,Datos!$D$17,IF(Evalucion!Z27=Datos!$C$18,Datos!$D$18,IF(Evalucion!Z27=Datos!$C$19,Datos!$D$19,"=")))))</f>
        <v>5</v>
      </c>
      <c r="Z29">
        <f>IF(Evalucion!AA27=Datos!$C$15,Datos!$D$15,IF(Evalucion!AA27=Datos!$C$16,Datos!$D$16,IF(Evalucion!AA27=Datos!$C$17,Datos!$D$17,IF(Evalucion!AA27=Datos!$C$18,Datos!$D$18,IF(Evalucion!AA27=Datos!$C$19,Datos!$D$19,"=")))))</f>
        <v>5</v>
      </c>
      <c r="AA29">
        <f>IF(Evalucion!AB27=Datos!$C$15,Datos!$D$15,IF(Evalucion!AB27=Datos!$C$16,Datos!$D$16,IF(Evalucion!AB27=Datos!$C$17,Datos!$D$17,IF(Evalucion!AB27=Datos!$C$18,Datos!$D$18,IF(Evalucion!AB27=Datos!$C$19,Datos!$D$19,"=")))))</f>
        <v>5</v>
      </c>
      <c r="AB29">
        <f>IF(Evalucion!AC27=Datos!$C$15,Datos!$D$15,IF(Evalucion!AC27=Datos!$C$16,Datos!$D$16,IF(Evalucion!AC27=Datos!$C$17,Datos!$D$17,IF(Evalucion!AC27=Datos!$C$18,Datos!$D$18,IF(Evalucion!AC27=Datos!$C$19,Datos!$D$19,"=")))))</f>
        <v>5</v>
      </c>
      <c r="AC29">
        <f>IF(Evalucion!AD27=Datos!$C$15,Datos!$D$15,IF(Evalucion!AD27=Datos!$C$16,Datos!$D$16,IF(Evalucion!AD27=Datos!$C$17,Datos!$D$17,IF(Evalucion!AD27=Datos!$C$18,Datos!$D$18,IF(Evalucion!AD27=Datos!$C$19,Datos!$D$19,"=")))))</f>
        <v>5</v>
      </c>
      <c r="AD29">
        <f>IF(Evalucion!AE27=Datos!$C$15,Datos!$D$15,IF(Evalucion!AE27=Datos!$C$16,Datos!$D$16,IF(Evalucion!AE27=Datos!$C$17,Datos!$D$17,IF(Evalucion!AE27=Datos!$C$18,Datos!$D$18,IF(Evalucion!AE27=Datos!$C$19,Datos!$D$19,"=")))))</f>
        <v>5</v>
      </c>
      <c r="AE29">
        <f>IF(Evalucion!AF27=Datos!$C$15,Datos!$D$15,IF(Evalucion!AF27=Datos!$C$16,Datos!$D$16,IF(Evalucion!AF27=Datos!$C$17,Datos!$D$17,IF(Evalucion!AF27=Datos!$C$18,Datos!$D$18,IF(Evalucion!AF27=Datos!$C$19,Datos!$D$19,"=")))))</f>
        <v>5</v>
      </c>
      <c r="AF29">
        <f>IF(Evalucion!AG27=Datos!$C$15,Datos!$D$15,IF(Evalucion!AG27=Datos!$C$16,Datos!$D$16,IF(Evalucion!AG27=Datos!$C$17,Datos!$D$17,IF(Evalucion!AG27=Datos!$C$18,Datos!$D$18,IF(Evalucion!AG27=Datos!$C$19,Datos!$D$19,"=")))))</f>
        <v>5</v>
      </c>
      <c r="AO29">
        <f>IF(Evalucion!AP27=Datos!$C$15,Datos!$D$15,IF(Evalucion!AP27=Datos!$C$16,Datos!$D$16,IF(Evalucion!AP27=Datos!$C$17,Datos!$D$17,IF(Evalucion!AP27=Datos!$C$18,Datos!$D$18,IF(Evalucion!AP27=Datos!$C$19,Datos!$D$19,"=")))))</f>
        <v>5</v>
      </c>
      <c r="AP29">
        <f>IF(Evalucion!AQ27=Datos!$C$15,Datos!$D$15,IF(Evalucion!AQ27=Datos!$C$16,Datos!$D$16,IF(Evalucion!AQ27=Datos!$C$17,Datos!$D$17,IF(Evalucion!AQ27=Datos!$C$18,Datos!$D$18,IF(Evalucion!AQ27=Datos!$C$19,Datos!$D$19,"=")))))</f>
        <v>5</v>
      </c>
      <c r="AQ29">
        <f>IF(Evalucion!AR27=Datos!$C$15,Datos!$D$15,IF(Evalucion!AR27=Datos!$C$16,Datos!$D$16,IF(Evalucion!AR27=Datos!$C$17,Datos!$D$17,IF(Evalucion!AR27=Datos!$C$18,Datos!$D$18,IF(Evalucion!AR27=Datos!$C$19,Datos!$D$19,"=")))))</f>
        <v>5</v>
      </c>
      <c r="AR29">
        <f>IF(Evalucion!AS27=Datos!$C$15,Datos!$D$15,IF(Evalucion!AS27=Datos!$C$16,Datos!$D$16,IF(Evalucion!AS27=Datos!$C$17,Datos!$D$17,IF(Evalucion!AS27=Datos!$C$18,Datos!$D$18,IF(Evalucion!AS27=Datos!$C$19,Datos!$D$19,"=")))))</f>
        <v>1</v>
      </c>
      <c r="AS29">
        <f>IF(Evalucion!AT27=Datos!$C$15,Datos!$D$15,IF(Evalucion!AT27=Datos!$C$16,Datos!$D$16,IF(Evalucion!AT27=Datos!$C$17,Datos!$D$17,IF(Evalucion!AT27=Datos!$C$18,Datos!$D$18,IF(Evalucion!AT27=Datos!$C$19,Datos!$D$19,"=")))))</f>
        <v>5</v>
      </c>
      <c r="AT29">
        <f>IF(Evalucion!AU27=Datos!$C$15,Datos!$D$15,IF(Evalucion!AU27=Datos!$C$16,Datos!$D$16,IF(Evalucion!AU27=Datos!$C$17,Datos!$D$17,IF(Evalucion!AU27=Datos!$C$18,Datos!$D$18,IF(Evalucion!AU27=Datos!$C$19,Datos!$D$19,"=")))))</f>
        <v>5</v>
      </c>
      <c r="AV29">
        <f>IF(Evalucion!AW27=Datos!$C$15,Datos!$D$15,IF(Evalucion!AW27=Datos!$C$16,Datos!$D$16,IF(Evalucion!AW27=Datos!$C$17,Datos!$D$17,IF(Evalucion!AW27=Datos!$C$18,Datos!$D$18,IF(Evalucion!AW27=Datos!$C$19,Datos!$D$19,"=")))))</f>
        <v>5</v>
      </c>
      <c r="AW29">
        <f>IF(Evalucion!AX27=Datos!$C$15,Datos!$D$15,IF(Evalucion!AX27=Datos!$C$16,Datos!$D$16,IF(Evalucion!AX27=Datos!$C$17,Datos!$D$17,IF(Evalucion!AX27=Datos!$C$18,Datos!$D$18,IF(Evalucion!AX27=Datos!$C$19,Datos!$D$19,"=")))))</f>
        <v>5</v>
      </c>
      <c r="AX29">
        <f>IF(Evalucion!AY27=Datos!$C$15,Datos!$D$15,IF(Evalucion!AY27=Datos!$C$16,Datos!$D$16,IF(Evalucion!AY27=Datos!$C$17,Datos!$D$17,IF(Evalucion!AY27=Datos!$C$18,Datos!$D$18,IF(Evalucion!AY27=Datos!$C$19,Datos!$D$19,"=")))))</f>
        <v>5</v>
      </c>
      <c r="AY29">
        <f>IF(Evalucion!AZ27=Datos!$C$15,Datos!$D$15,IF(Evalucion!AZ27=Datos!$C$16,Datos!$D$16,IF(Evalucion!AZ27=Datos!$C$17,Datos!$D$17,IF(Evalucion!AZ27=Datos!$C$18,Datos!$D$18,IF(Evalucion!AZ27=Datos!$C$19,Datos!$D$19,"=")))))</f>
        <v>5</v>
      </c>
      <c r="AZ29">
        <f>IF(Evalucion!BA27=Datos!$C$15,Datos!$D$15,IF(Evalucion!BA27=Datos!$C$16,Datos!$D$16,IF(Evalucion!BA27=Datos!$C$17,Datos!$D$17,IF(Evalucion!BA27=Datos!$C$18,Datos!$D$18,IF(Evalucion!BA27=Datos!$C$19,Datos!$D$19,"=")))))</f>
        <v>5</v>
      </c>
      <c r="BA29">
        <f>IF(Evalucion!BB27=Datos!$C$15,Datos!$D$15,IF(Evalucion!BB27=Datos!$C$16,Datos!$D$16,IF(Evalucion!BB27=Datos!$C$17,Datos!$D$17,IF(Evalucion!BB27=Datos!$C$18,Datos!$D$18,IF(Evalucion!BB27=Datos!$C$19,Datos!$D$19,"=")))))</f>
        <v>5</v>
      </c>
      <c r="BB29">
        <f>IF(Evalucion!BC27=Datos!$C$15,Datos!$D$15,IF(Evalucion!BC27=Datos!$C$16,Datos!$D$16,IF(Evalucion!BC27=Datos!$C$17,Datos!$D$17,IF(Evalucion!BC27=Datos!$C$18,Datos!$D$18,IF(Evalucion!BC27=Datos!$C$19,Datos!$D$19,"=")))))</f>
        <v>5</v>
      </c>
      <c r="BC29">
        <f>IF(Evalucion!BD27=Datos!$C$15,Datos!$D$15,IF(Evalucion!BD27=Datos!$C$16,Datos!$D$16,IF(Evalucion!BD27=Datos!$C$17,Datos!$D$17,IF(Evalucion!BD27=Datos!$C$18,Datos!$D$18,IF(Evalucion!BD27=Datos!$C$19,Datos!$D$19,"=")))))</f>
        <v>5</v>
      </c>
      <c r="BD29">
        <f>IF(Evalucion!BE27=Datos!$C$15,Datos!$D$15,IF(Evalucion!BE27=Datos!$C$16,Datos!$D$16,IF(Evalucion!BE27=Datos!$C$17,Datos!$D$17,IF(Evalucion!BE27=Datos!$C$18,Datos!$D$18,IF(Evalucion!BE27=Datos!$C$19,Datos!$D$19,"=")))))</f>
        <v>5</v>
      </c>
      <c r="BE29">
        <f>IF(Evalucion!BF27=Datos!$C$15,Datos!$D$15,IF(Evalucion!BF27=Datos!$C$16,Datos!$D$16,IF(Evalucion!BF27=Datos!$C$17,Datos!$D$17,IF(Evalucion!BF27=Datos!$C$18,Datos!$D$18,IF(Evalucion!BF27=Datos!$C$19,Datos!$D$19,"=")))))</f>
        <v>5</v>
      </c>
      <c r="BF29">
        <f>IF(Evalucion!BG27=Datos!$C$15,Datos!$D$15,IF(Evalucion!BG27=Datos!$C$16,Datos!$D$16,IF(Evalucion!BG27=Datos!$C$17,Datos!$D$17,IF(Evalucion!BG27=Datos!$C$18,Datos!$D$18,IF(Evalucion!BG27=Datos!$C$19,Datos!$D$19,"=")))))</f>
        <v>5</v>
      </c>
      <c r="BG29">
        <f>IF(Evalucion!BH27=Datos!$C$15,Datos!$D$15,IF(Evalucion!BH27=Datos!$C$16,Datos!$D$16,IF(Evalucion!BH27=Datos!$C$17,Datos!$D$17,IF(Evalucion!BH27=Datos!$C$18,Datos!$D$18,IF(Evalucion!BH27=Datos!$C$19,Datos!$D$19,"=")))))</f>
        <v>5</v>
      </c>
      <c r="BH29">
        <f>IF(Evalucion!BI27=Datos!$C$15,Datos!$D$15,IF(Evalucion!BI27=Datos!$C$16,Datos!$D$16,IF(Evalucion!BI27=Datos!$C$17,Datos!$D$17,IF(Evalucion!BI27=Datos!$C$18,Datos!$D$18,IF(Evalucion!BI27=Datos!$C$19,Datos!$D$19,"=")))))</f>
        <v>5</v>
      </c>
      <c r="BI29">
        <f>IF(Evalucion!BJ27=Datos!$C$15,Datos!$D$15,IF(Evalucion!BJ27=Datos!$C$16,Datos!$D$16,IF(Evalucion!BJ27=Datos!$C$17,Datos!$D$17,IF(Evalucion!BJ27=Datos!$C$18,Datos!$D$18,IF(Evalucion!BJ27=Datos!$C$19,Datos!$D$19,"=")))))</f>
        <v>5</v>
      </c>
      <c r="BJ29">
        <f>IF(Evalucion!BK27=Datos!$C$15,Datos!$D$15,IF(Evalucion!BK27=Datos!$C$16,Datos!$D$16,IF(Evalucion!BK27=Datos!$C$17,Datos!$D$17,IF(Evalucion!BK27=Datos!$C$18,Datos!$D$18,IF(Evalucion!BK27=Datos!$C$19,Datos!$D$19,"=")))))</f>
        <v>5</v>
      </c>
      <c r="BK29">
        <f>IF(Evalucion!BL27=Datos!$C$15,Datos!$D$15,IF(Evalucion!BL27=Datos!$C$16,Datos!$D$16,IF(Evalucion!BL27=Datos!$C$17,Datos!$D$17,IF(Evalucion!BL27=Datos!$C$18,Datos!$D$18,IF(Evalucion!BL27=Datos!$C$19,Datos!$D$19,"=")))))</f>
        <v>5</v>
      </c>
      <c r="BL29">
        <f>IF(Evalucion!BM27=Datos!$C$15,Datos!$D$15,IF(Evalucion!BM27=Datos!$C$16,Datos!$D$16,IF(Evalucion!BM27=Datos!$C$17,Datos!$D$17,IF(Evalucion!BM27=Datos!$C$18,Datos!$D$18,IF(Evalucion!BM27=Datos!$C$19,Datos!$D$19,"=")))))</f>
        <v>5</v>
      </c>
      <c r="BM29">
        <f>IF(Evalucion!BN27=Datos!$C$15,Datos!$D$15,IF(Evalucion!BN27=Datos!$C$16,Datos!$D$16,IF(Evalucion!BN27=Datos!$C$17,Datos!$D$17,IF(Evalucion!BN27=Datos!$C$18,Datos!$D$18,IF(Evalucion!BN27=Datos!$C$19,Datos!$D$19,"=")))))</f>
        <v>5</v>
      </c>
      <c r="BN29">
        <f>IF(Evalucion!BO27=Datos!$C$15,Datos!$D$15,IF(Evalucion!BO27=Datos!$C$16,Datos!$D$16,IF(Evalucion!BO27=Datos!$C$17,Datos!$D$17,IF(Evalucion!BO27=Datos!$C$18,Datos!$D$18,IF(Evalucion!BO27=Datos!$C$19,Datos!$D$19,"=")))))</f>
        <v>5</v>
      </c>
      <c r="BO29">
        <f>IF(Evalucion!BP27=Datos!$C$15,Datos!$D$15,IF(Evalucion!BP27=Datos!$C$16,Datos!$D$16,IF(Evalucion!BP27=Datos!$C$17,Datos!$D$17,IF(Evalucion!BP27=Datos!$C$18,Datos!$D$18,IF(Evalucion!BP27=Datos!$C$19,Datos!$D$19,"=")))))</f>
        <v>5</v>
      </c>
      <c r="BP29">
        <f>IF(Evalucion!BQ27=Datos!$C$15,Datos!$D$15,IF(Evalucion!BQ27=Datos!$C$16,Datos!$D$16,IF(Evalucion!BQ27=Datos!$C$17,Datos!$D$17,IF(Evalucion!BQ27=Datos!$C$18,Datos!$D$18,IF(Evalucion!BQ27=Datos!$C$19,Datos!$D$19,"=")))))</f>
        <v>5</v>
      </c>
      <c r="BQ29">
        <f>IF(Evalucion!BR27=Datos!$C$15,Datos!$D$15,IF(Evalucion!BR27=Datos!$C$16,Datos!$D$16,IF(Evalucion!BR27=Datos!$C$17,Datos!$D$17,IF(Evalucion!BR27=Datos!$C$18,Datos!$D$18,IF(Evalucion!BR27=Datos!$C$19,Datos!$D$19,"=")))))</f>
        <v>5</v>
      </c>
      <c r="BR29">
        <f>IF(Evalucion!BS27=Datos!$C$15,Datos!$D$15,IF(Evalucion!BS27=Datos!$C$16,Datos!$D$16,IF(Evalucion!BS27=Datos!$C$17,Datos!$D$17,IF(Evalucion!BS27=Datos!$C$18,Datos!$D$18,IF(Evalucion!BS27=Datos!$C$19,Datos!$D$19,"=")))))</f>
        <v>5</v>
      </c>
      <c r="BS29">
        <f>IF(Evalucion!BT27=Datos!$C$15,Datos!$D$15,IF(Evalucion!BT27=Datos!$C$16,Datos!$D$16,IF(Evalucion!BT27=Datos!$C$17,Datos!$D$17,IF(Evalucion!BT27=Datos!$C$18,Datos!$D$18,IF(Evalucion!BT27=Datos!$C$19,Datos!$D$19,"=")))))</f>
        <v>5</v>
      </c>
      <c r="BT29">
        <f>IF(Evalucion!BU27=Datos!$C$15,Datos!$D$15,IF(Evalucion!BU27=Datos!$C$16,Datos!$D$16,IF(Evalucion!BU27=Datos!$C$17,Datos!$D$17,IF(Evalucion!BU27=Datos!$C$18,Datos!$D$18,IF(Evalucion!BU27=Datos!$C$19,Datos!$D$19,"=")))))</f>
        <v>5</v>
      </c>
      <c r="BU29">
        <f>IF(Evalucion!BV27=Datos!$C$15,Datos!$D$15,IF(Evalucion!BV27=Datos!$C$16,Datos!$D$16,IF(Evalucion!BV27=Datos!$C$17,Datos!$D$17,IF(Evalucion!BV27=Datos!$C$18,Datos!$D$18,IF(Evalucion!BV27=Datos!$C$19,Datos!$D$19,"=")))))</f>
        <v>5</v>
      </c>
      <c r="BV29">
        <f>IF(Evalucion!BW27=Datos!$C$15,Datos!$D$15,IF(Evalucion!BW27=Datos!$C$16,Datos!$D$16,IF(Evalucion!BW27=Datos!$C$17,Datos!$D$17,IF(Evalucion!BW27=Datos!$C$18,Datos!$D$18,IF(Evalucion!BW27=Datos!$C$19,Datos!$D$19,"=")))))</f>
        <v>5</v>
      </c>
      <c r="BW29">
        <f>IF(Evalucion!BX27=Datos!$C$15,Datos!$D$15,IF(Evalucion!BX27=Datos!$C$16,Datos!$D$16,IF(Evalucion!BX27=Datos!$C$17,Datos!$D$17,IF(Evalucion!BX27=Datos!$C$18,Datos!$D$18,IF(Evalucion!BX27=Datos!$C$19,Datos!$D$19,"=")))))</f>
        <v>5</v>
      </c>
      <c r="BX29">
        <f>IF(Evalucion!BY27=Datos!$C$15,Datos!$D$15,IF(Evalucion!BY27=Datos!$C$16,Datos!$D$16,IF(Evalucion!BY27=Datos!$C$17,Datos!$D$17,IF(Evalucion!BY27=Datos!$C$18,Datos!$D$18,IF(Evalucion!BY27=Datos!$C$19,Datos!$D$19,"=")))))</f>
        <v>5</v>
      </c>
      <c r="BY29">
        <f>IF(Evalucion!BZ27=Datos!$C$15,Datos!$D$15,IF(Evalucion!BZ27=Datos!$C$16,Datos!$D$16,IF(Evalucion!BZ27=Datos!$C$17,Datos!$D$17,IF(Evalucion!BZ27=Datos!$C$18,Datos!$D$18,IF(Evalucion!BZ27=Datos!$C$19,Datos!$D$19,"=")))))</f>
        <v>5</v>
      </c>
      <c r="BZ29">
        <f>IF(Evalucion!CA27=Datos!$C$15,Datos!$D$15,IF(Evalucion!CA27=Datos!$C$16,Datos!$D$16,IF(Evalucion!CA27=Datos!$C$17,Datos!$D$17,IF(Evalucion!CA27=Datos!$C$18,Datos!$D$18,IF(Evalucion!CA27=Datos!$C$19,Datos!$D$19,"=")))))</f>
        <v>5</v>
      </c>
      <c r="CA29">
        <f>IF(Evalucion!CB27=Datos!$C$15,Datos!$D$15,IF(Evalucion!CB27=Datos!$C$16,Datos!$D$16,IF(Evalucion!CB27=Datos!$C$17,Datos!$D$17,IF(Evalucion!CB27=Datos!$C$18,Datos!$D$18,IF(Evalucion!CB27=Datos!$C$19,Datos!$D$19,"=")))))</f>
        <v>5</v>
      </c>
      <c r="CB29">
        <f>IF(Evalucion!CC27=Datos!$C$15,Datos!$D$15,IF(Evalucion!CC27=Datos!$C$16,Datos!$D$16,IF(Evalucion!CC27=Datos!$C$17,Datos!$D$17,IF(Evalucion!CC27=Datos!$C$18,Datos!$D$18,IF(Evalucion!CC27=Datos!$C$19,Datos!$D$19,"=")))))</f>
        <v>5</v>
      </c>
      <c r="CC29">
        <f>IF(Evalucion!CD27=Datos!$C$15,Datos!$D$15,IF(Evalucion!CD27=Datos!$C$16,Datos!$D$16,IF(Evalucion!CD27=Datos!$C$17,Datos!$D$17,IF(Evalucion!CD27=Datos!$C$18,Datos!$D$18,IF(Evalucion!CD27=Datos!$C$19,Datos!$D$19,"=")))))</f>
        <v>5</v>
      </c>
      <c r="CD29">
        <f>IF(Evalucion!CE27=Datos!$C$15,Datos!$D$15,IF(Evalucion!CE27=Datos!$C$16,Datos!$D$16,IF(Evalucion!CE27=Datos!$C$17,Datos!$D$17,IF(Evalucion!CE27=Datos!$C$18,Datos!$D$18,IF(Evalucion!CE27=Datos!$C$19,Datos!$D$19,"=")))))</f>
        <v>5</v>
      </c>
      <c r="CE29">
        <f>IF(Evalucion!CF27=Datos!$C$15,Datos!$D$15,IF(Evalucion!CF27=Datos!$C$16,Datos!$D$16,IF(Evalucion!CF27=Datos!$C$17,Datos!$D$17,IF(Evalucion!CF27=Datos!$C$18,Datos!$D$18,IF(Evalucion!CF27=Datos!$C$19,Datos!$D$19,"=")))))</f>
        <v>3</v>
      </c>
      <c r="CF29">
        <f>IF(Evalucion!CG27=Datos!$C$15,Datos!$D$15,IF(Evalucion!CG27=Datos!$C$16,Datos!$D$16,IF(Evalucion!CG27=Datos!$C$17,Datos!$D$17,IF(Evalucion!CG27=Datos!$C$18,Datos!$D$18,IF(Evalucion!CG27=Datos!$C$19,Datos!$D$19,"=")))))</f>
        <v>5</v>
      </c>
      <c r="CG29">
        <f>IF(Evalucion!CH27=Datos!$C$15,Datos!$D$15,IF(Evalucion!CH27=Datos!$C$16,Datos!$D$16,IF(Evalucion!CH27=Datos!$C$17,Datos!$D$17,IF(Evalucion!CH27=Datos!$C$18,Datos!$D$18,IF(Evalucion!CH27=Datos!$C$19,Datos!$D$19,"=")))))</f>
        <v>5</v>
      </c>
      <c r="CH29">
        <f>IF(Evalucion!CI27=Datos!$C$15,Datos!$D$15,IF(Evalucion!CI27=Datos!$C$16,Datos!$D$16,IF(Evalucion!CI27=Datos!$C$17,Datos!$D$17,IF(Evalucion!CI27=Datos!$C$18,Datos!$D$18,IF(Evalucion!CI27=Datos!$C$19,Datos!$D$19,"=")))))</f>
        <v>5</v>
      </c>
      <c r="CI29">
        <f>IF(Evalucion!CJ27=Datos!$C$15,Datos!$D$15,IF(Evalucion!CJ27=Datos!$C$16,Datos!$D$16,IF(Evalucion!CJ27=Datos!$C$17,Datos!$D$17,IF(Evalucion!CJ27=Datos!$C$18,Datos!$D$18,IF(Evalucion!CJ27=Datos!$C$19,Datos!$D$19,"=")))))</f>
        <v>5</v>
      </c>
      <c r="CJ29">
        <f>IF(Evalucion!CK27=Datos!$C$15,Datos!$D$15,IF(Evalucion!CK27=Datos!$C$16,Datos!$D$16,IF(Evalucion!CK27=Datos!$C$17,Datos!$D$17,IF(Evalucion!CK27=Datos!$C$18,Datos!$D$18,IF(Evalucion!CK27=Datos!$C$19,Datos!$D$19,"=")))))</f>
        <v>5</v>
      </c>
      <c r="CK29">
        <f>IF(Evalucion!CL27=Datos!$C$15,Datos!$D$15,IF(Evalucion!CL27=Datos!$C$16,Datos!$D$16,IF(Evalucion!CL27=Datos!$C$17,Datos!$D$17,IF(Evalucion!CL27=Datos!$C$18,Datos!$D$18,IF(Evalucion!CL27=Datos!$C$19,Datos!$D$19,"=")))))</f>
        <v>5</v>
      </c>
      <c r="CL29">
        <f>IF(Evalucion!CM27=Datos!$C$15,Datos!$D$15,IF(Evalucion!CM27=Datos!$C$16,Datos!$D$16,IF(Evalucion!CM27=Datos!$C$17,Datos!$D$17,IF(Evalucion!CM27=Datos!$C$18,Datos!$D$18,IF(Evalucion!CM27=Datos!$C$19,Datos!$D$19,"=")))))</f>
        <v>5</v>
      </c>
      <c r="CM29">
        <f>IF(Evalucion!CN27=Datos!$C$15,Datos!$D$15,IF(Evalucion!CN27=Datos!$C$16,Datos!$D$16,IF(Evalucion!CN27=Datos!$C$17,Datos!$D$17,IF(Evalucion!CN27=Datos!$C$18,Datos!$D$18,IF(Evalucion!CN27=Datos!$C$19,Datos!$D$19,"=")))))</f>
        <v>5</v>
      </c>
      <c r="CN29">
        <f>IF(Evalucion!CO27=Datos!$C$15,Datos!$D$15,IF(Evalucion!CO27=Datos!$C$16,Datos!$D$16,IF(Evalucion!CO27=Datos!$C$17,Datos!$D$17,IF(Evalucion!CO27=Datos!$C$18,Datos!$D$18,IF(Evalucion!CO27=Datos!$C$19,Datos!$D$19,"=")))))</f>
        <v>5</v>
      </c>
      <c r="CO29">
        <f>IF(Evalucion!CP27=Datos!$C$15,Datos!$D$15,IF(Evalucion!CP27=Datos!$C$16,Datos!$D$16,IF(Evalucion!CP27=Datos!$C$17,Datos!$D$17,IF(Evalucion!CP27=Datos!$C$18,Datos!$D$18,IF(Evalucion!CP27=Datos!$C$19,Datos!$D$19,"=")))))</f>
        <v>5</v>
      </c>
      <c r="CP29">
        <f>IF(Evalucion!CQ27=Datos!$C$15,Datos!$D$15,IF(Evalucion!CQ27=Datos!$C$16,Datos!$D$16,IF(Evalucion!CQ27=Datos!$C$17,Datos!$D$17,IF(Evalucion!CQ27=Datos!$C$18,Datos!$D$18,IF(Evalucion!CQ27=Datos!$C$19,Datos!$D$19,"=")))))</f>
        <v>5</v>
      </c>
      <c r="CQ29">
        <f>IF(Evalucion!CR27=Datos!$C$15,Datos!$D$15,IF(Evalucion!CR27=Datos!$C$16,Datos!$D$16,IF(Evalucion!CR27=Datos!$C$17,Datos!$D$17,IF(Evalucion!CR27=Datos!$C$18,Datos!$D$18,IF(Evalucion!CR27=Datos!$C$19,Datos!$D$19,"=")))))</f>
        <v>3</v>
      </c>
      <c r="CR29">
        <f>IF(Evalucion!CS27=Datos!$C$15,Datos!$D$15,IF(Evalucion!CS27=Datos!$C$16,Datos!$D$16,IF(Evalucion!CS27=Datos!$C$17,Datos!$D$17,IF(Evalucion!CS27=Datos!$C$18,Datos!$D$18,IF(Evalucion!CS27=Datos!$C$19,Datos!$D$19,"=")))))</f>
        <v>5</v>
      </c>
      <c r="CS29">
        <f>IF(Evalucion!CT27=Datos!$C$15,Datos!$D$15,IF(Evalucion!CT27=Datos!$C$16,Datos!$D$16,IF(Evalucion!CT27=Datos!$C$17,Datos!$D$17,IF(Evalucion!CT27=Datos!$C$18,Datos!$D$18,IF(Evalucion!CT27=Datos!$C$19,Datos!$D$19,"=")))))</f>
        <v>3</v>
      </c>
      <c r="CT29">
        <f>IF(Evalucion!CU27=Datos!$C$15,Datos!$D$15,IF(Evalucion!CU27=Datos!$C$16,Datos!$D$16,IF(Evalucion!CU27=Datos!$C$17,Datos!$D$17,IF(Evalucion!CU27=Datos!$C$18,Datos!$D$18,IF(Evalucion!CU27=Datos!$C$19,Datos!$D$19,"=")))))</f>
        <v>5</v>
      </c>
      <c r="CU29">
        <f>IF(Evalucion!CV27=Datos!$C$15,Datos!$D$15,IF(Evalucion!CV27=Datos!$C$16,Datos!$D$16,IF(Evalucion!CV27=Datos!$C$17,Datos!$D$17,IF(Evalucion!CV27=Datos!$C$18,Datos!$D$18,IF(Evalucion!CV27=Datos!$C$19,Datos!$D$19,"=")))))</f>
        <v>3</v>
      </c>
      <c r="CV29">
        <f>IF(Evalucion!CW27=Datos!$C$15,Datos!$D$15,IF(Evalucion!CW27=Datos!$C$16,Datos!$D$16,IF(Evalucion!CW27=Datos!$C$17,Datos!$D$17,IF(Evalucion!CW27=Datos!$C$18,Datos!$D$18,IF(Evalucion!CW27=Datos!$C$19,Datos!$D$19,"=")))))</f>
        <v>5</v>
      </c>
      <c r="CW29">
        <f>IF(Evalucion!CX27=Datos!$C$15,Datos!$D$15,IF(Evalucion!CX27=Datos!$C$16,Datos!$D$16,IF(Evalucion!CX27=Datos!$C$17,Datos!$D$17,IF(Evalucion!CX27=Datos!$C$18,Datos!$D$18,IF(Evalucion!CX27=Datos!$C$19,Datos!$D$19,"=")))))</f>
        <v>3</v>
      </c>
      <c r="CX29">
        <f>IF(Evalucion!CY27=Datos!$C$15,Datos!$D$15,IF(Evalucion!CY27=Datos!$C$16,Datos!$D$16,IF(Evalucion!CY27=Datos!$C$17,Datos!$D$17,IF(Evalucion!CY27=Datos!$C$18,Datos!$D$18,IF(Evalucion!CY27=Datos!$C$19,Datos!$D$19,"=")))))</f>
        <v>5</v>
      </c>
      <c r="CY29">
        <f>IF(Evalucion!CZ27=Datos!$C$15,Datos!$D$15,IF(Evalucion!CZ27=Datos!$C$16,Datos!$D$16,IF(Evalucion!CZ27=Datos!$C$17,Datos!$D$17,IF(Evalucion!CZ27=Datos!$C$18,Datos!$D$18,IF(Evalucion!CZ27=Datos!$C$19,Datos!$D$19,"=")))))</f>
        <v>3</v>
      </c>
      <c r="CZ29">
        <f>IF(Evalucion!DA27=Datos!$C$15,Datos!$D$15,IF(Evalucion!DA27=Datos!$C$16,Datos!$D$16,IF(Evalucion!DA27=Datos!$C$17,Datos!$D$17,IF(Evalucion!DA27=Datos!$C$18,Datos!$D$18,IF(Evalucion!DA27=Datos!$C$19,Datos!$D$19,"=")))))</f>
        <v>5</v>
      </c>
      <c r="DA29">
        <f>IF(Evalucion!DB27=Datos!$C$15,Datos!$D$15,IF(Evalucion!DB27=Datos!$C$16,Datos!$D$16,IF(Evalucion!DB27=Datos!$C$17,Datos!$D$17,IF(Evalucion!DB27=Datos!$C$18,Datos!$D$18,IF(Evalucion!DB27=Datos!$C$19,Datos!$D$19,"=")))))</f>
        <v>3</v>
      </c>
      <c r="DB29">
        <f>IF(Evalucion!DC27=Datos!$C$15,Datos!$D$15,IF(Evalucion!DC27=Datos!$C$16,Datos!$D$16,IF(Evalucion!DC27=Datos!$C$17,Datos!$D$17,IF(Evalucion!DC27=Datos!$C$18,Datos!$D$18,IF(Evalucion!DC27=Datos!$C$19,Datos!$D$19,"=")))))</f>
        <v>5</v>
      </c>
      <c r="DC29">
        <f>IF(Evalucion!DD27=Datos!$C$15,Datos!$D$15,IF(Evalucion!DD27=Datos!$C$16,Datos!$D$16,IF(Evalucion!DD27=Datos!$C$17,Datos!$D$17,IF(Evalucion!DD27=Datos!$C$18,Datos!$D$18,IF(Evalucion!DD27=Datos!$C$19,Datos!$D$19,"=")))))</f>
        <v>5</v>
      </c>
      <c r="DD29">
        <f>IF(Evalucion!DE27=Datos!$C$15,Datos!$D$15,IF(Evalucion!DE27=Datos!$C$16,Datos!$D$16,IF(Evalucion!DE27=Datos!$C$17,Datos!$D$17,IF(Evalucion!DE27=Datos!$C$18,Datos!$D$18,IF(Evalucion!DE27=Datos!$C$19,Datos!$D$19,"=")))))</f>
        <v>5</v>
      </c>
      <c r="DE29">
        <f>IF(Evalucion!DF27=Datos!$C$15,Datos!$D$15,IF(Evalucion!DF27=Datos!$C$16,Datos!$D$16,IF(Evalucion!DF27=Datos!$C$17,Datos!$D$17,IF(Evalucion!DF27=Datos!$C$18,Datos!$D$18,IF(Evalucion!DF27=Datos!$C$19,Datos!$D$19,"=")))))</f>
        <v>5</v>
      </c>
      <c r="DF29">
        <f>IF(Evalucion!DG27=Datos!$C$15,Datos!$D$15,IF(Evalucion!DG27=Datos!$C$16,Datos!$D$16,IF(Evalucion!DG27=Datos!$C$17,Datos!$D$17,IF(Evalucion!DG27=Datos!$C$18,Datos!$D$18,IF(Evalucion!DG27=Datos!$C$19,Datos!$D$19,"=")))))</f>
        <v>5</v>
      </c>
      <c r="DG29">
        <f>IF(Evalucion!DH27=Datos!$C$15,Datos!$D$15,IF(Evalucion!DH27=Datos!$C$16,Datos!$D$16,IF(Evalucion!DH27=Datos!$C$17,Datos!$D$17,IF(Evalucion!DH27=Datos!$C$18,Datos!$D$18,IF(Evalucion!DH27=Datos!$C$19,Datos!$D$19,"=")))))</f>
        <v>5</v>
      </c>
      <c r="DH29">
        <f>IF(Evalucion!DI27=Datos!$C$15,Datos!$D$15,IF(Evalucion!DI27=Datos!$C$16,Datos!$D$16,IF(Evalucion!DI27=Datos!$C$17,Datos!$D$17,IF(Evalucion!DI27=Datos!$C$18,Datos!$D$18,IF(Evalucion!DI27=Datos!$C$19,Datos!$D$19,"=")))))</f>
        <v>5</v>
      </c>
      <c r="DI29">
        <f>IF(Evalucion!DJ27=Datos!$C$15,Datos!$D$15,IF(Evalucion!DJ27=Datos!$C$16,Datos!$D$16,IF(Evalucion!DJ27=Datos!$C$17,Datos!$D$17,IF(Evalucion!DJ27=Datos!$C$18,Datos!$D$18,IF(Evalucion!DJ27=Datos!$C$19,Datos!$D$19,"=")))))</f>
        <v>5</v>
      </c>
      <c r="DJ29">
        <f>IF(Evalucion!DK27=Datos!$C$15,Datos!$D$15,IF(Evalucion!DK27=Datos!$C$16,Datos!$D$16,IF(Evalucion!DK27=Datos!$C$17,Datos!$D$17,IF(Evalucion!DK27=Datos!$C$18,Datos!$D$18,IF(Evalucion!DK27=Datos!$C$19,Datos!$D$19,"=")))))</f>
        <v>5</v>
      </c>
      <c r="DK29">
        <f>IF(Evalucion!DL27=Datos!$C$15,Datos!$D$15,IF(Evalucion!DL27=Datos!$C$16,Datos!$D$16,IF(Evalucion!DL27=Datos!$C$17,Datos!$D$17,IF(Evalucion!DL27=Datos!$C$18,Datos!$D$18,IF(Evalucion!DL27=Datos!$C$19,Datos!$D$19,"=")))))</f>
        <v>5</v>
      </c>
      <c r="DL29">
        <f>IF(Evalucion!DM27=Datos!$C$15,Datos!$D$15,IF(Evalucion!DM27=Datos!$C$16,Datos!$D$16,IF(Evalucion!DM27=Datos!$C$17,Datos!$D$17,IF(Evalucion!DM27=Datos!$C$18,Datos!$D$18,IF(Evalucion!DM27=Datos!$C$19,Datos!$D$19,"=")))))</f>
        <v>5</v>
      </c>
      <c r="DM29">
        <f>IF(Evalucion!DN27=Datos!$C$15,Datos!$D$15,IF(Evalucion!DN27=Datos!$C$16,Datos!$D$16,IF(Evalucion!DN27=Datos!$C$17,Datos!$D$17,IF(Evalucion!DN27=Datos!$C$18,Datos!$D$18,IF(Evalucion!DN27=Datos!$C$19,Datos!$D$19,"=")))))</f>
        <v>5</v>
      </c>
      <c r="DN29">
        <f>IF(Evalucion!DO27=Datos!$C$15,Datos!$D$15,IF(Evalucion!DO27=Datos!$C$16,Datos!$D$16,IF(Evalucion!DO27=Datos!$C$17,Datos!$D$17,IF(Evalucion!DO27=Datos!$C$18,Datos!$D$18,IF(Evalucion!DO27=Datos!$C$19,Datos!$D$19,"=")))))</f>
        <v>5</v>
      </c>
      <c r="DO29">
        <f>IF(Evalucion!DP27=Datos!$C$15,Datos!$D$15,IF(Evalucion!DP27=Datos!$C$16,Datos!$D$16,IF(Evalucion!DP27=Datos!$C$17,Datos!$D$17,IF(Evalucion!DP27=Datos!$C$18,Datos!$D$18,IF(Evalucion!DP27=Datos!$C$19,Datos!$D$19,"=")))))</f>
        <v>5</v>
      </c>
      <c r="DP29">
        <f>IF(Evalucion!DQ27=Datos!$C$15,Datos!$D$15,IF(Evalucion!DQ27=Datos!$C$16,Datos!$D$16,IF(Evalucion!DQ27=Datos!$C$17,Datos!$D$17,IF(Evalucion!DQ27=Datos!$C$18,Datos!$D$18,IF(Evalucion!DQ27=Datos!$C$19,Datos!$D$19,"=")))))</f>
        <v>5</v>
      </c>
      <c r="DQ29">
        <f>IF(Evalucion!DR27=Datos!$C$15,Datos!$D$15,IF(Evalucion!DR27=Datos!$C$16,Datos!$D$16,IF(Evalucion!DR27=Datos!$C$17,Datos!$D$17,IF(Evalucion!DR27=Datos!$C$18,Datos!$D$18,IF(Evalucion!DR27=Datos!$C$19,Datos!$D$19,"=")))))</f>
        <v>5</v>
      </c>
      <c r="DR29">
        <f>IF(Evalucion!DS27=Datos!$C$15,Datos!$D$15,IF(Evalucion!DS27=Datos!$C$16,Datos!$D$16,IF(Evalucion!DS27=Datos!$C$17,Datos!$D$17,IF(Evalucion!DS27=Datos!$C$18,Datos!$D$18,IF(Evalucion!DS27=Datos!$C$19,Datos!$D$19,"=")))))</f>
        <v>5</v>
      </c>
      <c r="DS29">
        <f>IF(Evalucion!DT27=Datos!$C$15,Datos!$D$15,IF(Evalucion!DT27=Datos!$C$16,Datos!$D$16,IF(Evalucion!DT27=Datos!$C$17,Datos!$D$17,IF(Evalucion!DT27=Datos!$C$18,Datos!$D$18,IF(Evalucion!DT27=Datos!$C$19,Datos!$D$19,"=")))))</f>
        <v>3</v>
      </c>
      <c r="DT29">
        <f>IF(Evalucion!DU27=Datos!$C$15,Datos!$D$15,IF(Evalucion!DU27=Datos!$C$16,Datos!$D$16,IF(Evalucion!DU27=Datos!$C$17,Datos!$D$17,IF(Evalucion!DU27=Datos!$C$18,Datos!$D$18,IF(Evalucion!DU27=Datos!$C$19,Datos!$D$19,"=")))))</f>
        <v>5</v>
      </c>
      <c r="DU29">
        <f>IF(Evalucion!DV27=Datos!$C$15,Datos!$D$15,IF(Evalucion!DV27=Datos!$C$16,Datos!$D$16,IF(Evalucion!DV27=Datos!$C$17,Datos!$D$17,IF(Evalucion!DV27=Datos!$C$18,Datos!$D$18,IF(Evalucion!DV27=Datos!$C$19,Datos!$D$19,"=")))))</f>
        <v>3</v>
      </c>
      <c r="DV29">
        <f>IF(Evalucion!DW27=Datos!$C$15,Datos!$D$15,IF(Evalucion!DW27=Datos!$C$16,Datos!$D$16,IF(Evalucion!DW27=Datos!$C$17,Datos!$D$17,IF(Evalucion!DW27=Datos!$C$18,Datos!$D$18,IF(Evalucion!DW27=Datos!$C$19,Datos!$D$19,"=")))))</f>
        <v>5</v>
      </c>
      <c r="DW29">
        <f>IF(Evalucion!DX27=Datos!$C$15,Datos!$D$15,IF(Evalucion!DX27=Datos!$C$16,Datos!$D$16,IF(Evalucion!DX27=Datos!$C$17,Datos!$D$17,IF(Evalucion!DX27=Datos!$C$18,Datos!$D$18,IF(Evalucion!DX27=Datos!$C$19,Datos!$D$19,"=")))))</f>
        <v>3</v>
      </c>
      <c r="DX29">
        <f>IF(Evalucion!DY27=Datos!$C$15,Datos!$D$15,IF(Evalucion!DY27=Datos!$C$16,Datos!$D$16,IF(Evalucion!DY27=Datos!$C$17,Datos!$D$17,IF(Evalucion!DY27=Datos!$C$18,Datos!$D$18,IF(Evalucion!DY27=Datos!$C$19,Datos!$D$19,"=")))))</f>
        <v>5</v>
      </c>
      <c r="DY29">
        <f>IF(Evalucion!DZ27=Datos!$C$15,Datos!$D$15,IF(Evalucion!DZ27=Datos!$C$16,Datos!$D$16,IF(Evalucion!DZ27=Datos!$C$17,Datos!$D$17,IF(Evalucion!DZ27=Datos!$C$18,Datos!$D$18,IF(Evalucion!DZ27=Datos!$C$19,Datos!$D$19,"=")))))</f>
        <v>5</v>
      </c>
      <c r="DZ29">
        <f>IF(Evalucion!EA27=Datos!$C$15,Datos!$D$15,IF(Evalucion!EA27=Datos!$C$16,Datos!$D$16,IF(Evalucion!EA27=Datos!$C$17,Datos!$D$17,IF(Evalucion!EA27=Datos!$C$18,Datos!$D$18,IF(Evalucion!EA27=Datos!$C$19,Datos!$D$19,"=")))))</f>
        <v>5</v>
      </c>
      <c r="EA29">
        <f>IF(Evalucion!EB27=Datos!$C$15,Datos!$D$15,IF(Evalucion!EB27=Datos!$C$16,Datos!$D$16,IF(Evalucion!EB27=Datos!$C$17,Datos!$D$17,IF(Evalucion!EB27=Datos!$C$18,Datos!$D$18,IF(Evalucion!EB27=Datos!$C$19,Datos!$D$19,"=")))))</f>
        <v>5</v>
      </c>
      <c r="EB29">
        <f>IF(Evalucion!EC27=Datos!$C$15,Datos!$D$15,IF(Evalucion!EC27=Datos!$C$16,Datos!$D$16,IF(Evalucion!EC27=Datos!$C$17,Datos!$D$17,IF(Evalucion!EC27=Datos!$C$18,Datos!$D$18,IF(Evalucion!EC27=Datos!$C$19,Datos!$D$19,"=")))))</f>
        <v>5</v>
      </c>
      <c r="EC29">
        <f>IF(Evalucion!ED27=Datos!$C$15,Datos!$D$15,IF(Evalucion!ED27=Datos!$C$16,Datos!$D$16,IF(Evalucion!ED27=Datos!$C$17,Datos!$D$17,IF(Evalucion!ED27=Datos!$C$18,Datos!$D$18,IF(Evalucion!ED27=Datos!$C$19,Datos!$D$19,"=")))))</f>
        <v>5</v>
      </c>
      <c r="ED29">
        <f>IF(Evalucion!EE27=Datos!$C$15,Datos!$D$15,IF(Evalucion!EE27=Datos!$C$16,Datos!$D$16,IF(Evalucion!EE27=Datos!$C$17,Datos!$D$17,IF(Evalucion!EE27=Datos!$C$18,Datos!$D$18,IF(Evalucion!EE27=Datos!$C$19,Datos!$D$19,"=")))))</f>
        <v>5</v>
      </c>
      <c r="EE29">
        <f>IF(Evalucion!EF27=Datos!$C$15,Datos!$D$15,IF(Evalucion!EF27=Datos!$C$16,Datos!$D$16,IF(Evalucion!EF27=Datos!$C$17,Datos!$D$17,IF(Evalucion!EF27=Datos!$C$18,Datos!$D$18,IF(Evalucion!EF27=Datos!$C$19,Datos!$D$19,"=")))))</f>
        <v>5</v>
      </c>
      <c r="EF29">
        <f>IF(Evalucion!EG27=Datos!$C$15,Datos!$D$15,IF(Evalucion!EG27=Datos!$C$16,Datos!$D$16,IF(Evalucion!EG27=Datos!$C$17,Datos!$D$17,IF(Evalucion!EG27=Datos!$C$18,Datos!$D$18,IF(Evalucion!EG27=Datos!$C$19,Datos!$D$19,"=")))))</f>
        <v>5</v>
      </c>
      <c r="EG29">
        <f>IF(Evalucion!EH27=Datos!$C$15,Datos!$D$15,IF(Evalucion!EH27=Datos!$C$16,Datos!$D$16,IF(Evalucion!EH27=Datos!$C$17,Datos!$D$17,IF(Evalucion!EH27=Datos!$C$18,Datos!$D$18,IF(Evalucion!EH27=Datos!$C$19,Datos!$D$19,"=")))))</f>
        <v>5</v>
      </c>
      <c r="EH29">
        <f>IF(Evalucion!EI27=Datos!$C$15,Datos!$D$15,IF(Evalucion!EI27=Datos!$C$16,Datos!$D$16,IF(Evalucion!EI27=Datos!$C$17,Datos!$D$17,IF(Evalucion!EI27=Datos!$C$18,Datos!$D$18,IF(Evalucion!EI27=Datos!$C$19,Datos!$D$19,"=")))))</f>
        <v>5</v>
      </c>
      <c r="EI29">
        <f>IF(Evalucion!EJ27=Datos!$C$15,Datos!$D$15,IF(Evalucion!EJ27=Datos!$C$16,Datos!$D$16,IF(Evalucion!EJ27=Datos!$C$17,Datos!$D$17,IF(Evalucion!EJ27=Datos!$C$18,Datos!$D$18,IF(Evalucion!EJ27=Datos!$C$19,Datos!$D$19,"=")))))</f>
        <v>5</v>
      </c>
      <c r="EJ29">
        <f>IF(Evalucion!EK27=Datos!$C$15,Datos!$D$15,IF(Evalucion!EK27=Datos!$C$16,Datos!$D$16,IF(Evalucion!EK27=Datos!$C$17,Datos!$D$17,IF(Evalucion!EK27=Datos!$C$18,Datos!$D$18,IF(Evalucion!EK27=Datos!$C$19,Datos!$D$19,"=")))))</f>
        <v>5</v>
      </c>
      <c r="EK29">
        <f>IF(Evalucion!EL27=Datos!$C$15,Datos!$D$15,IF(Evalucion!EL27=Datos!$C$16,Datos!$D$16,IF(Evalucion!EL27=Datos!$C$17,Datos!$D$17,IF(Evalucion!EL27=Datos!$C$18,Datos!$D$18,IF(Evalucion!EL27=Datos!$C$19,Datos!$D$19,"=")))))</f>
        <v>5</v>
      </c>
      <c r="EL29">
        <f>IF(Evalucion!EM27=Datos!$C$15,Datos!$D$15,IF(Evalucion!EM27=Datos!$C$16,Datos!$D$16,IF(Evalucion!EM27=Datos!$C$17,Datos!$D$17,IF(Evalucion!EM27=Datos!$C$18,Datos!$D$18,IF(Evalucion!EM27=Datos!$C$19,Datos!$D$19,"=")))))</f>
        <v>5</v>
      </c>
      <c r="EM29">
        <f>IF(Evalucion!EN27=Datos!$C$15,Datos!$D$15,IF(Evalucion!EN27=Datos!$C$16,Datos!$D$16,IF(Evalucion!EN27=Datos!$C$17,Datos!$D$17,IF(Evalucion!EN27=Datos!$C$18,Datos!$D$18,IF(Evalucion!EN27=Datos!$C$19,Datos!$D$19,"=")))))</f>
        <v>5</v>
      </c>
      <c r="EN29">
        <f>IF(Evalucion!EO27=Datos!$C$15,Datos!$D$15,IF(Evalucion!EO27=Datos!$C$16,Datos!$D$16,IF(Evalucion!EO27=Datos!$C$17,Datos!$D$17,IF(Evalucion!EO27=Datos!$C$18,Datos!$D$18,IF(Evalucion!EO27=Datos!$C$19,Datos!$D$19,"=")))))</f>
        <v>5</v>
      </c>
      <c r="EO29">
        <f>IF(Evalucion!EP27=Datos!$C$15,Datos!$D$15,IF(Evalucion!EP27=Datos!$C$16,Datos!$D$16,IF(Evalucion!EP27=Datos!$C$17,Datos!$D$17,IF(Evalucion!EP27=Datos!$C$18,Datos!$D$18,IF(Evalucion!EP27=Datos!$C$19,Datos!$D$19,"=")))))</f>
        <v>5</v>
      </c>
      <c r="EP29">
        <f>IF(Evalucion!EQ27=Datos!$C$15,Datos!$D$15,IF(Evalucion!EQ27=Datos!$C$16,Datos!$D$16,IF(Evalucion!EQ27=Datos!$C$17,Datos!$D$17,IF(Evalucion!EQ27=Datos!$C$18,Datos!$D$18,IF(Evalucion!EQ27=Datos!$C$19,Datos!$D$19,"=")))))</f>
        <v>5</v>
      </c>
      <c r="EQ29">
        <f>IF(Evalucion!ER27=Datos!$C$15,Datos!$D$15,IF(Evalucion!ER27=Datos!$C$16,Datos!$D$16,IF(Evalucion!ER27=Datos!$C$17,Datos!$D$17,IF(Evalucion!ER27=Datos!$C$18,Datos!$D$18,IF(Evalucion!ER27=Datos!$C$19,Datos!$D$19,"=")))))</f>
        <v>5</v>
      </c>
      <c r="ER29">
        <f>IF(Evalucion!ES27=Datos!$C$15,Datos!$D$15,IF(Evalucion!ES27=Datos!$C$16,Datos!$D$16,IF(Evalucion!ES27=Datos!$C$17,Datos!$D$17,IF(Evalucion!ES27=Datos!$C$18,Datos!$D$18,IF(Evalucion!ES27=Datos!$C$19,Datos!$D$19,"=")))))</f>
        <v>5</v>
      </c>
      <c r="ES29">
        <f>IF(Evalucion!ET27=Datos!$C$15,Datos!$D$15,IF(Evalucion!ET27=Datos!$C$16,Datos!$D$16,IF(Evalucion!ET27=Datos!$C$17,Datos!$D$17,IF(Evalucion!ET27=Datos!$C$18,Datos!$D$18,IF(Evalucion!ET27=Datos!$C$19,Datos!$D$19,"=")))))</f>
        <v>5</v>
      </c>
      <c r="ET29">
        <f>IF(Evalucion!EU27=Datos!$C$15,Datos!$D$15,IF(Evalucion!EU27=Datos!$C$16,Datos!$D$16,IF(Evalucion!EU27=Datos!$C$17,Datos!$D$17,IF(Evalucion!EU27=Datos!$C$18,Datos!$D$18,IF(Evalucion!EU27=Datos!$C$19,Datos!$D$19,"=")))))</f>
        <v>5</v>
      </c>
      <c r="EU29">
        <f>IF(Evalucion!EV27=Datos!$C$15,Datos!$D$15,IF(Evalucion!EV27=Datos!$C$16,Datos!$D$16,IF(Evalucion!EV27=Datos!$C$17,Datos!$D$17,IF(Evalucion!EV27=Datos!$C$18,Datos!$D$18,IF(Evalucion!EV27=Datos!$C$19,Datos!$D$19,"=")))))</f>
        <v>1</v>
      </c>
      <c r="EV29">
        <f>IF(Evalucion!EW27=Datos!$C$15,Datos!$D$15,IF(Evalucion!EW27=Datos!$C$16,Datos!$D$16,IF(Evalucion!EW27=Datos!$C$17,Datos!$D$17,IF(Evalucion!EW27=Datos!$C$18,Datos!$D$18,IF(Evalucion!EW27=Datos!$C$19,Datos!$D$19,"=")))))</f>
        <v>5</v>
      </c>
      <c r="EW29">
        <f>IF(Evalucion!EX27=Datos!$C$15,Datos!$D$15,IF(Evalucion!EX27=Datos!$C$16,Datos!$D$16,IF(Evalucion!EX27=Datos!$C$17,Datos!$D$17,IF(Evalucion!EX27=Datos!$C$18,Datos!$D$18,IF(Evalucion!EX27=Datos!$C$19,Datos!$D$19,"=")))))</f>
        <v>5</v>
      </c>
      <c r="EX29">
        <f>IF(Evalucion!EY27=Datos!$C$15,Datos!$D$15,IF(Evalucion!EY27=Datos!$C$16,Datos!$D$16,IF(Evalucion!EY27=Datos!$C$17,Datos!$D$17,IF(Evalucion!EY27=Datos!$C$18,Datos!$D$18,IF(Evalucion!EY27=Datos!$C$19,Datos!$D$19,"=")))))</f>
        <v>5</v>
      </c>
      <c r="EY29">
        <f>IF(Evalucion!EZ27=Datos!$C$15,Datos!$D$15,IF(Evalucion!EZ27=Datos!$C$16,Datos!$D$16,IF(Evalucion!EZ27=Datos!$C$17,Datos!$D$17,IF(Evalucion!EZ27=Datos!$C$18,Datos!$D$18,IF(Evalucion!EZ27=Datos!$C$19,Datos!$D$19,"=")))))</f>
        <v>5</v>
      </c>
      <c r="FA29">
        <f t="shared" si="8"/>
        <v>355</v>
      </c>
      <c r="FB29">
        <f t="shared" si="8"/>
        <v>327</v>
      </c>
      <c r="FC29" s="3">
        <f t="shared" si="4"/>
        <v>0.872</v>
      </c>
      <c r="FD29" t="str">
        <f t="shared" si="0"/>
        <v>Conf_CR</v>
      </c>
      <c r="FF29">
        <f t="shared" si="5"/>
        <v>682</v>
      </c>
      <c r="FG29">
        <f t="shared" si="6"/>
        <v>0</v>
      </c>
    </row>
    <row r="30" spans="1:163" x14ac:dyDescent="0.2">
      <c r="A30">
        <f t="shared" si="7"/>
        <v>27</v>
      </c>
      <c r="B30" t="s">
        <v>271</v>
      </c>
      <c r="C30" t="s">
        <v>192</v>
      </c>
      <c r="D30" s="6">
        <v>42691</v>
      </c>
      <c r="E30">
        <f>IF(Evalucion!F28=Datos!$C$15,Datos!$D$15,IF(Evalucion!F28=Datos!$C$16,Datos!$D$16,IF(Evalucion!F28=Datos!$C$17,Datos!$D$17,IF(Evalucion!F28=Datos!$C$18,Datos!$D$18,IF(Evalucion!F28=Datos!$C$19,Datos!$D$19,"=")))))</f>
        <v>5</v>
      </c>
      <c r="F30">
        <f>IF(Evalucion!G28=Datos!$C$15,Datos!$D$15,IF(Evalucion!G28=Datos!$C$16,Datos!$D$16,IF(Evalucion!G28=Datos!$C$17,Datos!$D$17,IF(Evalucion!G28=Datos!$C$18,Datos!$D$18,IF(Evalucion!G28=Datos!$C$19,Datos!$D$19,"=")))))</f>
        <v>5</v>
      </c>
      <c r="G30">
        <f>IF(Evalucion!H28=Datos!$C$15,Datos!$D$15,IF(Evalucion!H28=Datos!$C$16,Datos!$D$16,IF(Evalucion!H28=Datos!$C$17,Datos!$D$17,IF(Evalucion!H28=Datos!$C$18,Datos!$D$18,IF(Evalucion!H28=Datos!$C$19,Datos!$D$19,"=")))))</f>
        <v>5</v>
      </c>
      <c r="H30">
        <f>IF(Evalucion!I28=Datos!$C$15,Datos!$D$15,IF(Evalucion!I28=Datos!$C$16,Datos!$D$16,IF(Evalucion!I28=Datos!$C$17,Datos!$D$17,IF(Evalucion!I28=Datos!$C$18,Datos!$D$18,IF(Evalucion!I28=Datos!$C$19,Datos!$D$19,"=")))))</f>
        <v>5</v>
      </c>
      <c r="I30">
        <f>IF(Evalucion!J28=Datos!$C$15,Datos!$D$15,IF(Evalucion!J28=Datos!$C$16,Datos!$D$16,IF(Evalucion!J28=Datos!$C$17,Datos!$D$17,IF(Evalucion!J28=Datos!$C$18,Datos!$D$18,IF(Evalucion!J28=Datos!$C$19,Datos!$D$19,"=")))))</f>
        <v>5</v>
      </c>
      <c r="J30">
        <f>IF(Evalucion!K28=Datos!$C$15,Datos!$D$15,IF(Evalucion!K28=Datos!$C$16,Datos!$D$16,IF(Evalucion!K28=Datos!$C$17,Datos!$D$17,IF(Evalucion!K28=Datos!$C$18,Datos!$D$18,IF(Evalucion!K28=Datos!$C$19,Datos!$D$19,"=")))))</f>
        <v>5</v>
      </c>
      <c r="K30">
        <f>IF(Evalucion!L28=Datos!$C$15,Datos!$D$15,IF(Evalucion!L28=Datos!$C$16,Datos!$D$16,IF(Evalucion!L28=Datos!$C$17,Datos!$D$17,IF(Evalucion!L28=Datos!$C$18,Datos!$D$18,IF(Evalucion!L28=Datos!$C$19,Datos!$D$19,"=")))))</f>
        <v>5</v>
      </c>
      <c r="L30">
        <f>IF(Evalucion!M28=Datos!$C$15,Datos!$D$15,IF(Evalucion!M28=Datos!$C$16,Datos!$D$16,IF(Evalucion!M28=Datos!$C$17,Datos!$D$17,IF(Evalucion!M28=Datos!$C$18,Datos!$D$18,IF(Evalucion!M28=Datos!$C$19,Datos!$D$19,"=")))))</f>
        <v>5</v>
      </c>
      <c r="M30">
        <f>IF(Evalucion!N28=Datos!$C$15,Datos!$D$15,IF(Evalucion!N28=Datos!$C$16,Datos!$D$16,IF(Evalucion!N28=Datos!$C$17,Datos!$D$17,IF(Evalucion!N28=Datos!$C$18,Datos!$D$18,IF(Evalucion!N28=Datos!$C$19,Datos!$D$19,"=")))))</f>
        <v>5</v>
      </c>
      <c r="N30">
        <f>IF(Evalucion!O28=Datos!$C$15,Datos!$D$15,IF(Evalucion!O28=Datos!$C$16,Datos!$D$16,IF(Evalucion!O28=Datos!$C$17,Datos!$D$17,IF(Evalucion!O28=Datos!$C$18,Datos!$D$18,IF(Evalucion!O28=Datos!$C$19,Datos!$D$19,"=")))))</f>
        <v>5</v>
      </c>
      <c r="O30">
        <f>IF(Evalucion!P28=Datos!$C$15,Datos!$D$15,IF(Evalucion!P28=Datos!$C$16,Datos!$D$16,IF(Evalucion!P28=Datos!$C$17,Datos!$D$17,IF(Evalucion!P28=Datos!$C$18,Datos!$D$18,IF(Evalucion!P28=Datos!$C$19,Datos!$D$19,"=")))))</f>
        <v>5</v>
      </c>
      <c r="P30">
        <f>IF(Evalucion!Q28=Datos!$C$15,Datos!$D$15,IF(Evalucion!Q28=Datos!$C$16,Datos!$D$16,IF(Evalucion!Q28=Datos!$C$17,Datos!$D$17,IF(Evalucion!Q28=Datos!$C$18,Datos!$D$18,IF(Evalucion!Q28=Datos!$C$19,Datos!$D$19,"=")))))</f>
        <v>5</v>
      </c>
      <c r="Q30">
        <f>IF(Evalucion!R28=Datos!$C$15,Datos!$D$15,IF(Evalucion!R28=Datos!$C$16,Datos!$D$16,IF(Evalucion!R28=Datos!$C$17,Datos!$D$17,IF(Evalucion!R28=Datos!$C$18,Datos!$D$18,IF(Evalucion!R28=Datos!$C$19,Datos!$D$19,"=")))))</f>
        <v>5</v>
      </c>
      <c r="R30">
        <f>IF(Evalucion!S28=Datos!$C$15,Datos!$D$15,IF(Evalucion!S28=Datos!$C$16,Datos!$D$16,IF(Evalucion!S28=Datos!$C$17,Datos!$D$17,IF(Evalucion!S28=Datos!$C$18,Datos!$D$18,IF(Evalucion!S28=Datos!$C$19,Datos!$D$19,"=")))))</f>
        <v>5</v>
      </c>
      <c r="S30">
        <f>IF(Evalucion!T28=Datos!$C$15,Datos!$D$15,IF(Evalucion!T28=Datos!$C$16,Datos!$D$16,IF(Evalucion!T28=Datos!$C$17,Datos!$D$17,IF(Evalucion!T28=Datos!$C$18,Datos!$D$18,IF(Evalucion!T28=Datos!$C$19,Datos!$D$19,"=")))))</f>
        <v>5</v>
      </c>
      <c r="T30">
        <f>IF(Evalucion!U28=Datos!$C$15,Datos!$D$15,IF(Evalucion!U28=Datos!$C$16,Datos!$D$16,IF(Evalucion!U28=Datos!$C$17,Datos!$D$17,IF(Evalucion!U28=Datos!$C$18,Datos!$D$18,IF(Evalucion!U28=Datos!$C$19,Datos!$D$19,"=")))))</f>
        <v>5</v>
      </c>
      <c r="U30">
        <f>IF(Evalucion!V28=Datos!$C$15,Datos!$D$15,IF(Evalucion!V28=Datos!$C$16,Datos!$D$16,IF(Evalucion!V28=Datos!$C$17,Datos!$D$17,IF(Evalucion!V28=Datos!$C$18,Datos!$D$18,IF(Evalucion!V28=Datos!$C$19,Datos!$D$19,"=")))))</f>
        <v>5</v>
      </c>
      <c r="V30">
        <f>IF(Evalucion!W28=Datos!$C$15,Datos!$D$15,IF(Evalucion!W28=Datos!$C$16,Datos!$D$16,IF(Evalucion!W28=Datos!$C$17,Datos!$D$17,IF(Evalucion!W28=Datos!$C$18,Datos!$D$18,IF(Evalucion!W28=Datos!$C$19,Datos!$D$19,"=")))))</f>
        <v>5</v>
      </c>
      <c r="W30">
        <f>IF(Evalucion!X28=Datos!$C$15,Datos!$D$15,IF(Evalucion!X28=Datos!$C$16,Datos!$D$16,IF(Evalucion!X28=Datos!$C$17,Datos!$D$17,IF(Evalucion!X28=Datos!$C$18,Datos!$D$18,IF(Evalucion!X28=Datos!$C$19,Datos!$D$19,"=")))))</f>
        <v>5</v>
      </c>
      <c r="X30">
        <f>IF(Evalucion!Y28=Datos!$C$15,Datos!$D$15,IF(Evalucion!Y28=Datos!$C$16,Datos!$D$16,IF(Evalucion!Y28=Datos!$C$17,Datos!$D$17,IF(Evalucion!Y28=Datos!$C$18,Datos!$D$18,IF(Evalucion!Y28=Datos!$C$19,Datos!$D$19,"=")))))</f>
        <v>5</v>
      </c>
      <c r="Y30">
        <f>IF(Evalucion!Z28=Datos!$C$15,Datos!$D$15,IF(Evalucion!Z28=Datos!$C$16,Datos!$D$16,IF(Evalucion!Z28=Datos!$C$17,Datos!$D$17,IF(Evalucion!Z28=Datos!$C$18,Datos!$D$18,IF(Evalucion!Z28=Datos!$C$19,Datos!$D$19,"=")))))</f>
        <v>5</v>
      </c>
      <c r="Z30">
        <f>IF(Evalucion!AA28=Datos!$C$15,Datos!$D$15,IF(Evalucion!AA28=Datos!$C$16,Datos!$D$16,IF(Evalucion!AA28=Datos!$C$17,Datos!$D$17,IF(Evalucion!AA28=Datos!$C$18,Datos!$D$18,IF(Evalucion!AA28=Datos!$C$19,Datos!$D$19,"=")))))</f>
        <v>5</v>
      </c>
      <c r="AA30">
        <f>IF(Evalucion!AB28=Datos!$C$15,Datos!$D$15,IF(Evalucion!AB28=Datos!$C$16,Datos!$D$16,IF(Evalucion!AB28=Datos!$C$17,Datos!$D$17,IF(Evalucion!AB28=Datos!$C$18,Datos!$D$18,IF(Evalucion!AB28=Datos!$C$19,Datos!$D$19,"=")))))</f>
        <v>5</v>
      </c>
      <c r="AB30">
        <f>IF(Evalucion!AC28=Datos!$C$15,Datos!$D$15,IF(Evalucion!AC28=Datos!$C$16,Datos!$D$16,IF(Evalucion!AC28=Datos!$C$17,Datos!$D$17,IF(Evalucion!AC28=Datos!$C$18,Datos!$D$18,IF(Evalucion!AC28=Datos!$C$19,Datos!$D$19,"=")))))</f>
        <v>5</v>
      </c>
      <c r="AC30">
        <f>IF(Evalucion!AD28=Datos!$C$15,Datos!$D$15,IF(Evalucion!AD28=Datos!$C$16,Datos!$D$16,IF(Evalucion!AD28=Datos!$C$17,Datos!$D$17,IF(Evalucion!AD28=Datos!$C$18,Datos!$D$18,IF(Evalucion!AD28=Datos!$C$19,Datos!$D$19,"=")))))</f>
        <v>5</v>
      </c>
      <c r="AD30">
        <f>IF(Evalucion!AE28=Datos!$C$15,Datos!$D$15,IF(Evalucion!AE28=Datos!$C$16,Datos!$D$16,IF(Evalucion!AE28=Datos!$C$17,Datos!$D$17,IF(Evalucion!AE28=Datos!$C$18,Datos!$D$18,IF(Evalucion!AE28=Datos!$C$19,Datos!$D$19,"=")))))</f>
        <v>5</v>
      </c>
      <c r="AE30">
        <f>IF(Evalucion!AF28=Datos!$C$15,Datos!$D$15,IF(Evalucion!AF28=Datos!$C$16,Datos!$D$16,IF(Evalucion!AF28=Datos!$C$17,Datos!$D$17,IF(Evalucion!AF28=Datos!$C$18,Datos!$D$18,IF(Evalucion!AF28=Datos!$C$19,Datos!$D$19,"=")))))</f>
        <v>5</v>
      </c>
      <c r="AF30">
        <f>IF(Evalucion!AG28=Datos!$C$15,Datos!$D$15,IF(Evalucion!AG28=Datos!$C$16,Datos!$D$16,IF(Evalucion!AG28=Datos!$C$17,Datos!$D$17,IF(Evalucion!AG28=Datos!$C$18,Datos!$D$18,IF(Evalucion!AG28=Datos!$C$19,Datos!$D$19,"=")))))</f>
        <v>5</v>
      </c>
      <c r="AO30">
        <f>IF(Evalucion!AP28=Datos!$C$15,Datos!$D$15,IF(Evalucion!AP28=Datos!$C$16,Datos!$D$16,IF(Evalucion!AP28=Datos!$C$17,Datos!$D$17,IF(Evalucion!AP28=Datos!$C$18,Datos!$D$18,IF(Evalucion!AP28=Datos!$C$19,Datos!$D$19,"=")))))</f>
        <v>5</v>
      </c>
      <c r="AP30">
        <f>IF(Evalucion!AQ28=Datos!$C$15,Datos!$D$15,IF(Evalucion!AQ28=Datos!$C$16,Datos!$D$16,IF(Evalucion!AQ28=Datos!$C$17,Datos!$D$17,IF(Evalucion!AQ28=Datos!$C$18,Datos!$D$18,IF(Evalucion!AQ28=Datos!$C$19,Datos!$D$19,"=")))))</f>
        <v>5</v>
      </c>
      <c r="AQ30">
        <f>IF(Evalucion!AR28=Datos!$C$15,Datos!$D$15,IF(Evalucion!AR28=Datos!$C$16,Datos!$D$16,IF(Evalucion!AR28=Datos!$C$17,Datos!$D$17,IF(Evalucion!AR28=Datos!$C$18,Datos!$D$18,IF(Evalucion!AR28=Datos!$C$19,Datos!$D$19,"=")))))</f>
        <v>5</v>
      </c>
      <c r="AR30">
        <f>IF(Evalucion!AS28=Datos!$C$15,Datos!$D$15,IF(Evalucion!AS28=Datos!$C$16,Datos!$D$16,IF(Evalucion!AS28=Datos!$C$17,Datos!$D$17,IF(Evalucion!AS28=Datos!$C$18,Datos!$D$18,IF(Evalucion!AS28=Datos!$C$19,Datos!$D$19,"=")))))</f>
        <v>1</v>
      </c>
      <c r="AS30">
        <f>IF(Evalucion!AT28=Datos!$C$15,Datos!$D$15,IF(Evalucion!AT28=Datos!$C$16,Datos!$D$16,IF(Evalucion!AT28=Datos!$C$17,Datos!$D$17,IF(Evalucion!AT28=Datos!$C$18,Datos!$D$18,IF(Evalucion!AT28=Datos!$C$19,Datos!$D$19,"=")))))</f>
        <v>5</v>
      </c>
      <c r="AT30">
        <f>IF(Evalucion!AU28=Datos!$C$15,Datos!$D$15,IF(Evalucion!AU28=Datos!$C$16,Datos!$D$16,IF(Evalucion!AU28=Datos!$C$17,Datos!$D$17,IF(Evalucion!AU28=Datos!$C$18,Datos!$D$18,IF(Evalucion!AU28=Datos!$C$19,Datos!$D$19,"=")))))</f>
        <v>5</v>
      </c>
      <c r="AV30">
        <f>IF(Evalucion!AW28=Datos!$C$15,Datos!$D$15,IF(Evalucion!AW28=Datos!$C$16,Datos!$D$16,IF(Evalucion!AW28=Datos!$C$17,Datos!$D$17,IF(Evalucion!AW28=Datos!$C$18,Datos!$D$18,IF(Evalucion!AW28=Datos!$C$19,Datos!$D$19,"=")))))</f>
        <v>5</v>
      </c>
      <c r="AW30">
        <f>IF(Evalucion!AX28=Datos!$C$15,Datos!$D$15,IF(Evalucion!AX28=Datos!$C$16,Datos!$D$16,IF(Evalucion!AX28=Datos!$C$17,Datos!$D$17,IF(Evalucion!AX28=Datos!$C$18,Datos!$D$18,IF(Evalucion!AX28=Datos!$C$19,Datos!$D$19,"=")))))</f>
        <v>5</v>
      </c>
      <c r="AX30">
        <f>IF(Evalucion!AY28=Datos!$C$15,Datos!$D$15,IF(Evalucion!AY28=Datos!$C$16,Datos!$D$16,IF(Evalucion!AY28=Datos!$C$17,Datos!$D$17,IF(Evalucion!AY28=Datos!$C$18,Datos!$D$18,IF(Evalucion!AY28=Datos!$C$19,Datos!$D$19,"=")))))</f>
        <v>5</v>
      </c>
      <c r="AY30">
        <f>IF(Evalucion!AZ28=Datos!$C$15,Datos!$D$15,IF(Evalucion!AZ28=Datos!$C$16,Datos!$D$16,IF(Evalucion!AZ28=Datos!$C$17,Datos!$D$17,IF(Evalucion!AZ28=Datos!$C$18,Datos!$D$18,IF(Evalucion!AZ28=Datos!$C$19,Datos!$D$19,"=")))))</f>
        <v>5</v>
      </c>
      <c r="AZ30">
        <f>IF(Evalucion!BA28=Datos!$C$15,Datos!$D$15,IF(Evalucion!BA28=Datos!$C$16,Datos!$D$16,IF(Evalucion!BA28=Datos!$C$17,Datos!$D$17,IF(Evalucion!BA28=Datos!$C$18,Datos!$D$18,IF(Evalucion!BA28=Datos!$C$19,Datos!$D$19,"=")))))</f>
        <v>5</v>
      </c>
      <c r="BA30">
        <f>IF(Evalucion!BB28=Datos!$C$15,Datos!$D$15,IF(Evalucion!BB28=Datos!$C$16,Datos!$D$16,IF(Evalucion!BB28=Datos!$C$17,Datos!$D$17,IF(Evalucion!BB28=Datos!$C$18,Datos!$D$18,IF(Evalucion!BB28=Datos!$C$19,Datos!$D$19,"=")))))</f>
        <v>5</v>
      </c>
      <c r="BB30">
        <f>IF(Evalucion!BC28=Datos!$C$15,Datos!$D$15,IF(Evalucion!BC28=Datos!$C$16,Datos!$D$16,IF(Evalucion!BC28=Datos!$C$17,Datos!$D$17,IF(Evalucion!BC28=Datos!$C$18,Datos!$D$18,IF(Evalucion!BC28=Datos!$C$19,Datos!$D$19,"=")))))</f>
        <v>5</v>
      </c>
      <c r="BC30">
        <f>IF(Evalucion!BD28=Datos!$C$15,Datos!$D$15,IF(Evalucion!BD28=Datos!$C$16,Datos!$D$16,IF(Evalucion!BD28=Datos!$C$17,Datos!$D$17,IF(Evalucion!BD28=Datos!$C$18,Datos!$D$18,IF(Evalucion!BD28=Datos!$C$19,Datos!$D$19,"=")))))</f>
        <v>5</v>
      </c>
      <c r="BD30">
        <f>IF(Evalucion!BE28=Datos!$C$15,Datos!$D$15,IF(Evalucion!BE28=Datos!$C$16,Datos!$D$16,IF(Evalucion!BE28=Datos!$C$17,Datos!$D$17,IF(Evalucion!BE28=Datos!$C$18,Datos!$D$18,IF(Evalucion!BE28=Datos!$C$19,Datos!$D$19,"=")))))</f>
        <v>5</v>
      </c>
      <c r="BE30">
        <f>IF(Evalucion!BF28=Datos!$C$15,Datos!$D$15,IF(Evalucion!BF28=Datos!$C$16,Datos!$D$16,IF(Evalucion!BF28=Datos!$C$17,Datos!$D$17,IF(Evalucion!BF28=Datos!$C$18,Datos!$D$18,IF(Evalucion!BF28=Datos!$C$19,Datos!$D$19,"=")))))</f>
        <v>5</v>
      </c>
      <c r="BF30">
        <f>IF(Evalucion!BG28=Datos!$C$15,Datos!$D$15,IF(Evalucion!BG28=Datos!$C$16,Datos!$D$16,IF(Evalucion!BG28=Datos!$C$17,Datos!$D$17,IF(Evalucion!BG28=Datos!$C$18,Datos!$D$18,IF(Evalucion!BG28=Datos!$C$19,Datos!$D$19,"=")))))</f>
        <v>5</v>
      </c>
      <c r="BG30">
        <f>IF(Evalucion!BH28=Datos!$C$15,Datos!$D$15,IF(Evalucion!BH28=Datos!$C$16,Datos!$D$16,IF(Evalucion!BH28=Datos!$C$17,Datos!$D$17,IF(Evalucion!BH28=Datos!$C$18,Datos!$D$18,IF(Evalucion!BH28=Datos!$C$19,Datos!$D$19,"=")))))</f>
        <v>5</v>
      </c>
      <c r="BH30">
        <f>IF(Evalucion!BI28=Datos!$C$15,Datos!$D$15,IF(Evalucion!BI28=Datos!$C$16,Datos!$D$16,IF(Evalucion!BI28=Datos!$C$17,Datos!$D$17,IF(Evalucion!BI28=Datos!$C$18,Datos!$D$18,IF(Evalucion!BI28=Datos!$C$19,Datos!$D$19,"=")))))</f>
        <v>5</v>
      </c>
      <c r="BI30">
        <f>IF(Evalucion!BJ28=Datos!$C$15,Datos!$D$15,IF(Evalucion!BJ28=Datos!$C$16,Datos!$D$16,IF(Evalucion!BJ28=Datos!$C$17,Datos!$D$17,IF(Evalucion!BJ28=Datos!$C$18,Datos!$D$18,IF(Evalucion!BJ28=Datos!$C$19,Datos!$D$19,"=")))))</f>
        <v>5</v>
      </c>
      <c r="BJ30">
        <f>IF(Evalucion!BK28=Datos!$C$15,Datos!$D$15,IF(Evalucion!BK28=Datos!$C$16,Datos!$D$16,IF(Evalucion!BK28=Datos!$C$17,Datos!$D$17,IF(Evalucion!BK28=Datos!$C$18,Datos!$D$18,IF(Evalucion!BK28=Datos!$C$19,Datos!$D$19,"=")))))</f>
        <v>5</v>
      </c>
      <c r="BK30">
        <f>IF(Evalucion!BL28=Datos!$C$15,Datos!$D$15,IF(Evalucion!BL28=Datos!$C$16,Datos!$D$16,IF(Evalucion!BL28=Datos!$C$17,Datos!$D$17,IF(Evalucion!BL28=Datos!$C$18,Datos!$D$18,IF(Evalucion!BL28=Datos!$C$19,Datos!$D$19,"=")))))</f>
        <v>5</v>
      </c>
      <c r="BL30">
        <f>IF(Evalucion!BM28=Datos!$C$15,Datos!$D$15,IF(Evalucion!BM28=Datos!$C$16,Datos!$D$16,IF(Evalucion!BM28=Datos!$C$17,Datos!$D$17,IF(Evalucion!BM28=Datos!$C$18,Datos!$D$18,IF(Evalucion!BM28=Datos!$C$19,Datos!$D$19,"=")))))</f>
        <v>5</v>
      </c>
      <c r="BM30">
        <f>IF(Evalucion!BN28=Datos!$C$15,Datos!$D$15,IF(Evalucion!BN28=Datos!$C$16,Datos!$D$16,IF(Evalucion!BN28=Datos!$C$17,Datos!$D$17,IF(Evalucion!BN28=Datos!$C$18,Datos!$D$18,IF(Evalucion!BN28=Datos!$C$19,Datos!$D$19,"=")))))</f>
        <v>5</v>
      </c>
      <c r="BN30">
        <f>IF(Evalucion!BO28=Datos!$C$15,Datos!$D$15,IF(Evalucion!BO28=Datos!$C$16,Datos!$D$16,IF(Evalucion!BO28=Datos!$C$17,Datos!$D$17,IF(Evalucion!BO28=Datos!$C$18,Datos!$D$18,IF(Evalucion!BO28=Datos!$C$19,Datos!$D$19,"=")))))</f>
        <v>5</v>
      </c>
      <c r="BO30">
        <f>IF(Evalucion!BP28=Datos!$C$15,Datos!$D$15,IF(Evalucion!BP28=Datos!$C$16,Datos!$D$16,IF(Evalucion!BP28=Datos!$C$17,Datos!$D$17,IF(Evalucion!BP28=Datos!$C$18,Datos!$D$18,IF(Evalucion!BP28=Datos!$C$19,Datos!$D$19,"=")))))</f>
        <v>5</v>
      </c>
      <c r="BP30">
        <f>IF(Evalucion!BQ28=Datos!$C$15,Datos!$D$15,IF(Evalucion!BQ28=Datos!$C$16,Datos!$D$16,IF(Evalucion!BQ28=Datos!$C$17,Datos!$D$17,IF(Evalucion!BQ28=Datos!$C$18,Datos!$D$18,IF(Evalucion!BQ28=Datos!$C$19,Datos!$D$19,"=")))))</f>
        <v>5</v>
      </c>
      <c r="BQ30">
        <f>IF(Evalucion!BR28=Datos!$C$15,Datos!$D$15,IF(Evalucion!BR28=Datos!$C$16,Datos!$D$16,IF(Evalucion!BR28=Datos!$C$17,Datos!$D$17,IF(Evalucion!BR28=Datos!$C$18,Datos!$D$18,IF(Evalucion!BR28=Datos!$C$19,Datos!$D$19,"=")))))</f>
        <v>5</v>
      </c>
      <c r="BR30">
        <f>IF(Evalucion!BS28=Datos!$C$15,Datos!$D$15,IF(Evalucion!BS28=Datos!$C$16,Datos!$D$16,IF(Evalucion!BS28=Datos!$C$17,Datos!$D$17,IF(Evalucion!BS28=Datos!$C$18,Datos!$D$18,IF(Evalucion!BS28=Datos!$C$19,Datos!$D$19,"=")))))</f>
        <v>5</v>
      </c>
      <c r="BS30">
        <f>IF(Evalucion!BT28=Datos!$C$15,Datos!$D$15,IF(Evalucion!BT28=Datos!$C$16,Datos!$D$16,IF(Evalucion!BT28=Datos!$C$17,Datos!$D$17,IF(Evalucion!BT28=Datos!$C$18,Datos!$D$18,IF(Evalucion!BT28=Datos!$C$19,Datos!$D$19,"=")))))</f>
        <v>5</v>
      </c>
      <c r="BT30">
        <f>IF(Evalucion!BU28=Datos!$C$15,Datos!$D$15,IF(Evalucion!BU28=Datos!$C$16,Datos!$D$16,IF(Evalucion!BU28=Datos!$C$17,Datos!$D$17,IF(Evalucion!BU28=Datos!$C$18,Datos!$D$18,IF(Evalucion!BU28=Datos!$C$19,Datos!$D$19,"=")))))</f>
        <v>5</v>
      </c>
      <c r="BU30">
        <f>IF(Evalucion!BV28=Datos!$C$15,Datos!$D$15,IF(Evalucion!BV28=Datos!$C$16,Datos!$D$16,IF(Evalucion!BV28=Datos!$C$17,Datos!$D$17,IF(Evalucion!BV28=Datos!$C$18,Datos!$D$18,IF(Evalucion!BV28=Datos!$C$19,Datos!$D$19,"=")))))</f>
        <v>5</v>
      </c>
      <c r="BV30">
        <f>IF(Evalucion!BW28=Datos!$C$15,Datos!$D$15,IF(Evalucion!BW28=Datos!$C$16,Datos!$D$16,IF(Evalucion!BW28=Datos!$C$17,Datos!$D$17,IF(Evalucion!BW28=Datos!$C$18,Datos!$D$18,IF(Evalucion!BW28=Datos!$C$19,Datos!$D$19,"=")))))</f>
        <v>5</v>
      </c>
      <c r="BW30">
        <f>IF(Evalucion!BX28=Datos!$C$15,Datos!$D$15,IF(Evalucion!BX28=Datos!$C$16,Datos!$D$16,IF(Evalucion!BX28=Datos!$C$17,Datos!$D$17,IF(Evalucion!BX28=Datos!$C$18,Datos!$D$18,IF(Evalucion!BX28=Datos!$C$19,Datos!$D$19,"=")))))</f>
        <v>5</v>
      </c>
      <c r="BX30">
        <f>IF(Evalucion!BY28=Datos!$C$15,Datos!$D$15,IF(Evalucion!BY28=Datos!$C$16,Datos!$D$16,IF(Evalucion!BY28=Datos!$C$17,Datos!$D$17,IF(Evalucion!BY28=Datos!$C$18,Datos!$D$18,IF(Evalucion!BY28=Datos!$C$19,Datos!$D$19,"=")))))</f>
        <v>5</v>
      </c>
      <c r="BY30">
        <f>IF(Evalucion!BZ28=Datos!$C$15,Datos!$D$15,IF(Evalucion!BZ28=Datos!$C$16,Datos!$D$16,IF(Evalucion!BZ28=Datos!$C$17,Datos!$D$17,IF(Evalucion!BZ28=Datos!$C$18,Datos!$D$18,IF(Evalucion!BZ28=Datos!$C$19,Datos!$D$19,"=")))))</f>
        <v>5</v>
      </c>
      <c r="BZ30">
        <f>IF(Evalucion!CA28=Datos!$C$15,Datos!$D$15,IF(Evalucion!CA28=Datos!$C$16,Datos!$D$16,IF(Evalucion!CA28=Datos!$C$17,Datos!$D$17,IF(Evalucion!CA28=Datos!$C$18,Datos!$D$18,IF(Evalucion!CA28=Datos!$C$19,Datos!$D$19,"=")))))</f>
        <v>5</v>
      </c>
      <c r="CA30">
        <f>IF(Evalucion!CB28=Datos!$C$15,Datos!$D$15,IF(Evalucion!CB28=Datos!$C$16,Datos!$D$16,IF(Evalucion!CB28=Datos!$C$17,Datos!$D$17,IF(Evalucion!CB28=Datos!$C$18,Datos!$D$18,IF(Evalucion!CB28=Datos!$C$19,Datos!$D$19,"=")))))</f>
        <v>5</v>
      </c>
      <c r="CB30">
        <f>IF(Evalucion!CC28=Datos!$C$15,Datos!$D$15,IF(Evalucion!CC28=Datos!$C$16,Datos!$D$16,IF(Evalucion!CC28=Datos!$C$17,Datos!$D$17,IF(Evalucion!CC28=Datos!$C$18,Datos!$D$18,IF(Evalucion!CC28=Datos!$C$19,Datos!$D$19,"=")))))</f>
        <v>5</v>
      </c>
      <c r="CC30">
        <f>IF(Evalucion!CD28=Datos!$C$15,Datos!$D$15,IF(Evalucion!CD28=Datos!$C$16,Datos!$D$16,IF(Evalucion!CD28=Datos!$C$17,Datos!$D$17,IF(Evalucion!CD28=Datos!$C$18,Datos!$D$18,IF(Evalucion!CD28=Datos!$C$19,Datos!$D$19,"=")))))</f>
        <v>5</v>
      </c>
      <c r="CD30">
        <f>IF(Evalucion!CE28=Datos!$C$15,Datos!$D$15,IF(Evalucion!CE28=Datos!$C$16,Datos!$D$16,IF(Evalucion!CE28=Datos!$C$17,Datos!$D$17,IF(Evalucion!CE28=Datos!$C$18,Datos!$D$18,IF(Evalucion!CE28=Datos!$C$19,Datos!$D$19,"=")))))</f>
        <v>5</v>
      </c>
      <c r="CE30">
        <f>IF(Evalucion!CF28=Datos!$C$15,Datos!$D$15,IF(Evalucion!CF28=Datos!$C$16,Datos!$D$16,IF(Evalucion!CF28=Datos!$C$17,Datos!$D$17,IF(Evalucion!CF28=Datos!$C$18,Datos!$D$18,IF(Evalucion!CF28=Datos!$C$19,Datos!$D$19,"=")))))</f>
        <v>3</v>
      </c>
      <c r="CF30">
        <f>IF(Evalucion!CG28=Datos!$C$15,Datos!$D$15,IF(Evalucion!CG28=Datos!$C$16,Datos!$D$16,IF(Evalucion!CG28=Datos!$C$17,Datos!$D$17,IF(Evalucion!CG28=Datos!$C$18,Datos!$D$18,IF(Evalucion!CG28=Datos!$C$19,Datos!$D$19,"=")))))</f>
        <v>5</v>
      </c>
      <c r="CG30">
        <f>IF(Evalucion!CH28=Datos!$C$15,Datos!$D$15,IF(Evalucion!CH28=Datos!$C$16,Datos!$D$16,IF(Evalucion!CH28=Datos!$C$17,Datos!$D$17,IF(Evalucion!CH28=Datos!$C$18,Datos!$D$18,IF(Evalucion!CH28=Datos!$C$19,Datos!$D$19,"=")))))</f>
        <v>5</v>
      </c>
      <c r="CH30">
        <f>IF(Evalucion!CI28=Datos!$C$15,Datos!$D$15,IF(Evalucion!CI28=Datos!$C$16,Datos!$D$16,IF(Evalucion!CI28=Datos!$C$17,Datos!$D$17,IF(Evalucion!CI28=Datos!$C$18,Datos!$D$18,IF(Evalucion!CI28=Datos!$C$19,Datos!$D$19,"=")))))</f>
        <v>5</v>
      </c>
      <c r="CI30">
        <f>IF(Evalucion!CJ28=Datos!$C$15,Datos!$D$15,IF(Evalucion!CJ28=Datos!$C$16,Datos!$D$16,IF(Evalucion!CJ28=Datos!$C$17,Datos!$D$17,IF(Evalucion!CJ28=Datos!$C$18,Datos!$D$18,IF(Evalucion!CJ28=Datos!$C$19,Datos!$D$19,"=")))))</f>
        <v>5</v>
      </c>
      <c r="CJ30">
        <f>IF(Evalucion!CK28=Datos!$C$15,Datos!$D$15,IF(Evalucion!CK28=Datos!$C$16,Datos!$D$16,IF(Evalucion!CK28=Datos!$C$17,Datos!$D$17,IF(Evalucion!CK28=Datos!$C$18,Datos!$D$18,IF(Evalucion!CK28=Datos!$C$19,Datos!$D$19,"=")))))</f>
        <v>5</v>
      </c>
      <c r="CK30">
        <f>IF(Evalucion!CL28=Datos!$C$15,Datos!$D$15,IF(Evalucion!CL28=Datos!$C$16,Datos!$D$16,IF(Evalucion!CL28=Datos!$C$17,Datos!$D$17,IF(Evalucion!CL28=Datos!$C$18,Datos!$D$18,IF(Evalucion!CL28=Datos!$C$19,Datos!$D$19,"=")))))</f>
        <v>5</v>
      </c>
      <c r="CL30">
        <f>IF(Evalucion!CM28=Datos!$C$15,Datos!$D$15,IF(Evalucion!CM28=Datos!$C$16,Datos!$D$16,IF(Evalucion!CM28=Datos!$C$17,Datos!$D$17,IF(Evalucion!CM28=Datos!$C$18,Datos!$D$18,IF(Evalucion!CM28=Datos!$C$19,Datos!$D$19,"=")))))</f>
        <v>5</v>
      </c>
      <c r="CM30">
        <f>IF(Evalucion!CN28=Datos!$C$15,Datos!$D$15,IF(Evalucion!CN28=Datos!$C$16,Datos!$D$16,IF(Evalucion!CN28=Datos!$C$17,Datos!$D$17,IF(Evalucion!CN28=Datos!$C$18,Datos!$D$18,IF(Evalucion!CN28=Datos!$C$19,Datos!$D$19,"=")))))</f>
        <v>5</v>
      </c>
      <c r="CN30">
        <f>IF(Evalucion!CO28=Datos!$C$15,Datos!$D$15,IF(Evalucion!CO28=Datos!$C$16,Datos!$D$16,IF(Evalucion!CO28=Datos!$C$17,Datos!$D$17,IF(Evalucion!CO28=Datos!$C$18,Datos!$D$18,IF(Evalucion!CO28=Datos!$C$19,Datos!$D$19,"=")))))</f>
        <v>5</v>
      </c>
      <c r="CO30">
        <f>IF(Evalucion!CP28=Datos!$C$15,Datos!$D$15,IF(Evalucion!CP28=Datos!$C$16,Datos!$D$16,IF(Evalucion!CP28=Datos!$C$17,Datos!$D$17,IF(Evalucion!CP28=Datos!$C$18,Datos!$D$18,IF(Evalucion!CP28=Datos!$C$19,Datos!$D$19,"=")))))</f>
        <v>5</v>
      </c>
      <c r="CP30">
        <f>IF(Evalucion!CQ28=Datos!$C$15,Datos!$D$15,IF(Evalucion!CQ28=Datos!$C$16,Datos!$D$16,IF(Evalucion!CQ28=Datos!$C$17,Datos!$D$17,IF(Evalucion!CQ28=Datos!$C$18,Datos!$D$18,IF(Evalucion!CQ28=Datos!$C$19,Datos!$D$19,"=")))))</f>
        <v>5</v>
      </c>
      <c r="CQ30">
        <f>IF(Evalucion!CR28=Datos!$C$15,Datos!$D$15,IF(Evalucion!CR28=Datos!$C$16,Datos!$D$16,IF(Evalucion!CR28=Datos!$C$17,Datos!$D$17,IF(Evalucion!CR28=Datos!$C$18,Datos!$D$18,IF(Evalucion!CR28=Datos!$C$19,Datos!$D$19,"=")))))</f>
        <v>3</v>
      </c>
      <c r="CR30">
        <f>IF(Evalucion!CS28=Datos!$C$15,Datos!$D$15,IF(Evalucion!CS28=Datos!$C$16,Datos!$D$16,IF(Evalucion!CS28=Datos!$C$17,Datos!$D$17,IF(Evalucion!CS28=Datos!$C$18,Datos!$D$18,IF(Evalucion!CS28=Datos!$C$19,Datos!$D$19,"=")))))</f>
        <v>5</v>
      </c>
      <c r="CS30">
        <f>IF(Evalucion!CT28=Datos!$C$15,Datos!$D$15,IF(Evalucion!CT28=Datos!$C$16,Datos!$D$16,IF(Evalucion!CT28=Datos!$C$17,Datos!$D$17,IF(Evalucion!CT28=Datos!$C$18,Datos!$D$18,IF(Evalucion!CT28=Datos!$C$19,Datos!$D$19,"=")))))</f>
        <v>3</v>
      </c>
      <c r="CT30">
        <f>IF(Evalucion!CU28=Datos!$C$15,Datos!$D$15,IF(Evalucion!CU28=Datos!$C$16,Datos!$D$16,IF(Evalucion!CU28=Datos!$C$17,Datos!$D$17,IF(Evalucion!CU28=Datos!$C$18,Datos!$D$18,IF(Evalucion!CU28=Datos!$C$19,Datos!$D$19,"=")))))</f>
        <v>5</v>
      </c>
      <c r="CU30">
        <f>IF(Evalucion!CV28=Datos!$C$15,Datos!$D$15,IF(Evalucion!CV28=Datos!$C$16,Datos!$D$16,IF(Evalucion!CV28=Datos!$C$17,Datos!$D$17,IF(Evalucion!CV28=Datos!$C$18,Datos!$D$18,IF(Evalucion!CV28=Datos!$C$19,Datos!$D$19,"=")))))</f>
        <v>3</v>
      </c>
      <c r="CV30">
        <f>IF(Evalucion!CW28=Datos!$C$15,Datos!$D$15,IF(Evalucion!CW28=Datos!$C$16,Datos!$D$16,IF(Evalucion!CW28=Datos!$C$17,Datos!$D$17,IF(Evalucion!CW28=Datos!$C$18,Datos!$D$18,IF(Evalucion!CW28=Datos!$C$19,Datos!$D$19,"=")))))</f>
        <v>5</v>
      </c>
      <c r="CW30">
        <f>IF(Evalucion!CX28=Datos!$C$15,Datos!$D$15,IF(Evalucion!CX28=Datos!$C$16,Datos!$D$16,IF(Evalucion!CX28=Datos!$C$17,Datos!$D$17,IF(Evalucion!CX28=Datos!$C$18,Datos!$D$18,IF(Evalucion!CX28=Datos!$C$19,Datos!$D$19,"=")))))</f>
        <v>3</v>
      </c>
      <c r="CX30">
        <f>IF(Evalucion!CY28=Datos!$C$15,Datos!$D$15,IF(Evalucion!CY28=Datos!$C$16,Datos!$D$16,IF(Evalucion!CY28=Datos!$C$17,Datos!$D$17,IF(Evalucion!CY28=Datos!$C$18,Datos!$D$18,IF(Evalucion!CY28=Datos!$C$19,Datos!$D$19,"=")))))</f>
        <v>5</v>
      </c>
      <c r="CY30">
        <f>IF(Evalucion!CZ28=Datos!$C$15,Datos!$D$15,IF(Evalucion!CZ28=Datos!$C$16,Datos!$D$16,IF(Evalucion!CZ28=Datos!$C$17,Datos!$D$17,IF(Evalucion!CZ28=Datos!$C$18,Datos!$D$18,IF(Evalucion!CZ28=Datos!$C$19,Datos!$D$19,"=")))))</f>
        <v>3</v>
      </c>
      <c r="CZ30">
        <f>IF(Evalucion!DA28=Datos!$C$15,Datos!$D$15,IF(Evalucion!DA28=Datos!$C$16,Datos!$D$16,IF(Evalucion!DA28=Datos!$C$17,Datos!$D$17,IF(Evalucion!DA28=Datos!$C$18,Datos!$D$18,IF(Evalucion!DA28=Datos!$C$19,Datos!$D$19,"=")))))</f>
        <v>5</v>
      </c>
      <c r="DA30">
        <f>IF(Evalucion!DB28=Datos!$C$15,Datos!$D$15,IF(Evalucion!DB28=Datos!$C$16,Datos!$D$16,IF(Evalucion!DB28=Datos!$C$17,Datos!$D$17,IF(Evalucion!DB28=Datos!$C$18,Datos!$D$18,IF(Evalucion!DB28=Datos!$C$19,Datos!$D$19,"=")))))</f>
        <v>3</v>
      </c>
      <c r="DB30">
        <f>IF(Evalucion!DC28=Datos!$C$15,Datos!$D$15,IF(Evalucion!DC28=Datos!$C$16,Datos!$D$16,IF(Evalucion!DC28=Datos!$C$17,Datos!$D$17,IF(Evalucion!DC28=Datos!$C$18,Datos!$D$18,IF(Evalucion!DC28=Datos!$C$19,Datos!$D$19,"=")))))</f>
        <v>5</v>
      </c>
      <c r="DC30">
        <f>IF(Evalucion!DD28=Datos!$C$15,Datos!$D$15,IF(Evalucion!DD28=Datos!$C$16,Datos!$D$16,IF(Evalucion!DD28=Datos!$C$17,Datos!$D$17,IF(Evalucion!DD28=Datos!$C$18,Datos!$D$18,IF(Evalucion!DD28=Datos!$C$19,Datos!$D$19,"=")))))</f>
        <v>5</v>
      </c>
      <c r="DD30">
        <f>IF(Evalucion!DE28=Datos!$C$15,Datos!$D$15,IF(Evalucion!DE28=Datos!$C$16,Datos!$D$16,IF(Evalucion!DE28=Datos!$C$17,Datos!$D$17,IF(Evalucion!DE28=Datos!$C$18,Datos!$D$18,IF(Evalucion!DE28=Datos!$C$19,Datos!$D$19,"=")))))</f>
        <v>5</v>
      </c>
      <c r="DE30">
        <f>IF(Evalucion!DF28=Datos!$C$15,Datos!$D$15,IF(Evalucion!DF28=Datos!$C$16,Datos!$D$16,IF(Evalucion!DF28=Datos!$C$17,Datos!$D$17,IF(Evalucion!DF28=Datos!$C$18,Datos!$D$18,IF(Evalucion!DF28=Datos!$C$19,Datos!$D$19,"=")))))</f>
        <v>5</v>
      </c>
      <c r="DF30">
        <f>IF(Evalucion!DG28=Datos!$C$15,Datos!$D$15,IF(Evalucion!DG28=Datos!$C$16,Datos!$D$16,IF(Evalucion!DG28=Datos!$C$17,Datos!$D$17,IF(Evalucion!DG28=Datos!$C$18,Datos!$D$18,IF(Evalucion!DG28=Datos!$C$19,Datos!$D$19,"=")))))</f>
        <v>5</v>
      </c>
      <c r="DG30">
        <f>IF(Evalucion!DH28=Datos!$C$15,Datos!$D$15,IF(Evalucion!DH28=Datos!$C$16,Datos!$D$16,IF(Evalucion!DH28=Datos!$C$17,Datos!$D$17,IF(Evalucion!DH28=Datos!$C$18,Datos!$D$18,IF(Evalucion!DH28=Datos!$C$19,Datos!$D$19,"=")))))</f>
        <v>5</v>
      </c>
      <c r="DH30">
        <f>IF(Evalucion!DI28=Datos!$C$15,Datos!$D$15,IF(Evalucion!DI28=Datos!$C$16,Datos!$D$16,IF(Evalucion!DI28=Datos!$C$17,Datos!$D$17,IF(Evalucion!DI28=Datos!$C$18,Datos!$D$18,IF(Evalucion!DI28=Datos!$C$19,Datos!$D$19,"=")))))</f>
        <v>5</v>
      </c>
      <c r="DI30">
        <f>IF(Evalucion!DJ28=Datos!$C$15,Datos!$D$15,IF(Evalucion!DJ28=Datos!$C$16,Datos!$D$16,IF(Evalucion!DJ28=Datos!$C$17,Datos!$D$17,IF(Evalucion!DJ28=Datos!$C$18,Datos!$D$18,IF(Evalucion!DJ28=Datos!$C$19,Datos!$D$19,"=")))))</f>
        <v>5</v>
      </c>
      <c r="DJ30">
        <f>IF(Evalucion!DK28=Datos!$C$15,Datos!$D$15,IF(Evalucion!DK28=Datos!$C$16,Datos!$D$16,IF(Evalucion!DK28=Datos!$C$17,Datos!$D$17,IF(Evalucion!DK28=Datos!$C$18,Datos!$D$18,IF(Evalucion!DK28=Datos!$C$19,Datos!$D$19,"=")))))</f>
        <v>5</v>
      </c>
      <c r="DK30">
        <f>IF(Evalucion!DL28=Datos!$C$15,Datos!$D$15,IF(Evalucion!DL28=Datos!$C$16,Datos!$D$16,IF(Evalucion!DL28=Datos!$C$17,Datos!$D$17,IF(Evalucion!DL28=Datos!$C$18,Datos!$D$18,IF(Evalucion!DL28=Datos!$C$19,Datos!$D$19,"=")))))</f>
        <v>5</v>
      </c>
      <c r="DL30">
        <f>IF(Evalucion!DM28=Datos!$C$15,Datos!$D$15,IF(Evalucion!DM28=Datos!$C$16,Datos!$D$16,IF(Evalucion!DM28=Datos!$C$17,Datos!$D$17,IF(Evalucion!DM28=Datos!$C$18,Datos!$D$18,IF(Evalucion!DM28=Datos!$C$19,Datos!$D$19,"=")))))</f>
        <v>5</v>
      </c>
      <c r="DM30">
        <f>IF(Evalucion!DN28=Datos!$C$15,Datos!$D$15,IF(Evalucion!DN28=Datos!$C$16,Datos!$D$16,IF(Evalucion!DN28=Datos!$C$17,Datos!$D$17,IF(Evalucion!DN28=Datos!$C$18,Datos!$D$18,IF(Evalucion!DN28=Datos!$C$19,Datos!$D$19,"=")))))</f>
        <v>5</v>
      </c>
      <c r="DN30">
        <f>IF(Evalucion!DO28=Datos!$C$15,Datos!$D$15,IF(Evalucion!DO28=Datos!$C$16,Datos!$D$16,IF(Evalucion!DO28=Datos!$C$17,Datos!$D$17,IF(Evalucion!DO28=Datos!$C$18,Datos!$D$18,IF(Evalucion!DO28=Datos!$C$19,Datos!$D$19,"=")))))</f>
        <v>5</v>
      </c>
      <c r="DO30">
        <f>IF(Evalucion!DP28=Datos!$C$15,Datos!$D$15,IF(Evalucion!DP28=Datos!$C$16,Datos!$D$16,IF(Evalucion!DP28=Datos!$C$17,Datos!$D$17,IF(Evalucion!DP28=Datos!$C$18,Datos!$D$18,IF(Evalucion!DP28=Datos!$C$19,Datos!$D$19,"=")))))</f>
        <v>5</v>
      </c>
      <c r="DP30">
        <f>IF(Evalucion!DQ28=Datos!$C$15,Datos!$D$15,IF(Evalucion!DQ28=Datos!$C$16,Datos!$D$16,IF(Evalucion!DQ28=Datos!$C$17,Datos!$D$17,IF(Evalucion!DQ28=Datos!$C$18,Datos!$D$18,IF(Evalucion!DQ28=Datos!$C$19,Datos!$D$19,"=")))))</f>
        <v>5</v>
      </c>
      <c r="DQ30">
        <f>IF(Evalucion!DR28=Datos!$C$15,Datos!$D$15,IF(Evalucion!DR28=Datos!$C$16,Datos!$D$16,IF(Evalucion!DR28=Datos!$C$17,Datos!$D$17,IF(Evalucion!DR28=Datos!$C$18,Datos!$D$18,IF(Evalucion!DR28=Datos!$C$19,Datos!$D$19,"=")))))</f>
        <v>5</v>
      </c>
      <c r="DR30">
        <f>IF(Evalucion!DS28=Datos!$C$15,Datos!$D$15,IF(Evalucion!DS28=Datos!$C$16,Datos!$D$16,IF(Evalucion!DS28=Datos!$C$17,Datos!$D$17,IF(Evalucion!DS28=Datos!$C$18,Datos!$D$18,IF(Evalucion!DS28=Datos!$C$19,Datos!$D$19,"=")))))</f>
        <v>5</v>
      </c>
      <c r="DS30">
        <f>IF(Evalucion!DT28=Datos!$C$15,Datos!$D$15,IF(Evalucion!DT28=Datos!$C$16,Datos!$D$16,IF(Evalucion!DT28=Datos!$C$17,Datos!$D$17,IF(Evalucion!DT28=Datos!$C$18,Datos!$D$18,IF(Evalucion!DT28=Datos!$C$19,Datos!$D$19,"=")))))</f>
        <v>3</v>
      </c>
      <c r="DT30">
        <f>IF(Evalucion!DU28=Datos!$C$15,Datos!$D$15,IF(Evalucion!DU28=Datos!$C$16,Datos!$D$16,IF(Evalucion!DU28=Datos!$C$17,Datos!$D$17,IF(Evalucion!DU28=Datos!$C$18,Datos!$D$18,IF(Evalucion!DU28=Datos!$C$19,Datos!$D$19,"=")))))</f>
        <v>5</v>
      </c>
      <c r="DU30">
        <f>IF(Evalucion!DV28=Datos!$C$15,Datos!$D$15,IF(Evalucion!DV28=Datos!$C$16,Datos!$D$16,IF(Evalucion!DV28=Datos!$C$17,Datos!$D$17,IF(Evalucion!DV28=Datos!$C$18,Datos!$D$18,IF(Evalucion!DV28=Datos!$C$19,Datos!$D$19,"=")))))</f>
        <v>3</v>
      </c>
      <c r="DV30">
        <f>IF(Evalucion!DW28=Datos!$C$15,Datos!$D$15,IF(Evalucion!DW28=Datos!$C$16,Datos!$D$16,IF(Evalucion!DW28=Datos!$C$17,Datos!$D$17,IF(Evalucion!DW28=Datos!$C$18,Datos!$D$18,IF(Evalucion!DW28=Datos!$C$19,Datos!$D$19,"=")))))</f>
        <v>5</v>
      </c>
      <c r="DW30">
        <f>IF(Evalucion!DX28=Datos!$C$15,Datos!$D$15,IF(Evalucion!DX28=Datos!$C$16,Datos!$D$16,IF(Evalucion!DX28=Datos!$C$17,Datos!$D$17,IF(Evalucion!DX28=Datos!$C$18,Datos!$D$18,IF(Evalucion!DX28=Datos!$C$19,Datos!$D$19,"=")))))</f>
        <v>3</v>
      </c>
      <c r="DX30">
        <f>IF(Evalucion!DY28=Datos!$C$15,Datos!$D$15,IF(Evalucion!DY28=Datos!$C$16,Datos!$D$16,IF(Evalucion!DY28=Datos!$C$17,Datos!$D$17,IF(Evalucion!DY28=Datos!$C$18,Datos!$D$18,IF(Evalucion!DY28=Datos!$C$19,Datos!$D$19,"=")))))</f>
        <v>5</v>
      </c>
      <c r="DY30">
        <f>IF(Evalucion!DZ28=Datos!$C$15,Datos!$D$15,IF(Evalucion!DZ28=Datos!$C$16,Datos!$D$16,IF(Evalucion!DZ28=Datos!$C$17,Datos!$D$17,IF(Evalucion!DZ28=Datos!$C$18,Datos!$D$18,IF(Evalucion!DZ28=Datos!$C$19,Datos!$D$19,"=")))))</f>
        <v>5</v>
      </c>
      <c r="DZ30">
        <f>IF(Evalucion!EA28=Datos!$C$15,Datos!$D$15,IF(Evalucion!EA28=Datos!$C$16,Datos!$D$16,IF(Evalucion!EA28=Datos!$C$17,Datos!$D$17,IF(Evalucion!EA28=Datos!$C$18,Datos!$D$18,IF(Evalucion!EA28=Datos!$C$19,Datos!$D$19,"=")))))</f>
        <v>5</v>
      </c>
      <c r="EA30">
        <f>IF(Evalucion!EB28=Datos!$C$15,Datos!$D$15,IF(Evalucion!EB28=Datos!$C$16,Datos!$D$16,IF(Evalucion!EB28=Datos!$C$17,Datos!$D$17,IF(Evalucion!EB28=Datos!$C$18,Datos!$D$18,IF(Evalucion!EB28=Datos!$C$19,Datos!$D$19,"=")))))</f>
        <v>5</v>
      </c>
      <c r="EB30">
        <f>IF(Evalucion!EC28=Datos!$C$15,Datos!$D$15,IF(Evalucion!EC28=Datos!$C$16,Datos!$D$16,IF(Evalucion!EC28=Datos!$C$17,Datos!$D$17,IF(Evalucion!EC28=Datos!$C$18,Datos!$D$18,IF(Evalucion!EC28=Datos!$C$19,Datos!$D$19,"=")))))</f>
        <v>5</v>
      </c>
      <c r="EC30">
        <f>IF(Evalucion!ED28=Datos!$C$15,Datos!$D$15,IF(Evalucion!ED28=Datos!$C$16,Datos!$D$16,IF(Evalucion!ED28=Datos!$C$17,Datos!$D$17,IF(Evalucion!ED28=Datos!$C$18,Datos!$D$18,IF(Evalucion!ED28=Datos!$C$19,Datos!$D$19,"=")))))</f>
        <v>5</v>
      </c>
      <c r="ED30">
        <f>IF(Evalucion!EE28=Datos!$C$15,Datos!$D$15,IF(Evalucion!EE28=Datos!$C$16,Datos!$D$16,IF(Evalucion!EE28=Datos!$C$17,Datos!$D$17,IF(Evalucion!EE28=Datos!$C$18,Datos!$D$18,IF(Evalucion!EE28=Datos!$C$19,Datos!$D$19,"=")))))</f>
        <v>5</v>
      </c>
      <c r="EE30">
        <f>IF(Evalucion!EF28=Datos!$C$15,Datos!$D$15,IF(Evalucion!EF28=Datos!$C$16,Datos!$D$16,IF(Evalucion!EF28=Datos!$C$17,Datos!$D$17,IF(Evalucion!EF28=Datos!$C$18,Datos!$D$18,IF(Evalucion!EF28=Datos!$C$19,Datos!$D$19,"=")))))</f>
        <v>5</v>
      </c>
      <c r="EF30">
        <f>IF(Evalucion!EG28=Datos!$C$15,Datos!$D$15,IF(Evalucion!EG28=Datos!$C$16,Datos!$D$16,IF(Evalucion!EG28=Datos!$C$17,Datos!$D$17,IF(Evalucion!EG28=Datos!$C$18,Datos!$D$18,IF(Evalucion!EG28=Datos!$C$19,Datos!$D$19,"=")))))</f>
        <v>5</v>
      </c>
      <c r="EG30">
        <f>IF(Evalucion!EH28=Datos!$C$15,Datos!$D$15,IF(Evalucion!EH28=Datos!$C$16,Datos!$D$16,IF(Evalucion!EH28=Datos!$C$17,Datos!$D$17,IF(Evalucion!EH28=Datos!$C$18,Datos!$D$18,IF(Evalucion!EH28=Datos!$C$19,Datos!$D$19,"=")))))</f>
        <v>5</v>
      </c>
      <c r="EH30">
        <f>IF(Evalucion!EI28=Datos!$C$15,Datos!$D$15,IF(Evalucion!EI28=Datos!$C$16,Datos!$D$16,IF(Evalucion!EI28=Datos!$C$17,Datos!$D$17,IF(Evalucion!EI28=Datos!$C$18,Datos!$D$18,IF(Evalucion!EI28=Datos!$C$19,Datos!$D$19,"=")))))</f>
        <v>5</v>
      </c>
      <c r="EI30">
        <f>IF(Evalucion!EJ28=Datos!$C$15,Datos!$D$15,IF(Evalucion!EJ28=Datos!$C$16,Datos!$D$16,IF(Evalucion!EJ28=Datos!$C$17,Datos!$D$17,IF(Evalucion!EJ28=Datos!$C$18,Datos!$D$18,IF(Evalucion!EJ28=Datos!$C$19,Datos!$D$19,"=")))))</f>
        <v>5</v>
      </c>
      <c r="EJ30">
        <f>IF(Evalucion!EK28=Datos!$C$15,Datos!$D$15,IF(Evalucion!EK28=Datos!$C$16,Datos!$D$16,IF(Evalucion!EK28=Datos!$C$17,Datos!$D$17,IF(Evalucion!EK28=Datos!$C$18,Datos!$D$18,IF(Evalucion!EK28=Datos!$C$19,Datos!$D$19,"=")))))</f>
        <v>5</v>
      </c>
      <c r="EK30">
        <f>IF(Evalucion!EL28=Datos!$C$15,Datos!$D$15,IF(Evalucion!EL28=Datos!$C$16,Datos!$D$16,IF(Evalucion!EL28=Datos!$C$17,Datos!$D$17,IF(Evalucion!EL28=Datos!$C$18,Datos!$D$18,IF(Evalucion!EL28=Datos!$C$19,Datos!$D$19,"=")))))</f>
        <v>5</v>
      </c>
      <c r="EL30">
        <f>IF(Evalucion!EM28=Datos!$C$15,Datos!$D$15,IF(Evalucion!EM28=Datos!$C$16,Datos!$D$16,IF(Evalucion!EM28=Datos!$C$17,Datos!$D$17,IF(Evalucion!EM28=Datos!$C$18,Datos!$D$18,IF(Evalucion!EM28=Datos!$C$19,Datos!$D$19,"=")))))</f>
        <v>5</v>
      </c>
      <c r="EM30">
        <f>IF(Evalucion!EN28=Datos!$C$15,Datos!$D$15,IF(Evalucion!EN28=Datos!$C$16,Datos!$D$16,IF(Evalucion!EN28=Datos!$C$17,Datos!$D$17,IF(Evalucion!EN28=Datos!$C$18,Datos!$D$18,IF(Evalucion!EN28=Datos!$C$19,Datos!$D$19,"=")))))</f>
        <v>5</v>
      </c>
      <c r="EN30">
        <f>IF(Evalucion!EO28=Datos!$C$15,Datos!$D$15,IF(Evalucion!EO28=Datos!$C$16,Datos!$D$16,IF(Evalucion!EO28=Datos!$C$17,Datos!$D$17,IF(Evalucion!EO28=Datos!$C$18,Datos!$D$18,IF(Evalucion!EO28=Datos!$C$19,Datos!$D$19,"=")))))</f>
        <v>5</v>
      </c>
      <c r="EO30">
        <f>IF(Evalucion!EP28=Datos!$C$15,Datos!$D$15,IF(Evalucion!EP28=Datos!$C$16,Datos!$D$16,IF(Evalucion!EP28=Datos!$C$17,Datos!$D$17,IF(Evalucion!EP28=Datos!$C$18,Datos!$D$18,IF(Evalucion!EP28=Datos!$C$19,Datos!$D$19,"=")))))</f>
        <v>5</v>
      </c>
      <c r="EP30">
        <f>IF(Evalucion!EQ28=Datos!$C$15,Datos!$D$15,IF(Evalucion!EQ28=Datos!$C$16,Datos!$D$16,IF(Evalucion!EQ28=Datos!$C$17,Datos!$D$17,IF(Evalucion!EQ28=Datos!$C$18,Datos!$D$18,IF(Evalucion!EQ28=Datos!$C$19,Datos!$D$19,"=")))))</f>
        <v>5</v>
      </c>
      <c r="EQ30">
        <f>IF(Evalucion!ER28=Datos!$C$15,Datos!$D$15,IF(Evalucion!ER28=Datos!$C$16,Datos!$D$16,IF(Evalucion!ER28=Datos!$C$17,Datos!$D$17,IF(Evalucion!ER28=Datos!$C$18,Datos!$D$18,IF(Evalucion!ER28=Datos!$C$19,Datos!$D$19,"=")))))</f>
        <v>5</v>
      </c>
      <c r="ER30">
        <f>IF(Evalucion!ES28=Datos!$C$15,Datos!$D$15,IF(Evalucion!ES28=Datos!$C$16,Datos!$D$16,IF(Evalucion!ES28=Datos!$C$17,Datos!$D$17,IF(Evalucion!ES28=Datos!$C$18,Datos!$D$18,IF(Evalucion!ES28=Datos!$C$19,Datos!$D$19,"=")))))</f>
        <v>5</v>
      </c>
      <c r="ES30">
        <f>IF(Evalucion!ET28=Datos!$C$15,Datos!$D$15,IF(Evalucion!ET28=Datos!$C$16,Datos!$D$16,IF(Evalucion!ET28=Datos!$C$17,Datos!$D$17,IF(Evalucion!ET28=Datos!$C$18,Datos!$D$18,IF(Evalucion!ET28=Datos!$C$19,Datos!$D$19,"=")))))</f>
        <v>5</v>
      </c>
      <c r="ET30">
        <f>IF(Evalucion!EU28=Datos!$C$15,Datos!$D$15,IF(Evalucion!EU28=Datos!$C$16,Datos!$D$16,IF(Evalucion!EU28=Datos!$C$17,Datos!$D$17,IF(Evalucion!EU28=Datos!$C$18,Datos!$D$18,IF(Evalucion!EU28=Datos!$C$19,Datos!$D$19,"=")))))</f>
        <v>5</v>
      </c>
      <c r="EU30">
        <f>IF(Evalucion!EV28=Datos!$C$15,Datos!$D$15,IF(Evalucion!EV28=Datos!$C$16,Datos!$D$16,IF(Evalucion!EV28=Datos!$C$17,Datos!$D$17,IF(Evalucion!EV28=Datos!$C$18,Datos!$D$18,IF(Evalucion!EV28=Datos!$C$19,Datos!$D$19,"=")))))</f>
        <v>1</v>
      </c>
      <c r="EV30">
        <f>IF(Evalucion!EW28=Datos!$C$15,Datos!$D$15,IF(Evalucion!EW28=Datos!$C$16,Datos!$D$16,IF(Evalucion!EW28=Datos!$C$17,Datos!$D$17,IF(Evalucion!EW28=Datos!$C$18,Datos!$D$18,IF(Evalucion!EW28=Datos!$C$19,Datos!$D$19,"=")))))</f>
        <v>5</v>
      </c>
      <c r="EW30">
        <f>IF(Evalucion!EX28=Datos!$C$15,Datos!$D$15,IF(Evalucion!EX28=Datos!$C$16,Datos!$D$16,IF(Evalucion!EX28=Datos!$C$17,Datos!$D$17,IF(Evalucion!EX28=Datos!$C$18,Datos!$D$18,IF(Evalucion!EX28=Datos!$C$19,Datos!$D$19,"=")))))</f>
        <v>5</v>
      </c>
      <c r="EX30">
        <f>IF(Evalucion!EY28=Datos!$C$15,Datos!$D$15,IF(Evalucion!EY28=Datos!$C$16,Datos!$D$16,IF(Evalucion!EY28=Datos!$C$17,Datos!$D$17,IF(Evalucion!EY28=Datos!$C$18,Datos!$D$18,IF(Evalucion!EY28=Datos!$C$19,Datos!$D$19,"=")))))</f>
        <v>5</v>
      </c>
      <c r="EY30">
        <f>IF(Evalucion!EZ28=Datos!$C$15,Datos!$D$15,IF(Evalucion!EZ28=Datos!$C$16,Datos!$D$16,IF(Evalucion!EZ28=Datos!$C$17,Datos!$D$17,IF(Evalucion!EZ28=Datos!$C$18,Datos!$D$18,IF(Evalucion!EZ28=Datos!$C$19,Datos!$D$19,"=")))))</f>
        <v>5</v>
      </c>
      <c r="FA30">
        <f t="shared" si="8"/>
        <v>355</v>
      </c>
      <c r="FB30">
        <f t="shared" si="8"/>
        <v>327</v>
      </c>
      <c r="FC30" s="3">
        <f t="shared" si="4"/>
        <v>0.872</v>
      </c>
      <c r="FD30" t="str">
        <f t="shared" si="0"/>
        <v>Conf_CR</v>
      </c>
      <c r="FF30">
        <f t="shared" si="5"/>
        <v>682</v>
      </c>
      <c r="FG30">
        <f t="shared" si="6"/>
        <v>0</v>
      </c>
    </row>
    <row r="31" spans="1:163" x14ac:dyDescent="0.2">
      <c r="A31">
        <f t="shared" si="7"/>
        <v>28</v>
      </c>
      <c r="B31" t="s">
        <v>272</v>
      </c>
      <c r="C31" t="s">
        <v>192</v>
      </c>
      <c r="D31" s="6">
        <v>42590</v>
      </c>
      <c r="E31">
        <f>IF(Evalucion!F29=Datos!$C$15,Datos!$D$15,IF(Evalucion!F29=Datos!$C$16,Datos!$D$16,IF(Evalucion!F29=Datos!$C$17,Datos!$D$17,IF(Evalucion!F29=Datos!$C$18,Datos!$D$18,IF(Evalucion!F29=Datos!$C$19,Datos!$D$19,"=")))))</f>
        <v>5</v>
      </c>
      <c r="F31">
        <f>IF(Evalucion!G29=Datos!$C$15,Datos!$D$15,IF(Evalucion!G29=Datos!$C$16,Datos!$D$16,IF(Evalucion!G29=Datos!$C$17,Datos!$D$17,IF(Evalucion!G29=Datos!$C$18,Datos!$D$18,IF(Evalucion!G29=Datos!$C$19,Datos!$D$19,"=")))))</f>
        <v>5</v>
      </c>
      <c r="G31">
        <f>IF(Evalucion!H29=Datos!$C$15,Datos!$D$15,IF(Evalucion!H29=Datos!$C$16,Datos!$D$16,IF(Evalucion!H29=Datos!$C$17,Datos!$D$17,IF(Evalucion!H29=Datos!$C$18,Datos!$D$18,IF(Evalucion!H29=Datos!$C$19,Datos!$D$19,"=")))))</f>
        <v>5</v>
      </c>
      <c r="H31">
        <f>IF(Evalucion!I29=Datos!$C$15,Datos!$D$15,IF(Evalucion!I29=Datos!$C$16,Datos!$D$16,IF(Evalucion!I29=Datos!$C$17,Datos!$D$17,IF(Evalucion!I29=Datos!$C$18,Datos!$D$18,IF(Evalucion!I29=Datos!$C$19,Datos!$D$19,"=")))))</f>
        <v>5</v>
      </c>
      <c r="I31">
        <f>IF(Evalucion!J29=Datos!$C$15,Datos!$D$15,IF(Evalucion!J29=Datos!$C$16,Datos!$D$16,IF(Evalucion!J29=Datos!$C$17,Datos!$D$17,IF(Evalucion!J29=Datos!$C$18,Datos!$D$18,IF(Evalucion!J29=Datos!$C$19,Datos!$D$19,"=")))))</f>
        <v>5</v>
      </c>
      <c r="J31">
        <f>IF(Evalucion!K29=Datos!$C$15,Datos!$D$15,IF(Evalucion!K29=Datos!$C$16,Datos!$D$16,IF(Evalucion!K29=Datos!$C$17,Datos!$D$17,IF(Evalucion!K29=Datos!$C$18,Datos!$D$18,IF(Evalucion!K29=Datos!$C$19,Datos!$D$19,"=")))))</f>
        <v>5</v>
      </c>
      <c r="K31">
        <f>IF(Evalucion!L29=Datos!$C$15,Datos!$D$15,IF(Evalucion!L29=Datos!$C$16,Datos!$D$16,IF(Evalucion!L29=Datos!$C$17,Datos!$D$17,IF(Evalucion!L29=Datos!$C$18,Datos!$D$18,IF(Evalucion!L29=Datos!$C$19,Datos!$D$19,"=")))))</f>
        <v>5</v>
      </c>
      <c r="L31">
        <f>IF(Evalucion!M29=Datos!$C$15,Datos!$D$15,IF(Evalucion!M29=Datos!$C$16,Datos!$D$16,IF(Evalucion!M29=Datos!$C$17,Datos!$D$17,IF(Evalucion!M29=Datos!$C$18,Datos!$D$18,IF(Evalucion!M29=Datos!$C$19,Datos!$D$19,"=")))))</f>
        <v>5</v>
      </c>
      <c r="M31">
        <f>IF(Evalucion!N29=Datos!$C$15,Datos!$D$15,IF(Evalucion!N29=Datos!$C$16,Datos!$D$16,IF(Evalucion!N29=Datos!$C$17,Datos!$D$17,IF(Evalucion!N29=Datos!$C$18,Datos!$D$18,IF(Evalucion!N29=Datos!$C$19,Datos!$D$19,"=")))))</f>
        <v>5</v>
      </c>
      <c r="N31">
        <f>IF(Evalucion!O29=Datos!$C$15,Datos!$D$15,IF(Evalucion!O29=Datos!$C$16,Datos!$D$16,IF(Evalucion!O29=Datos!$C$17,Datos!$D$17,IF(Evalucion!O29=Datos!$C$18,Datos!$D$18,IF(Evalucion!O29=Datos!$C$19,Datos!$D$19,"=")))))</f>
        <v>5</v>
      </c>
      <c r="O31">
        <f>IF(Evalucion!P29=Datos!$C$15,Datos!$D$15,IF(Evalucion!P29=Datos!$C$16,Datos!$D$16,IF(Evalucion!P29=Datos!$C$17,Datos!$D$17,IF(Evalucion!P29=Datos!$C$18,Datos!$D$18,IF(Evalucion!P29=Datos!$C$19,Datos!$D$19,"=")))))</f>
        <v>5</v>
      </c>
      <c r="P31">
        <f>IF(Evalucion!Q29=Datos!$C$15,Datos!$D$15,IF(Evalucion!Q29=Datos!$C$16,Datos!$D$16,IF(Evalucion!Q29=Datos!$C$17,Datos!$D$17,IF(Evalucion!Q29=Datos!$C$18,Datos!$D$18,IF(Evalucion!Q29=Datos!$C$19,Datos!$D$19,"=")))))</f>
        <v>5</v>
      </c>
      <c r="Q31">
        <f>IF(Evalucion!R29=Datos!$C$15,Datos!$D$15,IF(Evalucion!R29=Datos!$C$16,Datos!$D$16,IF(Evalucion!R29=Datos!$C$17,Datos!$D$17,IF(Evalucion!R29=Datos!$C$18,Datos!$D$18,IF(Evalucion!R29=Datos!$C$19,Datos!$D$19,"=")))))</f>
        <v>5</v>
      </c>
      <c r="R31">
        <f>IF(Evalucion!S29=Datos!$C$15,Datos!$D$15,IF(Evalucion!S29=Datos!$C$16,Datos!$D$16,IF(Evalucion!S29=Datos!$C$17,Datos!$D$17,IF(Evalucion!S29=Datos!$C$18,Datos!$D$18,IF(Evalucion!S29=Datos!$C$19,Datos!$D$19,"=")))))</f>
        <v>5</v>
      </c>
      <c r="S31">
        <f>IF(Evalucion!T29=Datos!$C$15,Datos!$D$15,IF(Evalucion!T29=Datos!$C$16,Datos!$D$16,IF(Evalucion!T29=Datos!$C$17,Datos!$D$17,IF(Evalucion!T29=Datos!$C$18,Datos!$D$18,IF(Evalucion!T29=Datos!$C$19,Datos!$D$19,"=")))))</f>
        <v>5</v>
      </c>
      <c r="T31">
        <f>IF(Evalucion!U29=Datos!$C$15,Datos!$D$15,IF(Evalucion!U29=Datos!$C$16,Datos!$D$16,IF(Evalucion!U29=Datos!$C$17,Datos!$D$17,IF(Evalucion!U29=Datos!$C$18,Datos!$D$18,IF(Evalucion!U29=Datos!$C$19,Datos!$D$19,"=")))))</f>
        <v>5</v>
      </c>
      <c r="U31">
        <f>IF(Evalucion!V29=Datos!$C$15,Datos!$D$15,IF(Evalucion!V29=Datos!$C$16,Datos!$D$16,IF(Evalucion!V29=Datos!$C$17,Datos!$D$17,IF(Evalucion!V29=Datos!$C$18,Datos!$D$18,IF(Evalucion!V29=Datos!$C$19,Datos!$D$19,"=")))))</f>
        <v>5</v>
      </c>
      <c r="V31">
        <f>IF(Evalucion!W29=Datos!$C$15,Datos!$D$15,IF(Evalucion!W29=Datos!$C$16,Datos!$D$16,IF(Evalucion!W29=Datos!$C$17,Datos!$D$17,IF(Evalucion!W29=Datos!$C$18,Datos!$D$18,IF(Evalucion!W29=Datos!$C$19,Datos!$D$19,"=")))))</f>
        <v>5</v>
      </c>
      <c r="W31">
        <f>IF(Evalucion!X29=Datos!$C$15,Datos!$D$15,IF(Evalucion!X29=Datos!$C$16,Datos!$D$16,IF(Evalucion!X29=Datos!$C$17,Datos!$D$17,IF(Evalucion!X29=Datos!$C$18,Datos!$D$18,IF(Evalucion!X29=Datos!$C$19,Datos!$D$19,"=")))))</f>
        <v>5</v>
      </c>
      <c r="X31">
        <f>IF(Evalucion!Y29=Datos!$C$15,Datos!$D$15,IF(Evalucion!Y29=Datos!$C$16,Datos!$D$16,IF(Evalucion!Y29=Datos!$C$17,Datos!$D$17,IF(Evalucion!Y29=Datos!$C$18,Datos!$D$18,IF(Evalucion!Y29=Datos!$C$19,Datos!$D$19,"=")))))</f>
        <v>5</v>
      </c>
      <c r="Y31">
        <f>IF(Evalucion!Z29=Datos!$C$15,Datos!$D$15,IF(Evalucion!Z29=Datos!$C$16,Datos!$D$16,IF(Evalucion!Z29=Datos!$C$17,Datos!$D$17,IF(Evalucion!Z29=Datos!$C$18,Datos!$D$18,IF(Evalucion!Z29=Datos!$C$19,Datos!$D$19,"=")))))</f>
        <v>5</v>
      </c>
      <c r="Z31">
        <f>IF(Evalucion!AA29=Datos!$C$15,Datos!$D$15,IF(Evalucion!AA29=Datos!$C$16,Datos!$D$16,IF(Evalucion!AA29=Datos!$C$17,Datos!$D$17,IF(Evalucion!AA29=Datos!$C$18,Datos!$D$18,IF(Evalucion!AA29=Datos!$C$19,Datos!$D$19,"=")))))</f>
        <v>5</v>
      </c>
      <c r="AA31">
        <f>IF(Evalucion!AB29=Datos!$C$15,Datos!$D$15,IF(Evalucion!AB29=Datos!$C$16,Datos!$D$16,IF(Evalucion!AB29=Datos!$C$17,Datos!$D$17,IF(Evalucion!AB29=Datos!$C$18,Datos!$D$18,IF(Evalucion!AB29=Datos!$C$19,Datos!$D$19,"=")))))</f>
        <v>5</v>
      </c>
      <c r="AB31">
        <f>IF(Evalucion!AC29=Datos!$C$15,Datos!$D$15,IF(Evalucion!AC29=Datos!$C$16,Datos!$D$16,IF(Evalucion!AC29=Datos!$C$17,Datos!$D$17,IF(Evalucion!AC29=Datos!$C$18,Datos!$D$18,IF(Evalucion!AC29=Datos!$C$19,Datos!$D$19,"=")))))</f>
        <v>5</v>
      </c>
      <c r="AC31">
        <f>IF(Evalucion!AD29=Datos!$C$15,Datos!$D$15,IF(Evalucion!AD29=Datos!$C$16,Datos!$D$16,IF(Evalucion!AD29=Datos!$C$17,Datos!$D$17,IF(Evalucion!AD29=Datos!$C$18,Datos!$D$18,IF(Evalucion!AD29=Datos!$C$19,Datos!$D$19,"=")))))</f>
        <v>5</v>
      </c>
      <c r="AD31">
        <f>IF(Evalucion!AE29=Datos!$C$15,Datos!$D$15,IF(Evalucion!AE29=Datos!$C$16,Datos!$D$16,IF(Evalucion!AE29=Datos!$C$17,Datos!$D$17,IF(Evalucion!AE29=Datos!$C$18,Datos!$D$18,IF(Evalucion!AE29=Datos!$C$19,Datos!$D$19,"=")))))</f>
        <v>5</v>
      </c>
      <c r="AE31">
        <f>IF(Evalucion!AF29=Datos!$C$15,Datos!$D$15,IF(Evalucion!AF29=Datos!$C$16,Datos!$D$16,IF(Evalucion!AF29=Datos!$C$17,Datos!$D$17,IF(Evalucion!AF29=Datos!$C$18,Datos!$D$18,IF(Evalucion!AF29=Datos!$C$19,Datos!$D$19,"=")))))</f>
        <v>5</v>
      </c>
      <c r="AF31">
        <f>IF(Evalucion!AG29=Datos!$C$15,Datos!$D$15,IF(Evalucion!AG29=Datos!$C$16,Datos!$D$16,IF(Evalucion!AG29=Datos!$C$17,Datos!$D$17,IF(Evalucion!AG29=Datos!$C$18,Datos!$D$18,IF(Evalucion!AG29=Datos!$C$19,Datos!$D$19,"=")))))</f>
        <v>5</v>
      </c>
      <c r="AO31">
        <f>IF(Evalucion!AP29=Datos!$C$15,Datos!$D$15,IF(Evalucion!AP29=Datos!$C$16,Datos!$D$16,IF(Evalucion!AP29=Datos!$C$17,Datos!$D$17,IF(Evalucion!AP29=Datos!$C$18,Datos!$D$18,IF(Evalucion!AP29=Datos!$C$19,Datos!$D$19,"=")))))</f>
        <v>5</v>
      </c>
      <c r="AP31">
        <f>IF(Evalucion!AQ29=Datos!$C$15,Datos!$D$15,IF(Evalucion!AQ29=Datos!$C$16,Datos!$D$16,IF(Evalucion!AQ29=Datos!$C$17,Datos!$D$17,IF(Evalucion!AQ29=Datos!$C$18,Datos!$D$18,IF(Evalucion!AQ29=Datos!$C$19,Datos!$D$19,"=")))))</f>
        <v>5</v>
      </c>
      <c r="AQ31">
        <f>IF(Evalucion!AR29=Datos!$C$15,Datos!$D$15,IF(Evalucion!AR29=Datos!$C$16,Datos!$D$16,IF(Evalucion!AR29=Datos!$C$17,Datos!$D$17,IF(Evalucion!AR29=Datos!$C$18,Datos!$D$18,IF(Evalucion!AR29=Datos!$C$19,Datos!$D$19,"=")))))</f>
        <v>1</v>
      </c>
      <c r="AR31">
        <f>IF(Evalucion!AS29=Datos!$C$15,Datos!$D$15,IF(Evalucion!AS29=Datos!$C$16,Datos!$D$16,IF(Evalucion!AS29=Datos!$C$17,Datos!$D$17,IF(Evalucion!AS29=Datos!$C$18,Datos!$D$18,IF(Evalucion!AS29=Datos!$C$19,Datos!$D$19,"=")))))</f>
        <v>1</v>
      </c>
      <c r="AS31">
        <f>IF(Evalucion!AT29=Datos!$C$15,Datos!$D$15,IF(Evalucion!AT29=Datos!$C$16,Datos!$D$16,IF(Evalucion!AT29=Datos!$C$17,Datos!$D$17,IF(Evalucion!AT29=Datos!$C$18,Datos!$D$18,IF(Evalucion!AT29=Datos!$C$19,Datos!$D$19,"=")))))</f>
        <v>1</v>
      </c>
      <c r="AT31">
        <f>IF(Evalucion!AU29=Datos!$C$15,Datos!$D$15,IF(Evalucion!AU29=Datos!$C$16,Datos!$D$16,IF(Evalucion!AU29=Datos!$C$17,Datos!$D$17,IF(Evalucion!AU29=Datos!$C$18,Datos!$D$18,IF(Evalucion!AU29=Datos!$C$19,Datos!$D$19,"=")))))</f>
        <v>1</v>
      </c>
      <c r="AV31">
        <f>IF(Evalucion!AW29=Datos!$C$15,Datos!$D$15,IF(Evalucion!AW29=Datos!$C$16,Datos!$D$16,IF(Evalucion!AW29=Datos!$C$17,Datos!$D$17,IF(Evalucion!AW29=Datos!$C$18,Datos!$D$18,IF(Evalucion!AW29=Datos!$C$19,Datos!$D$19,"=")))))</f>
        <v>1</v>
      </c>
      <c r="AW31">
        <f>IF(Evalucion!AX29=Datos!$C$15,Datos!$D$15,IF(Evalucion!AX29=Datos!$C$16,Datos!$D$16,IF(Evalucion!AX29=Datos!$C$17,Datos!$D$17,IF(Evalucion!AX29=Datos!$C$18,Datos!$D$18,IF(Evalucion!AX29=Datos!$C$19,Datos!$D$19,"=")))))</f>
        <v>1</v>
      </c>
      <c r="AX31">
        <f>IF(Evalucion!AY29=Datos!$C$15,Datos!$D$15,IF(Evalucion!AY29=Datos!$C$16,Datos!$D$16,IF(Evalucion!AY29=Datos!$C$17,Datos!$D$17,IF(Evalucion!AY29=Datos!$C$18,Datos!$D$18,IF(Evalucion!AY29=Datos!$C$19,Datos!$D$19,"=")))))</f>
        <v>5</v>
      </c>
      <c r="AY31">
        <f>IF(Evalucion!AZ29=Datos!$C$15,Datos!$D$15,IF(Evalucion!AZ29=Datos!$C$16,Datos!$D$16,IF(Evalucion!AZ29=Datos!$C$17,Datos!$D$17,IF(Evalucion!AZ29=Datos!$C$18,Datos!$D$18,IF(Evalucion!AZ29=Datos!$C$19,Datos!$D$19,"=")))))</f>
        <v>5</v>
      </c>
      <c r="AZ31">
        <f>IF(Evalucion!BA29=Datos!$C$15,Datos!$D$15,IF(Evalucion!BA29=Datos!$C$16,Datos!$D$16,IF(Evalucion!BA29=Datos!$C$17,Datos!$D$17,IF(Evalucion!BA29=Datos!$C$18,Datos!$D$18,IF(Evalucion!BA29=Datos!$C$19,Datos!$D$19,"=")))))</f>
        <v>5</v>
      </c>
      <c r="BA31">
        <f>IF(Evalucion!BB29=Datos!$C$15,Datos!$D$15,IF(Evalucion!BB29=Datos!$C$16,Datos!$D$16,IF(Evalucion!BB29=Datos!$C$17,Datos!$D$17,IF(Evalucion!BB29=Datos!$C$18,Datos!$D$18,IF(Evalucion!BB29=Datos!$C$19,Datos!$D$19,"=")))))</f>
        <v>5</v>
      </c>
      <c r="BB31">
        <f>IF(Evalucion!BC29=Datos!$C$15,Datos!$D$15,IF(Evalucion!BC29=Datos!$C$16,Datos!$D$16,IF(Evalucion!BC29=Datos!$C$17,Datos!$D$17,IF(Evalucion!BC29=Datos!$C$18,Datos!$D$18,IF(Evalucion!BC29=Datos!$C$19,Datos!$D$19,"=")))))</f>
        <v>5</v>
      </c>
      <c r="BC31">
        <f>IF(Evalucion!BD29=Datos!$C$15,Datos!$D$15,IF(Evalucion!BD29=Datos!$C$16,Datos!$D$16,IF(Evalucion!BD29=Datos!$C$17,Datos!$D$17,IF(Evalucion!BD29=Datos!$C$18,Datos!$D$18,IF(Evalucion!BD29=Datos!$C$19,Datos!$D$19,"=")))))</f>
        <v>5</v>
      </c>
      <c r="BD31">
        <f>IF(Evalucion!BE29=Datos!$C$15,Datos!$D$15,IF(Evalucion!BE29=Datos!$C$16,Datos!$D$16,IF(Evalucion!BE29=Datos!$C$17,Datos!$D$17,IF(Evalucion!BE29=Datos!$C$18,Datos!$D$18,IF(Evalucion!BE29=Datos!$C$19,Datos!$D$19,"=")))))</f>
        <v>5</v>
      </c>
      <c r="BE31">
        <f>IF(Evalucion!BF29=Datos!$C$15,Datos!$D$15,IF(Evalucion!BF29=Datos!$C$16,Datos!$D$16,IF(Evalucion!BF29=Datos!$C$17,Datos!$D$17,IF(Evalucion!BF29=Datos!$C$18,Datos!$D$18,IF(Evalucion!BF29=Datos!$C$19,Datos!$D$19,"=")))))</f>
        <v>5</v>
      </c>
      <c r="BF31">
        <f>IF(Evalucion!BG29=Datos!$C$15,Datos!$D$15,IF(Evalucion!BG29=Datos!$C$16,Datos!$D$16,IF(Evalucion!BG29=Datos!$C$17,Datos!$D$17,IF(Evalucion!BG29=Datos!$C$18,Datos!$D$18,IF(Evalucion!BG29=Datos!$C$19,Datos!$D$19,"=")))))</f>
        <v>5</v>
      </c>
      <c r="BG31">
        <f>IF(Evalucion!BH29=Datos!$C$15,Datos!$D$15,IF(Evalucion!BH29=Datos!$C$16,Datos!$D$16,IF(Evalucion!BH29=Datos!$C$17,Datos!$D$17,IF(Evalucion!BH29=Datos!$C$18,Datos!$D$18,IF(Evalucion!BH29=Datos!$C$19,Datos!$D$19,"=")))))</f>
        <v>5</v>
      </c>
      <c r="BH31">
        <f>IF(Evalucion!BI29=Datos!$C$15,Datos!$D$15,IF(Evalucion!BI29=Datos!$C$16,Datos!$D$16,IF(Evalucion!BI29=Datos!$C$17,Datos!$D$17,IF(Evalucion!BI29=Datos!$C$18,Datos!$D$18,IF(Evalucion!BI29=Datos!$C$19,Datos!$D$19,"=")))))</f>
        <v>5</v>
      </c>
      <c r="BI31">
        <f>IF(Evalucion!BJ29=Datos!$C$15,Datos!$D$15,IF(Evalucion!BJ29=Datos!$C$16,Datos!$D$16,IF(Evalucion!BJ29=Datos!$C$17,Datos!$D$17,IF(Evalucion!BJ29=Datos!$C$18,Datos!$D$18,IF(Evalucion!BJ29=Datos!$C$19,Datos!$D$19,"=")))))</f>
        <v>5</v>
      </c>
      <c r="BJ31">
        <f>IF(Evalucion!BK29=Datos!$C$15,Datos!$D$15,IF(Evalucion!BK29=Datos!$C$16,Datos!$D$16,IF(Evalucion!BK29=Datos!$C$17,Datos!$D$17,IF(Evalucion!BK29=Datos!$C$18,Datos!$D$18,IF(Evalucion!BK29=Datos!$C$19,Datos!$D$19,"=")))))</f>
        <v>5</v>
      </c>
      <c r="BK31">
        <f>IF(Evalucion!BL29=Datos!$C$15,Datos!$D$15,IF(Evalucion!BL29=Datos!$C$16,Datos!$D$16,IF(Evalucion!BL29=Datos!$C$17,Datos!$D$17,IF(Evalucion!BL29=Datos!$C$18,Datos!$D$18,IF(Evalucion!BL29=Datos!$C$19,Datos!$D$19,"=")))))</f>
        <v>5</v>
      </c>
      <c r="BL31">
        <f>IF(Evalucion!BM29=Datos!$C$15,Datos!$D$15,IF(Evalucion!BM29=Datos!$C$16,Datos!$D$16,IF(Evalucion!BM29=Datos!$C$17,Datos!$D$17,IF(Evalucion!BM29=Datos!$C$18,Datos!$D$18,IF(Evalucion!BM29=Datos!$C$19,Datos!$D$19,"=")))))</f>
        <v>5</v>
      </c>
      <c r="BM31">
        <f>IF(Evalucion!BN29=Datos!$C$15,Datos!$D$15,IF(Evalucion!BN29=Datos!$C$16,Datos!$D$16,IF(Evalucion!BN29=Datos!$C$17,Datos!$D$17,IF(Evalucion!BN29=Datos!$C$18,Datos!$D$18,IF(Evalucion!BN29=Datos!$C$19,Datos!$D$19,"=")))))</f>
        <v>5</v>
      </c>
      <c r="BN31">
        <f>IF(Evalucion!BO29=Datos!$C$15,Datos!$D$15,IF(Evalucion!BO29=Datos!$C$16,Datos!$D$16,IF(Evalucion!BO29=Datos!$C$17,Datos!$D$17,IF(Evalucion!BO29=Datos!$C$18,Datos!$D$18,IF(Evalucion!BO29=Datos!$C$19,Datos!$D$19,"=")))))</f>
        <v>5</v>
      </c>
      <c r="BO31">
        <f>IF(Evalucion!BP29=Datos!$C$15,Datos!$D$15,IF(Evalucion!BP29=Datos!$C$16,Datos!$D$16,IF(Evalucion!BP29=Datos!$C$17,Datos!$D$17,IF(Evalucion!BP29=Datos!$C$18,Datos!$D$18,IF(Evalucion!BP29=Datos!$C$19,Datos!$D$19,"=")))))</f>
        <v>5</v>
      </c>
      <c r="BP31">
        <f>IF(Evalucion!BQ29=Datos!$C$15,Datos!$D$15,IF(Evalucion!BQ29=Datos!$C$16,Datos!$D$16,IF(Evalucion!BQ29=Datos!$C$17,Datos!$D$17,IF(Evalucion!BQ29=Datos!$C$18,Datos!$D$18,IF(Evalucion!BQ29=Datos!$C$19,Datos!$D$19,"=")))))</f>
        <v>5</v>
      </c>
      <c r="BQ31">
        <f>IF(Evalucion!BR29=Datos!$C$15,Datos!$D$15,IF(Evalucion!BR29=Datos!$C$16,Datos!$D$16,IF(Evalucion!BR29=Datos!$C$17,Datos!$D$17,IF(Evalucion!BR29=Datos!$C$18,Datos!$D$18,IF(Evalucion!BR29=Datos!$C$19,Datos!$D$19,"=")))))</f>
        <v>5</v>
      </c>
      <c r="BR31">
        <f>IF(Evalucion!BS29=Datos!$C$15,Datos!$D$15,IF(Evalucion!BS29=Datos!$C$16,Datos!$D$16,IF(Evalucion!BS29=Datos!$C$17,Datos!$D$17,IF(Evalucion!BS29=Datos!$C$18,Datos!$D$18,IF(Evalucion!BS29=Datos!$C$19,Datos!$D$19,"=")))))</f>
        <v>5</v>
      </c>
      <c r="BS31">
        <f>IF(Evalucion!BT29=Datos!$C$15,Datos!$D$15,IF(Evalucion!BT29=Datos!$C$16,Datos!$D$16,IF(Evalucion!BT29=Datos!$C$17,Datos!$D$17,IF(Evalucion!BT29=Datos!$C$18,Datos!$D$18,IF(Evalucion!BT29=Datos!$C$19,Datos!$D$19,"=")))))</f>
        <v>5</v>
      </c>
      <c r="BT31">
        <f>IF(Evalucion!BU29=Datos!$C$15,Datos!$D$15,IF(Evalucion!BU29=Datos!$C$16,Datos!$D$16,IF(Evalucion!BU29=Datos!$C$17,Datos!$D$17,IF(Evalucion!BU29=Datos!$C$18,Datos!$D$18,IF(Evalucion!BU29=Datos!$C$19,Datos!$D$19,"=")))))</f>
        <v>5</v>
      </c>
      <c r="BU31">
        <f>IF(Evalucion!BV29=Datos!$C$15,Datos!$D$15,IF(Evalucion!BV29=Datos!$C$16,Datos!$D$16,IF(Evalucion!BV29=Datos!$C$17,Datos!$D$17,IF(Evalucion!BV29=Datos!$C$18,Datos!$D$18,IF(Evalucion!BV29=Datos!$C$19,Datos!$D$19,"=")))))</f>
        <v>5</v>
      </c>
      <c r="BV31">
        <f>IF(Evalucion!BW29=Datos!$C$15,Datos!$D$15,IF(Evalucion!BW29=Datos!$C$16,Datos!$D$16,IF(Evalucion!BW29=Datos!$C$17,Datos!$D$17,IF(Evalucion!BW29=Datos!$C$18,Datos!$D$18,IF(Evalucion!BW29=Datos!$C$19,Datos!$D$19,"=")))))</f>
        <v>5</v>
      </c>
      <c r="BW31">
        <f>IF(Evalucion!BX29=Datos!$C$15,Datos!$D$15,IF(Evalucion!BX29=Datos!$C$16,Datos!$D$16,IF(Evalucion!BX29=Datos!$C$17,Datos!$D$17,IF(Evalucion!BX29=Datos!$C$18,Datos!$D$18,IF(Evalucion!BX29=Datos!$C$19,Datos!$D$19,"=")))))</f>
        <v>5</v>
      </c>
      <c r="BX31">
        <f>IF(Evalucion!BY29=Datos!$C$15,Datos!$D$15,IF(Evalucion!BY29=Datos!$C$16,Datos!$D$16,IF(Evalucion!BY29=Datos!$C$17,Datos!$D$17,IF(Evalucion!BY29=Datos!$C$18,Datos!$D$18,IF(Evalucion!BY29=Datos!$C$19,Datos!$D$19,"=")))))</f>
        <v>5</v>
      </c>
      <c r="BY31">
        <f>IF(Evalucion!BZ29=Datos!$C$15,Datos!$D$15,IF(Evalucion!BZ29=Datos!$C$16,Datos!$D$16,IF(Evalucion!BZ29=Datos!$C$17,Datos!$D$17,IF(Evalucion!BZ29=Datos!$C$18,Datos!$D$18,IF(Evalucion!BZ29=Datos!$C$19,Datos!$D$19,"=")))))</f>
        <v>5</v>
      </c>
      <c r="BZ31">
        <f>IF(Evalucion!CA29=Datos!$C$15,Datos!$D$15,IF(Evalucion!CA29=Datos!$C$16,Datos!$D$16,IF(Evalucion!CA29=Datos!$C$17,Datos!$D$17,IF(Evalucion!CA29=Datos!$C$18,Datos!$D$18,IF(Evalucion!CA29=Datos!$C$19,Datos!$D$19,"=")))))</f>
        <v>5</v>
      </c>
      <c r="CA31">
        <f>IF(Evalucion!CB29=Datos!$C$15,Datos!$D$15,IF(Evalucion!CB29=Datos!$C$16,Datos!$D$16,IF(Evalucion!CB29=Datos!$C$17,Datos!$D$17,IF(Evalucion!CB29=Datos!$C$18,Datos!$D$18,IF(Evalucion!CB29=Datos!$C$19,Datos!$D$19,"=")))))</f>
        <v>5</v>
      </c>
      <c r="CB31">
        <f>IF(Evalucion!CC29=Datos!$C$15,Datos!$D$15,IF(Evalucion!CC29=Datos!$C$16,Datos!$D$16,IF(Evalucion!CC29=Datos!$C$17,Datos!$D$17,IF(Evalucion!CC29=Datos!$C$18,Datos!$D$18,IF(Evalucion!CC29=Datos!$C$19,Datos!$D$19,"=")))))</f>
        <v>5</v>
      </c>
      <c r="CC31">
        <f>IF(Evalucion!CD29=Datos!$C$15,Datos!$D$15,IF(Evalucion!CD29=Datos!$C$16,Datos!$D$16,IF(Evalucion!CD29=Datos!$C$17,Datos!$D$17,IF(Evalucion!CD29=Datos!$C$18,Datos!$D$18,IF(Evalucion!CD29=Datos!$C$19,Datos!$D$19,"=")))))</f>
        <v>5</v>
      </c>
      <c r="CD31">
        <f>IF(Evalucion!CE29=Datos!$C$15,Datos!$D$15,IF(Evalucion!CE29=Datos!$C$16,Datos!$D$16,IF(Evalucion!CE29=Datos!$C$17,Datos!$D$17,IF(Evalucion!CE29=Datos!$C$18,Datos!$D$18,IF(Evalucion!CE29=Datos!$C$19,Datos!$D$19,"=")))))</f>
        <v>5</v>
      </c>
      <c r="CE31">
        <f>IF(Evalucion!CF29=Datos!$C$15,Datos!$D$15,IF(Evalucion!CF29=Datos!$C$16,Datos!$D$16,IF(Evalucion!CF29=Datos!$C$17,Datos!$D$17,IF(Evalucion!CF29=Datos!$C$18,Datos!$D$18,IF(Evalucion!CF29=Datos!$C$19,Datos!$D$19,"=")))))</f>
        <v>5</v>
      </c>
      <c r="CF31">
        <f>IF(Evalucion!CG29=Datos!$C$15,Datos!$D$15,IF(Evalucion!CG29=Datos!$C$16,Datos!$D$16,IF(Evalucion!CG29=Datos!$C$17,Datos!$D$17,IF(Evalucion!CG29=Datos!$C$18,Datos!$D$18,IF(Evalucion!CG29=Datos!$C$19,Datos!$D$19,"=")))))</f>
        <v>5</v>
      </c>
      <c r="CG31">
        <f>IF(Evalucion!CH29=Datos!$C$15,Datos!$D$15,IF(Evalucion!CH29=Datos!$C$16,Datos!$D$16,IF(Evalucion!CH29=Datos!$C$17,Datos!$D$17,IF(Evalucion!CH29=Datos!$C$18,Datos!$D$18,IF(Evalucion!CH29=Datos!$C$19,Datos!$D$19,"=")))))</f>
        <v>5</v>
      </c>
      <c r="CH31">
        <f>IF(Evalucion!CI29=Datos!$C$15,Datos!$D$15,IF(Evalucion!CI29=Datos!$C$16,Datos!$D$16,IF(Evalucion!CI29=Datos!$C$17,Datos!$D$17,IF(Evalucion!CI29=Datos!$C$18,Datos!$D$18,IF(Evalucion!CI29=Datos!$C$19,Datos!$D$19,"=")))))</f>
        <v>5</v>
      </c>
      <c r="CI31">
        <f>IF(Evalucion!CJ29=Datos!$C$15,Datos!$D$15,IF(Evalucion!CJ29=Datos!$C$16,Datos!$D$16,IF(Evalucion!CJ29=Datos!$C$17,Datos!$D$17,IF(Evalucion!CJ29=Datos!$C$18,Datos!$D$18,IF(Evalucion!CJ29=Datos!$C$19,Datos!$D$19,"=")))))</f>
        <v>5</v>
      </c>
      <c r="CJ31">
        <f>IF(Evalucion!CK29=Datos!$C$15,Datos!$D$15,IF(Evalucion!CK29=Datos!$C$16,Datos!$D$16,IF(Evalucion!CK29=Datos!$C$17,Datos!$D$17,IF(Evalucion!CK29=Datos!$C$18,Datos!$D$18,IF(Evalucion!CK29=Datos!$C$19,Datos!$D$19,"=")))))</f>
        <v>5</v>
      </c>
      <c r="CK31">
        <f>IF(Evalucion!CL29=Datos!$C$15,Datos!$D$15,IF(Evalucion!CL29=Datos!$C$16,Datos!$D$16,IF(Evalucion!CL29=Datos!$C$17,Datos!$D$17,IF(Evalucion!CL29=Datos!$C$18,Datos!$D$18,IF(Evalucion!CL29=Datos!$C$19,Datos!$D$19,"=")))))</f>
        <v>5</v>
      </c>
      <c r="CL31">
        <f>IF(Evalucion!CM29=Datos!$C$15,Datos!$D$15,IF(Evalucion!CM29=Datos!$C$16,Datos!$D$16,IF(Evalucion!CM29=Datos!$C$17,Datos!$D$17,IF(Evalucion!CM29=Datos!$C$18,Datos!$D$18,IF(Evalucion!CM29=Datos!$C$19,Datos!$D$19,"=")))))</f>
        <v>5</v>
      </c>
      <c r="CM31">
        <f>IF(Evalucion!CN29=Datos!$C$15,Datos!$D$15,IF(Evalucion!CN29=Datos!$C$16,Datos!$D$16,IF(Evalucion!CN29=Datos!$C$17,Datos!$D$17,IF(Evalucion!CN29=Datos!$C$18,Datos!$D$18,IF(Evalucion!CN29=Datos!$C$19,Datos!$D$19,"=")))))</f>
        <v>5</v>
      </c>
      <c r="CN31">
        <f>IF(Evalucion!CO29=Datos!$C$15,Datos!$D$15,IF(Evalucion!CO29=Datos!$C$16,Datos!$D$16,IF(Evalucion!CO29=Datos!$C$17,Datos!$D$17,IF(Evalucion!CO29=Datos!$C$18,Datos!$D$18,IF(Evalucion!CO29=Datos!$C$19,Datos!$D$19,"=")))))</f>
        <v>5</v>
      </c>
      <c r="CO31">
        <f>IF(Evalucion!CP29=Datos!$C$15,Datos!$D$15,IF(Evalucion!CP29=Datos!$C$16,Datos!$D$16,IF(Evalucion!CP29=Datos!$C$17,Datos!$D$17,IF(Evalucion!CP29=Datos!$C$18,Datos!$D$18,IF(Evalucion!CP29=Datos!$C$19,Datos!$D$19,"=")))))</f>
        <v>5</v>
      </c>
      <c r="CP31">
        <f>IF(Evalucion!CQ29=Datos!$C$15,Datos!$D$15,IF(Evalucion!CQ29=Datos!$C$16,Datos!$D$16,IF(Evalucion!CQ29=Datos!$C$17,Datos!$D$17,IF(Evalucion!CQ29=Datos!$C$18,Datos!$D$18,IF(Evalucion!CQ29=Datos!$C$19,Datos!$D$19,"=")))))</f>
        <v>5</v>
      </c>
      <c r="CQ31">
        <f>IF(Evalucion!CR29=Datos!$C$15,Datos!$D$15,IF(Evalucion!CR29=Datos!$C$16,Datos!$D$16,IF(Evalucion!CR29=Datos!$C$17,Datos!$D$17,IF(Evalucion!CR29=Datos!$C$18,Datos!$D$18,IF(Evalucion!CR29=Datos!$C$19,Datos!$D$19,"=")))))</f>
        <v>1</v>
      </c>
      <c r="CR31">
        <f>IF(Evalucion!CS29=Datos!$C$15,Datos!$D$15,IF(Evalucion!CS29=Datos!$C$16,Datos!$D$16,IF(Evalucion!CS29=Datos!$C$17,Datos!$D$17,IF(Evalucion!CS29=Datos!$C$18,Datos!$D$18,IF(Evalucion!CS29=Datos!$C$19,Datos!$D$19,"=")))))</f>
        <v>5</v>
      </c>
      <c r="CS31">
        <f>IF(Evalucion!CT29=Datos!$C$15,Datos!$D$15,IF(Evalucion!CT29=Datos!$C$16,Datos!$D$16,IF(Evalucion!CT29=Datos!$C$17,Datos!$D$17,IF(Evalucion!CT29=Datos!$C$18,Datos!$D$18,IF(Evalucion!CT29=Datos!$C$19,Datos!$D$19,"=")))))</f>
        <v>5</v>
      </c>
      <c r="CT31">
        <f>IF(Evalucion!CU29=Datos!$C$15,Datos!$D$15,IF(Evalucion!CU29=Datos!$C$16,Datos!$D$16,IF(Evalucion!CU29=Datos!$C$17,Datos!$D$17,IF(Evalucion!CU29=Datos!$C$18,Datos!$D$18,IF(Evalucion!CU29=Datos!$C$19,Datos!$D$19,"=")))))</f>
        <v>5</v>
      </c>
      <c r="CU31">
        <f>IF(Evalucion!CV29=Datos!$C$15,Datos!$D$15,IF(Evalucion!CV29=Datos!$C$16,Datos!$D$16,IF(Evalucion!CV29=Datos!$C$17,Datos!$D$17,IF(Evalucion!CV29=Datos!$C$18,Datos!$D$18,IF(Evalucion!CV29=Datos!$C$19,Datos!$D$19,"=")))))</f>
        <v>5</v>
      </c>
      <c r="CV31">
        <f>IF(Evalucion!CW29=Datos!$C$15,Datos!$D$15,IF(Evalucion!CW29=Datos!$C$16,Datos!$D$16,IF(Evalucion!CW29=Datos!$C$17,Datos!$D$17,IF(Evalucion!CW29=Datos!$C$18,Datos!$D$18,IF(Evalucion!CW29=Datos!$C$19,Datos!$D$19,"=")))))</f>
        <v>5</v>
      </c>
      <c r="CW31">
        <f>IF(Evalucion!CX29=Datos!$C$15,Datos!$D$15,IF(Evalucion!CX29=Datos!$C$16,Datos!$D$16,IF(Evalucion!CX29=Datos!$C$17,Datos!$D$17,IF(Evalucion!CX29=Datos!$C$18,Datos!$D$18,IF(Evalucion!CX29=Datos!$C$19,Datos!$D$19,"=")))))</f>
        <v>5</v>
      </c>
      <c r="CX31">
        <f>IF(Evalucion!CY29=Datos!$C$15,Datos!$D$15,IF(Evalucion!CY29=Datos!$C$16,Datos!$D$16,IF(Evalucion!CY29=Datos!$C$17,Datos!$D$17,IF(Evalucion!CY29=Datos!$C$18,Datos!$D$18,IF(Evalucion!CY29=Datos!$C$19,Datos!$D$19,"=")))))</f>
        <v>5</v>
      </c>
      <c r="CY31">
        <f>IF(Evalucion!CZ29=Datos!$C$15,Datos!$D$15,IF(Evalucion!CZ29=Datos!$C$16,Datos!$D$16,IF(Evalucion!CZ29=Datos!$C$17,Datos!$D$17,IF(Evalucion!CZ29=Datos!$C$18,Datos!$D$18,IF(Evalucion!CZ29=Datos!$C$19,Datos!$D$19,"=")))))</f>
        <v>5</v>
      </c>
      <c r="CZ31">
        <f>IF(Evalucion!DA29=Datos!$C$15,Datos!$D$15,IF(Evalucion!DA29=Datos!$C$16,Datos!$D$16,IF(Evalucion!DA29=Datos!$C$17,Datos!$D$17,IF(Evalucion!DA29=Datos!$C$18,Datos!$D$18,IF(Evalucion!DA29=Datos!$C$19,Datos!$D$19,"=")))))</f>
        <v>5</v>
      </c>
      <c r="DA31">
        <f>IF(Evalucion!DB29=Datos!$C$15,Datos!$D$15,IF(Evalucion!DB29=Datos!$C$16,Datos!$D$16,IF(Evalucion!DB29=Datos!$C$17,Datos!$D$17,IF(Evalucion!DB29=Datos!$C$18,Datos!$D$18,IF(Evalucion!DB29=Datos!$C$19,Datos!$D$19,"=")))))</f>
        <v>5</v>
      </c>
      <c r="DB31">
        <f>IF(Evalucion!DC29=Datos!$C$15,Datos!$D$15,IF(Evalucion!DC29=Datos!$C$16,Datos!$D$16,IF(Evalucion!DC29=Datos!$C$17,Datos!$D$17,IF(Evalucion!DC29=Datos!$C$18,Datos!$D$18,IF(Evalucion!DC29=Datos!$C$19,Datos!$D$19,"=")))))</f>
        <v>5</v>
      </c>
      <c r="DC31">
        <f>IF(Evalucion!DD29=Datos!$C$15,Datos!$D$15,IF(Evalucion!DD29=Datos!$C$16,Datos!$D$16,IF(Evalucion!DD29=Datos!$C$17,Datos!$D$17,IF(Evalucion!DD29=Datos!$C$18,Datos!$D$18,IF(Evalucion!DD29=Datos!$C$19,Datos!$D$19,"=")))))</f>
        <v>5</v>
      </c>
      <c r="DD31">
        <f>IF(Evalucion!DE29=Datos!$C$15,Datos!$D$15,IF(Evalucion!DE29=Datos!$C$16,Datos!$D$16,IF(Evalucion!DE29=Datos!$C$17,Datos!$D$17,IF(Evalucion!DE29=Datos!$C$18,Datos!$D$18,IF(Evalucion!DE29=Datos!$C$19,Datos!$D$19,"=")))))</f>
        <v>5</v>
      </c>
      <c r="DE31">
        <f>IF(Evalucion!DF29=Datos!$C$15,Datos!$D$15,IF(Evalucion!DF29=Datos!$C$16,Datos!$D$16,IF(Evalucion!DF29=Datos!$C$17,Datos!$D$17,IF(Evalucion!DF29=Datos!$C$18,Datos!$D$18,IF(Evalucion!DF29=Datos!$C$19,Datos!$D$19,"=")))))</f>
        <v>5</v>
      </c>
      <c r="DF31">
        <f>IF(Evalucion!DG29=Datos!$C$15,Datos!$D$15,IF(Evalucion!DG29=Datos!$C$16,Datos!$D$16,IF(Evalucion!DG29=Datos!$C$17,Datos!$D$17,IF(Evalucion!DG29=Datos!$C$18,Datos!$D$18,IF(Evalucion!DG29=Datos!$C$19,Datos!$D$19,"=")))))</f>
        <v>5</v>
      </c>
      <c r="DG31">
        <f>IF(Evalucion!DH29=Datos!$C$15,Datos!$D$15,IF(Evalucion!DH29=Datos!$C$16,Datos!$D$16,IF(Evalucion!DH29=Datos!$C$17,Datos!$D$17,IF(Evalucion!DH29=Datos!$C$18,Datos!$D$18,IF(Evalucion!DH29=Datos!$C$19,Datos!$D$19,"=")))))</f>
        <v>5</v>
      </c>
      <c r="DH31">
        <f>IF(Evalucion!DI29=Datos!$C$15,Datos!$D$15,IF(Evalucion!DI29=Datos!$C$16,Datos!$D$16,IF(Evalucion!DI29=Datos!$C$17,Datos!$D$17,IF(Evalucion!DI29=Datos!$C$18,Datos!$D$18,IF(Evalucion!DI29=Datos!$C$19,Datos!$D$19,"=")))))</f>
        <v>5</v>
      </c>
      <c r="DI31">
        <f>IF(Evalucion!DJ29=Datos!$C$15,Datos!$D$15,IF(Evalucion!DJ29=Datos!$C$16,Datos!$D$16,IF(Evalucion!DJ29=Datos!$C$17,Datos!$D$17,IF(Evalucion!DJ29=Datos!$C$18,Datos!$D$18,IF(Evalucion!DJ29=Datos!$C$19,Datos!$D$19,"=")))))</f>
        <v>5</v>
      </c>
      <c r="DJ31">
        <f>IF(Evalucion!DK29=Datos!$C$15,Datos!$D$15,IF(Evalucion!DK29=Datos!$C$16,Datos!$D$16,IF(Evalucion!DK29=Datos!$C$17,Datos!$D$17,IF(Evalucion!DK29=Datos!$C$18,Datos!$D$18,IF(Evalucion!DK29=Datos!$C$19,Datos!$D$19,"=")))))</f>
        <v>5</v>
      </c>
      <c r="DK31">
        <f>IF(Evalucion!DL29=Datos!$C$15,Datos!$D$15,IF(Evalucion!DL29=Datos!$C$16,Datos!$D$16,IF(Evalucion!DL29=Datos!$C$17,Datos!$D$17,IF(Evalucion!DL29=Datos!$C$18,Datos!$D$18,IF(Evalucion!DL29=Datos!$C$19,Datos!$D$19,"=")))))</f>
        <v>5</v>
      </c>
      <c r="DL31">
        <f>IF(Evalucion!DM29=Datos!$C$15,Datos!$D$15,IF(Evalucion!DM29=Datos!$C$16,Datos!$D$16,IF(Evalucion!DM29=Datos!$C$17,Datos!$D$17,IF(Evalucion!DM29=Datos!$C$18,Datos!$D$18,IF(Evalucion!DM29=Datos!$C$19,Datos!$D$19,"=")))))</f>
        <v>5</v>
      </c>
      <c r="DM31">
        <f>IF(Evalucion!DN29=Datos!$C$15,Datos!$D$15,IF(Evalucion!DN29=Datos!$C$16,Datos!$D$16,IF(Evalucion!DN29=Datos!$C$17,Datos!$D$17,IF(Evalucion!DN29=Datos!$C$18,Datos!$D$18,IF(Evalucion!DN29=Datos!$C$19,Datos!$D$19,"=")))))</f>
        <v>5</v>
      </c>
      <c r="DN31">
        <f>IF(Evalucion!DO29=Datos!$C$15,Datos!$D$15,IF(Evalucion!DO29=Datos!$C$16,Datos!$D$16,IF(Evalucion!DO29=Datos!$C$17,Datos!$D$17,IF(Evalucion!DO29=Datos!$C$18,Datos!$D$18,IF(Evalucion!DO29=Datos!$C$19,Datos!$D$19,"=")))))</f>
        <v>5</v>
      </c>
      <c r="DO31">
        <f>IF(Evalucion!DP29=Datos!$C$15,Datos!$D$15,IF(Evalucion!DP29=Datos!$C$16,Datos!$D$16,IF(Evalucion!DP29=Datos!$C$17,Datos!$D$17,IF(Evalucion!DP29=Datos!$C$18,Datos!$D$18,IF(Evalucion!DP29=Datos!$C$19,Datos!$D$19,"=")))))</f>
        <v>5</v>
      </c>
      <c r="DP31">
        <f>IF(Evalucion!DQ29=Datos!$C$15,Datos!$D$15,IF(Evalucion!DQ29=Datos!$C$16,Datos!$D$16,IF(Evalucion!DQ29=Datos!$C$17,Datos!$D$17,IF(Evalucion!DQ29=Datos!$C$18,Datos!$D$18,IF(Evalucion!DQ29=Datos!$C$19,Datos!$D$19,"=")))))</f>
        <v>5</v>
      </c>
      <c r="DQ31">
        <f>IF(Evalucion!DR29=Datos!$C$15,Datos!$D$15,IF(Evalucion!DR29=Datos!$C$16,Datos!$D$16,IF(Evalucion!DR29=Datos!$C$17,Datos!$D$17,IF(Evalucion!DR29=Datos!$C$18,Datos!$D$18,IF(Evalucion!DR29=Datos!$C$19,Datos!$D$19,"=")))))</f>
        <v>5</v>
      </c>
      <c r="DR31">
        <f>IF(Evalucion!DS29=Datos!$C$15,Datos!$D$15,IF(Evalucion!DS29=Datos!$C$16,Datos!$D$16,IF(Evalucion!DS29=Datos!$C$17,Datos!$D$17,IF(Evalucion!DS29=Datos!$C$18,Datos!$D$18,IF(Evalucion!DS29=Datos!$C$19,Datos!$D$19,"=")))))</f>
        <v>5</v>
      </c>
      <c r="DS31">
        <f>IF(Evalucion!DT29=Datos!$C$15,Datos!$D$15,IF(Evalucion!DT29=Datos!$C$16,Datos!$D$16,IF(Evalucion!DT29=Datos!$C$17,Datos!$D$17,IF(Evalucion!DT29=Datos!$C$18,Datos!$D$18,IF(Evalucion!DT29=Datos!$C$19,Datos!$D$19,"=")))))</f>
        <v>5</v>
      </c>
      <c r="DT31">
        <f>IF(Evalucion!DU29=Datos!$C$15,Datos!$D$15,IF(Evalucion!DU29=Datos!$C$16,Datos!$D$16,IF(Evalucion!DU29=Datos!$C$17,Datos!$D$17,IF(Evalucion!DU29=Datos!$C$18,Datos!$D$18,IF(Evalucion!DU29=Datos!$C$19,Datos!$D$19,"=")))))</f>
        <v>5</v>
      </c>
      <c r="DU31">
        <f>IF(Evalucion!DV29=Datos!$C$15,Datos!$D$15,IF(Evalucion!DV29=Datos!$C$16,Datos!$D$16,IF(Evalucion!DV29=Datos!$C$17,Datos!$D$17,IF(Evalucion!DV29=Datos!$C$18,Datos!$D$18,IF(Evalucion!DV29=Datos!$C$19,Datos!$D$19,"=")))))</f>
        <v>5</v>
      </c>
      <c r="DV31">
        <f>IF(Evalucion!DW29=Datos!$C$15,Datos!$D$15,IF(Evalucion!DW29=Datos!$C$16,Datos!$D$16,IF(Evalucion!DW29=Datos!$C$17,Datos!$D$17,IF(Evalucion!DW29=Datos!$C$18,Datos!$D$18,IF(Evalucion!DW29=Datos!$C$19,Datos!$D$19,"=")))))</f>
        <v>5</v>
      </c>
      <c r="DW31">
        <f>IF(Evalucion!DX29=Datos!$C$15,Datos!$D$15,IF(Evalucion!DX29=Datos!$C$16,Datos!$D$16,IF(Evalucion!DX29=Datos!$C$17,Datos!$D$17,IF(Evalucion!DX29=Datos!$C$18,Datos!$D$18,IF(Evalucion!DX29=Datos!$C$19,Datos!$D$19,"=")))))</f>
        <v>5</v>
      </c>
      <c r="DX31">
        <f>IF(Evalucion!DY29=Datos!$C$15,Datos!$D$15,IF(Evalucion!DY29=Datos!$C$16,Datos!$D$16,IF(Evalucion!DY29=Datos!$C$17,Datos!$D$17,IF(Evalucion!DY29=Datos!$C$18,Datos!$D$18,IF(Evalucion!DY29=Datos!$C$19,Datos!$D$19,"=")))))</f>
        <v>5</v>
      </c>
      <c r="DY31">
        <f>IF(Evalucion!DZ29=Datos!$C$15,Datos!$D$15,IF(Evalucion!DZ29=Datos!$C$16,Datos!$D$16,IF(Evalucion!DZ29=Datos!$C$17,Datos!$D$17,IF(Evalucion!DZ29=Datos!$C$18,Datos!$D$18,IF(Evalucion!DZ29=Datos!$C$19,Datos!$D$19,"=")))))</f>
        <v>5</v>
      </c>
      <c r="DZ31">
        <f>IF(Evalucion!EA29=Datos!$C$15,Datos!$D$15,IF(Evalucion!EA29=Datos!$C$16,Datos!$D$16,IF(Evalucion!EA29=Datos!$C$17,Datos!$D$17,IF(Evalucion!EA29=Datos!$C$18,Datos!$D$18,IF(Evalucion!EA29=Datos!$C$19,Datos!$D$19,"=")))))</f>
        <v>5</v>
      </c>
      <c r="EA31">
        <f>IF(Evalucion!EB29=Datos!$C$15,Datos!$D$15,IF(Evalucion!EB29=Datos!$C$16,Datos!$D$16,IF(Evalucion!EB29=Datos!$C$17,Datos!$D$17,IF(Evalucion!EB29=Datos!$C$18,Datos!$D$18,IF(Evalucion!EB29=Datos!$C$19,Datos!$D$19,"=")))))</f>
        <v>5</v>
      </c>
      <c r="EB31">
        <f>IF(Evalucion!EC29=Datos!$C$15,Datos!$D$15,IF(Evalucion!EC29=Datos!$C$16,Datos!$D$16,IF(Evalucion!EC29=Datos!$C$17,Datos!$D$17,IF(Evalucion!EC29=Datos!$C$18,Datos!$D$18,IF(Evalucion!EC29=Datos!$C$19,Datos!$D$19,"=")))))</f>
        <v>5</v>
      </c>
      <c r="EC31">
        <f>IF(Evalucion!ED29=Datos!$C$15,Datos!$D$15,IF(Evalucion!ED29=Datos!$C$16,Datos!$D$16,IF(Evalucion!ED29=Datos!$C$17,Datos!$D$17,IF(Evalucion!ED29=Datos!$C$18,Datos!$D$18,IF(Evalucion!ED29=Datos!$C$19,Datos!$D$19,"=")))))</f>
        <v>5</v>
      </c>
      <c r="ED31">
        <f>IF(Evalucion!EE29=Datos!$C$15,Datos!$D$15,IF(Evalucion!EE29=Datos!$C$16,Datos!$D$16,IF(Evalucion!EE29=Datos!$C$17,Datos!$D$17,IF(Evalucion!EE29=Datos!$C$18,Datos!$D$18,IF(Evalucion!EE29=Datos!$C$19,Datos!$D$19,"=")))))</f>
        <v>5</v>
      </c>
      <c r="EE31">
        <f>IF(Evalucion!EF29=Datos!$C$15,Datos!$D$15,IF(Evalucion!EF29=Datos!$C$16,Datos!$D$16,IF(Evalucion!EF29=Datos!$C$17,Datos!$D$17,IF(Evalucion!EF29=Datos!$C$18,Datos!$D$18,IF(Evalucion!EF29=Datos!$C$19,Datos!$D$19,"=")))))</f>
        <v>5</v>
      </c>
      <c r="EF31">
        <f>IF(Evalucion!EG29=Datos!$C$15,Datos!$D$15,IF(Evalucion!EG29=Datos!$C$16,Datos!$D$16,IF(Evalucion!EG29=Datos!$C$17,Datos!$D$17,IF(Evalucion!EG29=Datos!$C$18,Datos!$D$18,IF(Evalucion!EG29=Datos!$C$19,Datos!$D$19,"=")))))</f>
        <v>5</v>
      </c>
      <c r="EG31">
        <f>IF(Evalucion!EH29=Datos!$C$15,Datos!$D$15,IF(Evalucion!EH29=Datos!$C$16,Datos!$D$16,IF(Evalucion!EH29=Datos!$C$17,Datos!$D$17,IF(Evalucion!EH29=Datos!$C$18,Datos!$D$18,IF(Evalucion!EH29=Datos!$C$19,Datos!$D$19,"=")))))</f>
        <v>5</v>
      </c>
      <c r="EH31">
        <f>IF(Evalucion!EI29=Datos!$C$15,Datos!$D$15,IF(Evalucion!EI29=Datos!$C$16,Datos!$D$16,IF(Evalucion!EI29=Datos!$C$17,Datos!$D$17,IF(Evalucion!EI29=Datos!$C$18,Datos!$D$18,IF(Evalucion!EI29=Datos!$C$19,Datos!$D$19,"=")))))</f>
        <v>5</v>
      </c>
      <c r="EI31">
        <f>IF(Evalucion!EJ29=Datos!$C$15,Datos!$D$15,IF(Evalucion!EJ29=Datos!$C$16,Datos!$D$16,IF(Evalucion!EJ29=Datos!$C$17,Datos!$D$17,IF(Evalucion!EJ29=Datos!$C$18,Datos!$D$18,IF(Evalucion!EJ29=Datos!$C$19,Datos!$D$19,"=")))))</f>
        <v>5</v>
      </c>
      <c r="EJ31">
        <f>IF(Evalucion!EK29=Datos!$C$15,Datos!$D$15,IF(Evalucion!EK29=Datos!$C$16,Datos!$D$16,IF(Evalucion!EK29=Datos!$C$17,Datos!$D$17,IF(Evalucion!EK29=Datos!$C$18,Datos!$D$18,IF(Evalucion!EK29=Datos!$C$19,Datos!$D$19,"=")))))</f>
        <v>5</v>
      </c>
      <c r="EK31">
        <f>IF(Evalucion!EL29=Datos!$C$15,Datos!$D$15,IF(Evalucion!EL29=Datos!$C$16,Datos!$D$16,IF(Evalucion!EL29=Datos!$C$17,Datos!$D$17,IF(Evalucion!EL29=Datos!$C$18,Datos!$D$18,IF(Evalucion!EL29=Datos!$C$19,Datos!$D$19,"=")))))</f>
        <v>5</v>
      </c>
      <c r="EL31">
        <f>IF(Evalucion!EM29=Datos!$C$15,Datos!$D$15,IF(Evalucion!EM29=Datos!$C$16,Datos!$D$16,IF(Evalucion!EM29=Datos!$C$17,Datos!$D$17,IF(Evalucion!EM29=Datos!$C$18,Datos!$D$18,IF(Evalucion!EM29=Datos!$C$19,Datos!$D$19,"=")))))</f>
        <v>5</v>
      </c>
      <c r="EM31">
        <f>IF(Evalucion!EN29=Datos!$C$15,Datos!$D$15,IF(Evalucion!EN29=Datos!$C$16,Datos!$D$16,IF(Evalucion!EN29=Datos!$C$17,Datos!$D$17,IF(Evalucion!EN29=Datos!$C$18,Datos!$D$18,IF(Evalucion!EN29=Datos!$C$19,Datos!$D$19,"=")))))</f>
        <v>5</v>
      </c>
      <c r="EN31">
        <f>IF(Evalucion!EO29=Datos!$C$15,Datos!$D$15,IF(Evalucion!EO29=Datos!$C$16,Datos!$D$16,IF(Evalucion!EO29=Datos!$C$17,Datos!$D$17,IF(Evalucion!EO29=Datos!$C$18,Datos!$D$18,IF(Evalucion!EO29=Datos!$C$19,Datos!$D$19,"=")))))</f>
        <v>5</v>
      </c>
      <c r="EO31">
        <f>IF(Evalucion!EP29=Datos!$C$15,Datos!$D$15,IF(Evalucion!EP29=Datos!$C$16,Datos!$D$16,IF(Evalucion!EP29=Datos!$C$17,Datos!$D$17,IF(Evalucion!EP29=Datos!$C$18,Datos!$D$18,IF(Evalucion!EP29=Datos!$C$19,Datos!$D$19,"=")))))</f>
        <v>5</v>
      </c>
      <c r="EP31">
        <f>IF(Evalucion!EQ29=Datos!$C$15,Datos!$D$15,IF(Evalucion!EQ29=Datos!$C$16,Datos!$D$16,IF(Evalucion!EQ29=Datos!$C$17,Datos!$D$17,IF(Evalucion!EQ29=Datos!$C$18,Datos!$D$18,IF(Evalucion!EQ29=Datos!$C$19,Datos!$D$19,"=")))))</f>
        <v>5</v>
      </c>
      <c r="EQ31">
        <f>IF(Evalucion!ER29=Datos!$C$15,Datos!$D$15,IF(Evalucion!ER29=Datos!$C$16,Datos!$D$16,IF(Evalucion!ER29=Datos!$C$17,Datos!$D$17,IF(Evalucion!ER29=Datos!$C$18,Datos!$D$18,IF(Evalucion!ER29=Datos!$C$19,Datos!$D$19,"=")))))</f>
        <v>5</v>
      </c>
      <c r="ER31">
        <f>IF(Evalucion!ES29=Datos!$C$15,Datos!$D$15,IF(Evalucion!ES29=Datos!$C$16,Datos!$D$16,IF(Evalucion!ES29=Datos!$C$17,Datos!$D$17,IF(Evalucion!ES29=Datos!$C$18,Datos!$D$18,IF(Evalucion!ES29=Datos!$C$19,Datos!$D$19,"=")))))</f>
        <v>5</v>
      </c>
      <c r="ES31">
        <f>IF(Evalucion!ET29=Datos!$C$15,Datos!$D$15,IF(Evalucion!ET29=Datos!$C$16,Datos!$D$16,IF(Evalucion!ET29=Datos!$C$17,Datos!$D$17,IF(Evalucion!ET29=Datos!$C$18,Datos!$D$18,IF(Evalucion!ET29=Datos!$C$19,Datos!$D$19,"=")))))</f>
        <v>5</v>
      </c>
      <c r="ET31">
        <f>IF(Evalucion!EU29=Datos!$C$15,Datos!$D$15,IF(Evalucion!EU29=Datos!$C$16,Datos!$D$16,IF(Evalucion!EU29=Datos!$C$17,Datos!$D$17,IF(Evalucion!EU29=Datos!$C$18,Datos!$D$18,IF(Evalucion!EU29=Datos!$C$19,Datos!$D$19,"=")))))</f>
        <v>5</v>
      </c>
      <c r="EU31">
        <f>IF(Evalucion!EV29=Datos!$C$15,Datos!$D$15,IF(Evalucion!EV29=Datos!$C$16,Datos!$D$16,IF(Evalucion!EV29=Datos!$C$17,Datos!$D$17,IF(Evalucion!EV29=Datos!$C$18,Datos!$D$18,IF(Evalucion!EV29=Datos!$C$19,Datos!$D$19,"=")))))</f>
        <v>1</v>
      </c>
      <c r="EV31">
        <f>IF(Evalucion!EW29=Datos!$C$15,Datos!$D$15,IF(Evalucion!EW29=Datos!$C$16,Datos!$D$16,IF(Evalucion!EW29=Datos!$C$17,Datos!$D$17,IF(Evalucion!EW29=Datos!$C$18,Datos!$D$18,IF(Evalucion!EW29=Datos!$C$19,Datos!$D$19,"=")))))</f>
        <v>5</v>
      </c>
      <c r="EW31">
        <f>IF(Evalucion!EX29=Datos!$C$15,Datos!$D$15,IF(Evalucion!EX29=Datos!$C$16,Datos!$D$16,IF(Evalucion!EX29=Datos!$C$17,Datos!$D$17,IF(Evalucion!EX29=Datos!$C$18,Datos!$D$18,IF(Evalucion!EX29=Datos!$C$19,Datos!$D$19,"=")))))</f>
        <v>5</v>
      </c>
      <c r="EX31">
        <f>IF(Evalucion!EY29=Datos!$C$15,Datos!$D$15,IF(Evalucion!EY29=Datos!$C$16,Datos!$D$16,IF(Evalucion!EY29=Datos!$C$17,Datos!$D$17,IF(Evalucion!EY29=Datos!$C$18,Datos!$D$18,IF(Evalucion!EY29=Datos!$C$19,Datos!$D$19,"=")))))</f>
        <v>5</v>
      </c>
      <c r="EY31">
        <f>IF(Evalucion!EZ29=Datos!$C$15,Datos!$D$15,IF(Evalucion!EZ29=Datos!$C$16,Datos!$D$16,IF(Evalucion!EZ29=Datos!$C$17,Datos!$D$17,IF(Evalucion!EZ29=Datos!$C$18,Datos!$D$18,IF(Evalucion!EZ29=Datos!$C$19,Datos!$D$19,"=")))))</f>
        <v>5</v>
      </c>
      <c r="FA31">
        <f t="shared" si="8"/>
        <v>343</v>
      </c>
      <c r="FB31">
        <f t="shared" si="8"/>
        <v>335</v>
      </c>
      <c r="FC31" s="3">
        <f t="shared" si="4"/>
        <v>0.89333333333333331</v>
      </c>
      <c r="FD31" t="str">
        <f t="shared" si="0"/>
        <v>Conf_CR</v>
      </c>
      <c r="FF31">
        <f t="shared" si="5"/>
        <v>678</v>
      </c>
      <c r="FG31">
        <f t="shared" si="6"/>
        <v>0</v>
      </c>
    </row>
    <row r="32" spans="1:163" x14ac:dyDescent="0.2">
      <c r="A32">
        <f t="shared" si="7"/>
        <v>29</v>
      </c>
      <c r="B32" t="s">
        <v>273</v>
      </c>
      <c r="C32" t="s">
        <v>192</v>
      </c>
      <c r="D32" s="6">
        <v>42691</v>
      </c>
      <c r="E32">
        <f>IF(Evalucion!F30=Datos!$C$15,Datos!$D$15,IF(Evalucion!F30=Datos!$C$16,Datos!$D$16,IF(Evalucion!F30=Datos!$C$17,Datos!$D$17,IF(Evalucion!F30=Datos!$C$18,Datos!$D$18,IF(Evalucion!F30=Datos!$C$19,Datos!$D$19,"=")))))</f>
        <v>5</v>
      </c>
      <c r="F32">
        <f>IF(Evalucion!G30=Datos!$C$15,Datos!$D$15,IF(Evalucion!G30=Datos!$C$16,Datos!$D$16,IF(Evalucion!G30=Datos!$C$17,Datos!$D$17,IF(Evalucion!G30=Datos!$C$18,Datos!$D$18,IF(Evalucion!G30=Datos!$C$19,Datos!$D$19,"=")))))</f>
        <v>5</v>
      </c>
      <c r="G32">
        <f>IF(Evalucion!H30=Datos!$C$15,Datos!$D$15,IF(Evalucion!H30=Datos!$C$16,Datos!$D$16,IF(Evalucion!H30=Datos!$C$17,Datos!$D$17,IF(Evalucion!H30=Datos!$C$18,Datos!$D$18,IF(Evalucion!H30=Datos!$C$19,Datos!$D$19,"=")))))</f>
        <v>5</v>
      </c>
      <c r="H32">
        <f>IF(Evalucion!I30=Datos!$C$15,Datos!$D$15,IF(Evalucion!I30=Datos!$C$16,Datos!$D$16,IF(Evalucion!I30=Datos!$C$17,Datos!$D$17,IF(Evalucion!I30=Datos!$C$18,Datos!$D$18,IF(Evalucion!I30=Datos!$C$19,Datos!$D$19,"=")))))</f>
        <v>5</v>
      </c>
      <c r="I32">
        <f>IF(Evalucion!J30=Datos!$C$15,Datos!$D$15,IF(Evalucion!J30=Datos!$C$16,Datos!$D$16,IF(Evalucion!J30=Datos!$C$17,Datos!$D$17,IF(Evalucion!J30=Datos!$C$18,Datos!$D$18,IF(Evalucion!J30=Datos!$C$19,Datos!$D$19,"=")))))</f>
        <v>5</v>
      </c>
      <c r="J32">
        <f>IF(Evalucion!K30=Datos!$C$15,Datos!$D$15,IF(Evalucion!K30=Datos!$C$16,Datos!$D$16,IF(Evalucion!K30=Datos!$C$17,Datos!$D$17,IF(Evalucion!K30=Datos!$C$18,Datos!$D$18,IF(Evalucion!K30=Datos!$C$19,Datos!$D$19,"=")))))</f>
        <v>5</v>
      </c>
      <c r="K32">
        <f>IF(Evalucion!L30=Datos!$C$15,Datos!$D$15,IF(Evalucion!L30=Datos!$C$16,Datos!$D$16,IF(Evalucion!L30=Datos!$C$17,Datos!$D$17,IF(Evalucion!L30=Datos!$C$18,Datos!$D$18,IF(Evalucion!L30=Datos!$C$19,Datos!$D$19,"=")))))</f>
        <v>5</v>
      </c>
      <c r="L32">
        <f>IF(Evalucion!M30=Datos!$C$15,Datos!$D$15,IF(Evalucion!M30=Datos!$C$16,Datos!$D$16,IF(Evalucion!M30=Datos!$C$17,Datos!$D$17,IF(Evalucion!M30=Datos!$C$18,Datos!$D$18,IF(Evalucion!M30=Datos!$C$19,Datos!$D$19,"=")))))</f>
        <v>5</v>
      </c>
      <c r="M32">
        <f>IF(Evalucion!N30=Datos!$C$15,Datos!$D$15,IF(Evalucion!N30=Datos!$C$16,Datos!$D$16,IF(Evalucion!N30=Datos!$C$17,Datos!$D$17,IF(Evalucion!N30=Datos!$C$18,Datos!$D$18,IF(Evalucion!N30=Datos!$C$19,Datos!$D$19,"=")))))</f>
        <v>5</v>
      </c>
      <c r="N32">
        <f>IF(Evalucion!O30=Datos!$C$15,Datos!$D$15,IF(Evalucion!O30=Datos!$C$16,Datos!$D$16,IF(Evalucion!O30=Datos!$C$17,Datos!$D$17,IF(Evalucion!O30=Datos!$C$18,Datos!$D$18,IF(Evalucion!O30=Datos!$C$19,Datos!$D$19,"=")))))</f>
        <v>5</v>
      </c>
      <c r="O32">
        <f>IF(Evalucion!P30=Datos!$C$15,Datos!$D$15,IF(Evalucion!P30=Datos!$C$16,Datos!$D$16,IF(Evalucion!P30=Datos!$C$17,Datos!$D$17,IF(Evalucion!P30=Datos!$C$18,Datos!$D$18,IF(Evalucion!P30=Datos!$C$19,Datos!$D$19,"=")))))</f>
        <v>5</v>
      </c>
      <c r="P32">
        <f>IF(Evalucion!Q30=Datos!$C$15,Datos!$D$15,IF(Evalucion!Q30=Datos!$C$16,Datos!$D$16,IF(Evalucion!Q30=Datos!$C$17,Datos!$D$17,IF(Evalucion!Q30=Datos!$C$18,Datos!$D$18,IF(Evalucion!Q30=Datos!$C$19,Datos!$D$19,"=")))))</f>
        <v>5</v>
      </c>
      <c r="Q32">
        <f>IF(Evalucion!R30=Datos!$C$15,Datos!$D$15,IF(Evalucion!R30=Datos!$C$16,Datos!$D$16,IF(Evalucion!R30=Datos!$C$17,Datos!$D$17,IF(Evalucion!R30=Datos!$C$18,Datos!$D$18,IF(Evalucion!R30=Datos!$C$19,Datos!$D$19,"=")))))</f>
        <v>5</v>
      </c>
      <c r="R32">
        <f>IF(Evalucion!S30=Datos!$C$15,Datos!$D$15,IF(Evalucion!S30=Datos!$C$16,Datos!$D$16,IF(Evalucion!S30=Datos!$C$17,Datos!$D$17,IF(Evalucion!S30=Datos!$C$18,Datos!$D$18,IF(Evalucion!S30=Datos!$C$19,Datos!$D$19,"=")))))</f>
        <v>5</v>
      </c>
      <c r="S32">
        <f>IF(Evalucion!T30=Datos!$C$15,Datos!$D$15,IF(Evalucion!T30=Datos!$C$16,Datos!$D$16,IF(Evalucion!T30=Datos!$C$17,Datos!$D$17,IF(Evalucion!T30=Datos!$C$18,Datos!$D$18,IF(Evalucion!T30=Datos!$C$19,Datos!$D$19,"=")))))</f>
        <v>5</v>
      </c>
      <c r="T32">
        <f>IF(Evalucion!U30=Datos!$C$15,Datos!$D$15,IF(Evalucion!U30=Datos!$C$16,Datos!$D$16,IF(Evalucion!U30=Datos!$C$17,Datos!$D$17,IF(Evalucion!U30=Datos!$C$18,Datos!$D$18,IF(Evalucion!U30=Datos!$C$19,Datos!$D$19,"=")))))</f>
        <v>5</v>
      </c>
      <c r="U32">
        <f>IF(Evalucion!V30=Datos!$C$15,Datos!$D$15,IF(Evalucion!V30=Datos!$C$16,Datos!$D$16,IF(Evalucion!V30=Datos!$C$17,Datos!$D$17,IF(Evalucion!V30=Datos!$C$18,Datos!$D$18,IF(Evalucion!V30=Datos!$C$19,Datos!$D$19,"=")))))</f>
        <v>5</v>
      </c>
      <c r="V32">
        <f>IF(Evalucion!W30=Datos!$C$15,Datos!$D$15,IF(Evalucion!W30=Datos!$C$16,Datos!$D$16,IF(Evalucion!W30=Datos!$C$17,Datos!$D$17,IF(Evalucion!W30=Datos!$C$18,Datos!$D$18,IF(Evalucion!W30=Datos!$C$19,Datos!$D$19,"=")))))</f>
        <v>5</v>
      </c>
      <c r="W32">
        <f>IF(Evalucion!X30=Datos!$C$15,Datos!$D$15,IF(Evalucion!X30=Datos!$C$16,Datos!$D$16,IF(Evalucion!X30=Datos!$C$17,Datos!$D$17,IF(Evalucion!X30=Datos!$C$18,Datos!$D$18,IF(Evalucion!X30=Datos!$C$19,Datos!$D$19,"=")))))</f>
        <v>5</v>
      </c>
      <c r="X32">
        <f>IF(Evalucion!Y30=Datos!$C$15,Datos!$D$15,IF(Evalucion!Y30=Datos!$C$16,Datos!$D$16,IF(Evalucion!Y30=Datos!$C$17,Datos!$D$17,IF(Evalucion!Y30=Datos!$C$18,Datos!$D$18,IF(Evalucion!Y30=Datos!$C$19,Datos!$D$19,"=")))))</f>
        <v>5</v>
      </c>
      <c r="Y32">
        <f>IF(Evalucion!Z30=Datos!$C$15,Datos!$D$15,IF(Evalucion!Z30=Datos!$C$16,Datos!$D$16,IF(Evalucion!Z30=Datos!$C$17,Datos!$D$17,IF(Evalucion!Z30=Datos!$C$18,Datos!$D$18,IF(Evalucion!Z30=Datos!$C$19,Datos!$D$19,"=")))))</f>
        <v>5</v>
      </c>
      <c r="Z32">
        <f>IF(Evalucion!AA30=Datos!$C$15,Datos!$D$15,IF(Evalucion!AA30=Datos!$C$16,Datos!$D$16,IF(Evalucion!AA30=Datos!$C$17,Datos!$D$17,IF(Evalucion!AA30=Datos!$C$18,Datos!$D$18,IF(Evalucion!AA30=Datos!$C$19,Datos!$D$19,"=")))))</f>
        <v>5</v>
      </c>
      <c r="AA32">
        <f>IF(Evalucion!AB30=Datos!$C$15,Datos!$D$15,IF(Evalucion!AB30=Datos!$C$16,Datos!$D$16,IF(Evalucion!AB30=Datos!$C$17,Datos!$D$17,IF(Evalucion!AB30=Datos!$C$18,Datos!$D$18,IF(Evalucion!AB30=Datos!$C$19,Datos!$D$19,"=")))))</f>
        <v>5</v>
      </c>
      <c r="AB32">
        <f>IF(Evalucion!AC30=Datos!$C$15,Datos!$D$15,IF(Evalucion!AC30=Datos!$C$16,Datos!$D$16,IF(Evalucion!AC30=Datos!$C$17,Datos!$D$17,IF(Evalucion!AC30=Datos!$C$18,Datos!$D$18,IF(Evalucion!AC30=Datos!$C$19,Datos!$D$19,"=")))))</f>
        <v>5</v>
      </c>
      <c r="AC32">
        <f>IF(Evalucion!AD30=Datos!$C$15,Datos!$D$15,IF(Evalucion!AD30=Datos!$C$16,Datos!$D$16,IF(Evalucion!AD30=Datos!$C$17,Datos!$D$17,IF(Evalucion!AD30=Datos!$C$18,Datos!$D$18,IF(Evalucion!AD30=Datos!$C$19,Datos!$D$19,"=")))))</f>
        <v>5</v>
      </c>
      <c r="AD32">
        <f>IF(Evalucion!AE30=Datos!$C$15,Datos!$D$15,IF(Evalucion!AE30=Datos!$C$16,Datos!$D$16,IF(Evalucion!AE30=Datos!$C$17,Datos!$D$17,IF(Evalucion!AE30=Datos!$C$18,Datos!$D$18,IF(Evalucion!AE30=Datos!$C$19,Datos!$D$19,"=")))))</f>
        <v>5</v>
      </c>
      <c r="AE32">
        <f>IF(Evalucion!AF30=Datos!$C$15,Datos!$D$15,IF(Evalucion!AF30=Datos!$C$16,Datos!$D$16,IF(Evalucion!AF30=Datos!$C$17,Datos!$D$17,IF(Evalucion!AF30=Datos!$C$18,Datos!$D$18,IF(Evalucion!AF30=Datos!$C$19,Datos!$D$19,"=")))))</f>
        <v>5</v>
      </c>
      <c r="AF32">
        <f>IF(Evalucion!AG30=Datos!$C$15,Datos!$D$15,IF(Evalucion!AG30=Datos!$C$16,Datos!$D$16,IF(Evalucion!AG30=Datos!$C$17,Datos!$D$17,IF(Evalucion!AG30=Datos!$C$18,Datos!$D$18,IF(Evalucion!AG30=Datos!$C$19,Datos!$D$19,"=")))))</f>
        <v>5</v>
      </c>
      <c r="AO32">
        <f>IF(Evalucion!AP30=Datos!$C$15,Datos!$D$15,IF(Evalucion!AP30=Datos!$C$16,Datos!$D$16,IF(Evalucion!AP30=Datos!$C$17,Datos!$D$17,IF(Evalucion!AP30=Datos!$C$18,Datos!$D$18,IF(Evalucion!AP30=Datos!$C$19,Datos!$D$19,"=")))))</f>
        <v>5</v>
      </c>
      <c r="AP32">
        <f>IF(Evalucion!AQ30=Datos!$C$15,Datos!$D$15,IF(Evalucion!AQ30=Datos!$C$16,Datos!$D$16,IF(Evalucion!AQ30=Datos!$C$17,Datos!$D$17,IF(Evalucion!AQ30=Datos!$C$18,Datos!$D$18,IF(Evalucion!AQ30=Datos!$C$19,Datos!$D$19,"=")))))</f>
        <v>5</v>
      </c>
      <c r="AQ32">
        <f>IF(Evalucion!AR30=Datos!$C$15,Datos!$D$15,IF(Evalucion!AR30=Datos!$C$16,Datos!$D$16,IF(Evalucion!AR30=Datos!$C$17,Datos!$D$17,IF(Evalucion!AR30=Datos!$C$18,Datos!$D$18,IF(Evalucion!AR30=Datos!$C$19,Datos!$D$19,"=")))))</f>
        <v>1</v>
      </c>
      <c r="AR32">
        <f>IF(Evalucion!AS30=Datos!$C$15,Datos!$D$15,IF(Evalucion!AS30=Datos!$C$16,Datos!$D$16,IF(Evalucion!AS30=Datos!$C$17,Datos!$D$17,IF(Evalucion!AS30=Datos!$C$18,Datos!$D$18,IF(Evalucion!AS30=Datos!$C$19,Datos!$D$19,"=")))))</f>
        <v>1</v>
      </c>
      <c r="AS32">
        <f>IF(Evalucion!AT30=Datos!$C$15,Datos!$D$15,IF(Evalucion!AT30=Datos!$C$16,Datos!$D$16,IF(Evalucion!AT30=Datos!$C$17,Datos!$D$17,IF(Evalucion!AT30=Datos!$C$18,Datos!$D$18,IF(Evalucion!AT30=Datos!$C$19,Datos!$D$19,"=")))))</f>
        <v>1</v>
      </c>
      <c r="AT32">
        <f>IF(Evalucion!AU30=Datos!$C$15,Datos!$D$15,IF(Evalucion!AU30=Datos!$C$16,Datos!$D$16,IF(Evalucion!AU30=Datos!$C$17,Datos!$D$17,IF(Evalucion!AU30=Datos!$C$18,Datos!$D$18,IF(Evalucion!AU30=Datos!$C$19,Datos!$D$19,"=")))))</f>
        <v>1</v>
      </c>
      <c r="AV32">
        <f>IF(Evalucion!AW30=Datos!$C$15,Datos!$D$15,IF(Evalucion!AW30=Datos!$C$16,Datos!$D$16,IF(Evalucion!AW30=Datos!$C$17,Datos!$D$17,IF(Evalucion!AW30=Datos!$C$18,Datos!$D$18,IF(Evalucion!AW30=Datos!$C$19,Datos!$D$19,"=")))))</f>
        <v>1</v>
      </c>
      <c r="AW32">
        <f>IF(Evalucion!AX30=Datos!$C$15,Datos!$D$15,IF(Evalucion!AX30=Datos!$C$16,Datos!$D$16,IF(Evalucion!AX30=Datos!$C$17,Datos!$D$17,IF(Evalucion!AX30=Datos!$C$18,Datos!$D$18,IF(Evalucion!AX30=Datos!$C$19,Datos!$D$19,"=")))))</f>
        <v>1</v>
      </c>
      <c r="AX32">
        <f>IF(Evalucion!AY30=Datos!$C$15,Datos!$D$15,IF(Evalucion!AY30=Datos!$C$16,Datos!$D$16,IF(Evalucion!AY30=Datos!$C$17,Datos!$D$17,IF(Evalucion!AY30=Datos!$C$18,Datos!$D$18,IF(Evalucion!AY30=Datos!$C$19,Datos!$D$19,"=")))))</f>
        <v>5</v>
      </c>
      <c r="AY32">
        <f>IF(Evalucion!AZ30=Datos!$C$15,Datos!$D$15,IF(Evalucion!AZ30=Datos!$C$16,Datos!$D$16,IF(Evalucion!AZ30=Datos!$C$17,Datos!$D$17,IF(Evalucion!AZ30=Datos!$C$18,Datos!$D$18,IF(Evalucion!AZ30=Datos!$C$19,Datos!$D$19,"=")))))</f>
        <v>5</v>
      </c>
      <c r="AZ32">
        <f>IF(Evalucion!BA30=Datos!$C$15,Datos!$D$15,IF(Evalucion!BA30=Datos!$C$16,Datos!$D$16,IF(Evalucion!BA30=Datos!$C$17,Datos!$D$17,IF(Evalucion!BA30=Datos!$C$18,Datos!$D$18,IF(Evalucion!BA30=Datos!$C$19,Datos!$D$19,"=")))))</f>
        <v>5</v>
      </c>
      <c r="BA32">
        <f>IF(Evalucion!BB30=Datos!$C$15,Datos!$D$15,IF(Evalucion!BB30=Datos!$C$16,Datos!$D$16,IF(Evalucion!BB30=Datos!$C$17,Datos!$D$17,IF(Evalucion!BB30=Datos!$C$18,Datos!$D$18,IF(Evalucion!BB30=Datos!$C$19,Datos!$D$19,"=")))))</f>
        <v>5</v>
      </c>
      <c r="BB32">
        <f>IF(Evalucion!BC30=Datos!$C$15,Datos!$D$15,IF(Evalucion!BC30=Datos!$C$16,Datos!$D$16,IF(Evalucion!BC30=Datos!$C$17,Datos!$D$17,IF(Evalucion!BC30=Datos!$C$18,Datos!$D$18,IF(Evalucion!BC30=Datos!$C$19,Datos!$D$19,"=")))))</f>
        <v>5</v>
      </c>
      <c r="BC32">
        <f>IF(Evalucion!BD30=Datos!$C$15,Datos!$D$15,IF(Evalucion!BD30=Datos!$C$16,Datos!$D$16,IF(Evalucion!BD30=Datos!$C$17,Datos!$D$17,IF(Evalucion!BD30=Datos!$C$18,Datos!$D$18,IF(Evalucion!BD30=Datos!$C$19,Datos!$D$19,"=")))))</f>
        <v>5</v>
      </c>
      <c r="BD32">
        <f>IF(Evalucion!BE30=Datos!$C$15,Datos!$D$15,IF(Evalucion!BE30=Datos!$C$16,Datos!$D$16,IF(Evalucion!BE30=Datos!$C$17,Datos!$D$17,IF(Evalucion!BE30=Datos!$C$18,Datos!$D$18,IF(Evalucion!BE30=Datos!$C$19,Datos!$D$19,"=")))))</f>
        <v>5</v>
      </c>
      <c r="BE32">
        <f>IF(Evalucion!BF30=Datos!$C$15,Datos!$D$15,IF(Evalucion!BF30=Datos!$C$16,Datos!$D$16,IF(Evalucion!BF30=Datos!$C$17,Datos!$D$17,IF(Evalucion!BF30=Datos!$C$18,Datos!$D$18,IF(Evalucion!BF30=Datos!$C$19,Datos!$D$19,"=")))))</f>
        <v>5</v>
      </c>
      <c r="BF32">
        <f>IF(Evalucion!BG30=Datos!$C$15,Datos!$D$15,IF(Evalucion!BG30=Datos!$C$16,Datos!$D$16,IF(Evalucion!BG30=Datos!$C$17,Datos!$D$17,IF(Evalucion!BG30=Datos!$C$18,Datos!$D$18,IF(Evalucion!BG30=Datos!$C$19,Datos!$D$19,"=")))))</f>
        <v>5</v>
      </c>
      <c r="BG32">
        <f>IF(Evalucion!BH30=Datos!$C$15,Datos!$D$15,IF(Evalucion!BH30=Datos!$C$16,Datos!$D$16,IF(Evalucion!BH30=Datos!$C$17,Datos!$D$17,IF(Evalucion!BH30=Datos!$C$18,Datos!$D$18,IF(Evalucion!BH30=Datos!$C$19,Datos!$D$19,"=")))))</f>
        <v>5</v>
      </c>
      <c r="BH32">
        <f>IF(Evalucion!BI30=Datos!$C$15,Datos!$D$15,IF(Evalucion!BI30=Datos!$C$16,Datos!$D$16,IF(Evalucion!BI30=Datos!$C$17,Datos!$D$17,IF(Evalucion!BI30=Datos!$C$18,Datos!$D$18,IF(Evalucion!BI30=Datos!$C$19,Datos!$D$19,"=")))))</f>
        <v>5</v>
      </c>
      <c r="BI32">
        <f>IF(Evalucion!BJ30=Datos!$C$15,Datos!$D$15,IF(Evalucion!BJ30=Datos!$C$16,Datos!$D$16,IF(Evalucion!BJ30=Datos!$C$17,Datos!$D$17,IF(Evalucion!BJ30=Datos!$C$18,Datos!$D$18,IF(Evalucion!BJ30=Datos!$C$19,Datos!$D$19,"=")))))</f>
        <v>5</v>
      </c>
      <c r="BJ32">
        <f>IF(Evalucion!BK30=Datos!$C$15,Datos!$D$15,IF(Evalucion!BK30=Datos!$C$16,Datos!$D$16,IF(Evalucion!BK30=Datos!$C$17,Datos!$D$17,IF(Evalucion!BK30=Datos!$C$18,Datos!$D$18,IF(Evalucion!BK30=Datos!$C$19,Datos!$D$19,"=")))))</f>
        <v>5</v>
      </c>
      <c r="BK32">
        <f>IF(Evalucion!BL30=Datos!$C$15,Datos!$D$15,IF(Evalucion!BL30=Datos!$C$16,Datos!$D$16,IF(Evalucion!BL30=Datos!$C$17,Datos!$D$17,IF(Evalucion!BL30=Datos!$C$18,Datos!$D$18,IF(Evalucion!BL30=Datos!$C$19,Datos!$D$19,"=")))))</f>
        <v>5</v>
      </c>
      <c r="BL32">
        <f>IF(Evalucion!BM30=Datos!$C$15,Datos!$D$15,IF(Evalucion!BM30=Datos!$C$16,Datos!$D$16,IF(Evalucion!BM30=Datos!$C$17,Datos!$D$17,IF(Evalucion!BM30=Datos!$C$18,Datos!$D$18,IF(Evalucion!BM30=Datos!$C$19,Datos!$D$19,"=")))))</f>
        <v>5</v>
      </c>
      <c r="BM32">
        <f>IF(Evalucion!BN30=Datos!$C$15,Datos!$D$15,IF(Evalucion!BN30=Datos!$C$16,Datos!$D$16,IF(Evalucion!BN30=Datos!$C$17,Datos!$D$17,IF(Evalucion!BN30=Datos!$C$18,Datos!$D$18,IF(Evalucion!BN30=Datos!$C$19,Datos!$D$19,"=")))))</f>
        <v>5</v>
      </c>
      <c r="BN32">
        <f>IF(Evalucion!BO30=Datos!$C$15,Datos!$D$15,IF(Evalucion!BO30=Datos!$C$16,Datos!$D$16,IF(Evalucion!BO30=Datos!$C$17,Datos!$D$17,IF(Evalucion!BO30=Datos!$C$18,Datos!$D$18,IF(Evalucion!BO30=Datos!$C$19,Datos!$D$19,"=")))))</f>
        <v>5</v>
      </c>
      <c r="BO32">
        <f>IF(Evalucion!BP30=Datos!$C$15,Datos!$D$15,IF(Evalucion!BP30=Datos!$C$16,Datos!$D$16,IF(Evalucion!BP30=Datos!$C$17,Datos!$D$17,IF(Evalucion!BP30=Datos!$C$18,Datos!$D$18,IF(Evalucion!BP30=Datos!$C$19,Datos!$D$19,"=")))))</f>
        <v>5</v>
      </c>
      <c r="BP32">
        <f>IF(Evalucion!BQ30=Datos!$C$15,Datos!$D$15,IF(Evalucion!BQ30=Datos!$C$16,Datos!$D$16,IF(Evalucion!BQ30=Datos!$C$17,Datos!$D$17,IF(Evalucion!BQ30=Datos!$C$18,Datos!$D$18,IF(Evalucion!BQ30=Datos!$C$19,Datos!$D$19,"=")))))</f>
        <v>5</v>
      </c>
      <c r="BQ32">
        <f>IF(Evalucion!BR30=Datos!$C$15,Datos!$D$15,IF(Evalucion!BR30=Datos!$C$16,Datos!$D$16,IF(Evalucion!BR30=Datos!$C$17,Datos!$D$17,IF(Evalucion!BR30=Datos!$C$18,Datos!$D$18,IF(Evalucion!BR30=Datos!$C$19,Datos!$D$19,"=")))))</f>
        <v>5</v>
      </c>
      <c r="BR32">
        <f>IF(Evalucion!BS30=Datos!$C$15,Datos!$D$15,IF(Evalucion!BS30=Datos!$C$16,Datos!$D$16,IF(Evalucion!BS30=Datos!$C$17,Datos!$D$17,IF(Evalucion!BS30=Datos!$C$18,Datos!$D$18,IF(Evalucion!BS30=Datos!$C$19,Datos!$D$19,"=")))))</f>
        <v>5</v>
      </c>
      <c r="BS32">
        <f>IF(Evalucion!BT30=Datos!$C$15,Datos!$D$15,IF(Evalucion!BT30=Datos!$C$16,Datos!$D$16,IF(Evalucion!BT30=Datos!$C$17,Datos!$D$17,IF(Evalucion!BT30=Datos!$C$18,Datos!$D$18,IF(Evalucion!BT30=Datos!$C$19,Datos!$D$19,"=")))))</f>
        <v>5</v>
      </c>
      <c r="BT32">
        <f>IF(Evalucion!BU30=Datos!$C$15,Datos!$D$15,IF(Evalucion!BU30=Datos!$C$16,Datos!$D$16,IF(Evalucion!BU30=Datos!$C$17,Datos!$D$17,IF(Evalucion!BU30=Datos!$C$18,Datos!$D$18,IF(Evalucion!BU30=Datos!$C$19,Datos!$D$19,"=")))))</f>
        <v>5</v>
      </c>
      <c r="BU32">
        <f>IF(Evalucion!BV30=Datos!$C$15,Datos!$D$15,IF(Evalucion!BV30=Datos!$C$16,Datos!$D$16,IF(Evalucion!BV30=Datos!$C$17,Datos!$D$17,IF(Evalucion!BV30=Datos!$C$18,Datos!$D$18,IF(Evalucion!BV30=Datos!$C$19,Datos!$D$19,"=")))))</f>
        <v>5</v>
      </c>
      <c r="BV32">
        <f>IF(Evalucion!BW30=Datos!$C$15,Datos!$D$15,IF(Evalucion!BW30=Datos!$C$16,Datos!$D$16,IF(Evalucion!BW30=Datos!$C$17,Datos!$D$17,IF(Evalucion!BW30=Datos!$C$18,Datos!$D$18,IF(Evalucion!BW30=Datos!$C$19,Datos!$D$19,"=")))))</f>
        <v>5</v>
      </c>
      <c r="BW32">
        <f>IF(Evalucion!BX30=Datos!$C$15,Datos!$D$15,IF(Evalucion!BX30=Datos!$C$16,Datos!$D$16,IF(Evalucion!BX30=Datos!$C$17,Datos!$D$17,IF(Evalucion!BX30=Datos!$C$18,Datos!$D$18,IF(Evalucion!BX30=Datos!$C$19,Datos!$D$19,"=")))))</f>
        <v>5</v>
      </c>
      <c r="BX32">
        <f>IF(Evalucion!BY30=Datos!$C$15,Datos!$D$15,IF(Evalucion!BY30=Datos!$C$16,Datos!$D$16,IF(Evalucion!BY30=Datos!$C$17,Datos!$D$17,IF(Evalucion!BY30=Datos!$C$18,Datos!$D$18,IF(Evalucion!BY30=Datos!$C$19,Datos!$D$19,"=")))))</f>
        <v>5</v>
      </c>
      <c r="BY32">
        <f>IF(Evalucion!BZ30=Datos!$C$15,Datos!$D$15,IF(Evalucion!BZ30=Datos!$C$16,Datos!$D$16,IF(Evalucion!BZ30=Datos!$C$17,Datos!$D$17,IF(Evalucion!BZ30=Datos!$C$18,Datos!$D$18,IF(Evalucion!BZ30=Datos!$C$19,Datos!$D$19,"=")))))</f>
        <v>5</v>
      </c>
      <c r="BZ32">
        <f>IF(Evalucion!CA30=Datos!$C$15,Datos!$D$15,IF(Evalucion!CA30=Datos!$C$16,Datos!$D$16,IF(Evalucion!CA30=Datos!$C$17,Datos!$D$17,IF(Evalucion!CA30=Datos!$C$18,Datos!$D$18,IF(Evalucion!CA30=Datos!$C$19,Datos!$D$19,"=")))))</f>
        <v>5</v>
      </c>
      <c r="CA32">
        <f>IF(Evalucion!CB30=Datos!$C$15,Datos!$D$15,IF(Evalucion!CB30=Datos!$C$16,Datos!$D$16,IF(Evalucion!CB30=Datos!$C$17,Datos!$D$17,IF(Evalucion!CB30=Datos!$C$18,Datos!$D$18,IF(Evalucion!CB30=Datos!$C$19,Datos!$D$19,"=")))))</f>
        <v>5</v>
      </c>
      <c r="CB32">
        <f>IF(Evalucion!CC30=Datos!$C$15,Datos!$D$15,IF(Evalucion!CC30=Datos!$C$16,Datos!$D$16,IF(Evalucion!CC30=Datos!$C$17,Datos!$D$17,IF(Evalucion!CC30=Datos!$C$18,Datos!$D$18,IF(Evalucion!CC30=Datos!$C$19,Datos!$D$19,"=")))))</f>
        <v>5</v>
      </c>
      <c r="CC32">
        <f>IF(Evalucion!CD30=Datos!$C$15,Datos!$D$15,IF(Evalucion!CD30=Datos!$C$16,Datos!$D$16,IF(Evalucion!CD30=Datos!$C$17,Datos!$D$17,IF(Evalucion!CD30=Datos!$C$18,Datos!$D$18,IF(Evalucion!CD30=Datos!$C$19,Datos!$D$19,"=")))))</f>
        <v>5</v>
      </c>
      <c r="CD32">
        <f>IF(Evalucion!CE30=Datos!$C$15,Datos!$D$15,IF(Evalucion!CE30=Datos!$C$16,Datos!$D$16,IF(Evalucion!CE30=Datos!$C$17,Datos!$D$17,IF(Evalucion!CE30=Datos!$C$18,Datos!$D$18,IF(Evalucion!CE30=Datos!$C$19,Datos!$D$19,"=")))))</f>
        <v>5</v>
      </c>
      <c r="CE32">
        <f>IF(Evalucion!CF30=Datos!$C$15,Datos!$D$15,IF(Evalucion!CF30=Datos!$C$16,Datos!$D$16,IF(Evalucion!CF30=Datos!$C$17,Datos!$D$17,IF(Evalucion!CF30=Datos!$C$18,Datos!$D$18,IF(Evalucion!CF30=Datos!$C$19,Datos!$D$19,"=")))))</f>
        <v>5</v>
      </c>
      <c r="CF32">
        <f>IF(Evalucion!CG30=Datos!$C$15,Datos!$D$15,IF(Evalucion!CG30=Datos!$C$16,Datos!$D$16,IF(Evalucion!CG30=Datos!$C$17,Datos!$D$17,IF(Evalucion!CG30=Datos!$C$18,Datos!$D$18,IF(Evalucion!CG30=Datos!$C$19,Datos!$D$19,"=")))))</f>
        <v>5</v>
      </c>
      <c r="CG32">
        <f>IF(Evalucion!CH30=Datos!$C$15,Datos!$D$15,IF(Evalucion!CH30=Datos!$C$16,Datos!$D$16,IF(Evalucion!CH30=Datos!$C$17,Datos!$D$17,IF(Evalucion!CH30=Datos!$C$18,Datos!$D$18,IF(Evalucion!CH30=Datos!$C$19,Datos!$D$19,"=")))))</f>
        <v>5</v>
      </c>
      <c r="CH32">
        <f>IF(Evalucion!CI30=Datos!$C$15,Datos!$D$15,IF(Evalucion!CI30=Datos!$C$16,Datos!$D$16,IF(Evalucion!CI30=Datos!$C$17,Datos!$D$17,IF(Evalucion!CI30=Datos!$C$18,Datos!$D$18,IF(Evalucion!CI30=Datos!$C$19,Datos!$D$19,"=")))))</f>
        <v>5</v>
      </c>
      <c r="CI32">
        <f>IF(Evalucion!CJ30=Datos!$C$15,Datos!$D$15,IF(Evalucion!CJ30=Datos!$C$16,Datos!$D$16,IF(Evalucion!CJ30=Datos!$C$17,Datos!$D$17,IF(Evalucion!CJ30=Datos!$C$18,Datos!$D$18,IF(Evalucion!CJ30=Datos!$C$19,Datos!$D$19,"=")))))</f>
        <v>5</v>
      </c>
      <c r="CJ32">
        <f>IF(Evalucion!CK30=Datos!$C$15,Datos!$D$15,IF(Evalucion!CK30=Datos!$C$16,Datos!$D$16,IF(Evalucion!CK30=Datos!$C$17,Datos!$D$17,IF(Evalucion!CK30=Datos!$C$18,Datos!$D$18,IF(Evalucion!CK30=Datos!$C$19,Datos!$D$19,"=")))))</f>
        <v>5</v>
      </c>
      <c r="CK32">
        <f>IF(Evalucion!CL30=Datos!$C$15,Datos!$D$15,IF(Evalucion!CL30=Datos!$C$16,Datos!$D$16,IF(Evalucion!CL30=Datos!$C$17,Datos!$D$17,IF(Evalucion!CL30=Datos!$C$18,Datos!$D$18,IF(Evalucion!CL30=Datos!$C$19,Datos!$D$19,"=")))))</f>
        <v>5</v>
      </c>
      <c r="CL32">
        <f>IF(Evalucion!CM30=Datos!$C$15,Datos!$D$15,IF(Evalucion!CM30=Datos!$C$16,Datos!$D$16,IF(Evalucion!CM30=Datos!$C$17,Datos!$D$17,IF(Evalucion!CM30=Datos!$C$18,Datos!$D$18,IF(Evalucion!CM30=Datos!$C$19,Datos!$D$19,"=")))))</f>
        <v>5</v>
      </c>
      <c r="CM32">
        <f>IF(Evalucion!CN30=Datos!$C$15,Datos!$D$15,IF(Evalucion!CN30=Datos!$C$16,Datos!$D$16,IF(Evalucion!CN30=Datos!$C$17,Datos!$D$17,IF(Evalucion!CN30=Datos!$C$18,Datos!$D$18,IF(Evalucion!CN30=Datos!$C$19,Datos!$D$19,"=")))))</f>
        <v>5</v>
      </c>
      <c r="CN32">
        <f>IF(Evalucion!CO30=Datos!$C$15,Datos!$D$15,IF(Evalucion!CO30=Datos!$C$16,Datos!$D$16,IF(Evalucion!CO30=Datos!$C$17,Datos!$D$17,IF(Evalucion!CO30=Datos!$C$18,Datos!$D$18,IF(Evalucion!CO30=Datos!$C$19,Datos!$D$19,"=")))))</f>
        <v>5</v>
      </c>
      <c r="CO32">
        <f>IF(Evalucion!CP30=Datos!$C$15,Datos!$D$15,IF(Evalucion!CP30=Datos!$C$16,Datos!$D$16,IF(Evalucion!CP30=Datos!$C$17,Datos!$D$17,IF(Evalucion!CP30=Datos!$C$18,Datos!$D$18,IF(Evalucion!CP30=Datos!$C$19,Datos!$D$19,"=")))))</f>
        <v>5</v>
      </c>
      <c r="CP32">
        <f>IF(Evalucion!CQ30=Datos!$C$15,Datos!$D$15,IF(Evalucion!CQ30=Datos!$C$16,Datos!$D$16,IF(Evalucion!CQ30=Datos!$C$17,Datos!$D$17,IF(Evalucion!CQ30=Datos!$C$18,Datos!$D$18,IF(Evalucion!CQ30=Datos!$C$19,Datos!$D$19,"=")))))</f>
        <v>5</v>
      </c>
      <c r="CQ32">
        <f>IF(Evalucion!CR30=Datos!$C$15,Datos!$D$15,IF(Evalucion!CR30=Datos!$C$16,Datos!$D$16,IF(Evalucion!CR30=Datos!$C$17,Datos!$D$17,IF(Evalucion!CR30=Datos!$C$18,Datos!$D$18,IF(Evalucion!CR30=Datos!$C$19,Datos!$D$19,"=")))))</f>
        <v>1</v>
      </c>
      <c r="CR32">
        <f>IF(Evalucion!CS30=Datos!$C$15,Datos!$D$15,IF(Evalucion!CS30=Datos!$C$16,Datos!$D$16,IF(Evalucion!CS30=Datos!$C$17,Datos!$D$17,IF(Evalucion!CS30=Datos!$C$18,Datos!$D$18,IF(Evalucion!CS30=Datos!$C$19,Datos!$D$19,"=")))))</f>
        <v>5</v>
      </c>
      <c r="CS32">
        <f>IF(Evalucion!CT30=Datos!$C$15,Datos!$D$15,IF(Evalucion!CT30=Datos!$C$16,Datos!$D$16,IF(Evalucion!CT30=Datos!$C$17,Datos!$D$17,IF(Evalucion!CT30=Datos!$C$18,Datos!$D$18,IF(Evalucion!CT30=Datos!$C$19,Datos!$D$19,"=")))))</f>
        <v>5</v>
      </c>
      <c r="CT32">
        <f>IF(Evalucion!CU30=Datos!$C$15,Datos!$D$15,IF(Evalucion!CU30=Datos!$C$16,Datos!$D$16,IF(Evalucion!CU30=Datos!$C$17,Datos!$D$17,IF(Evalucion!CU30=Datos!$C$18,Datos!$D$18,IF(Evalucion!CU30=Datos!$C$19,Datos!$D$19,"=")))))</f>
        <v>5</v>
      </c>
      <c r="CU32">
        <f>IF(Evalucion!CV30=Datos!$C$15,Datos!$D$15,IF(Evalucion!CV30=Datos!$C$16,Datos!$D$16,IF(Evalucion!CV30=Datos!$C$17,Datos!$D$17,IF(Evalucion!CV30=Datos!$C$18,Datos!$D$18,IF(Evalucion!CV30=Datos!$C$19,Datos!$D$19,"=")))))</f>
        <v>5</v>
      </c>
      <c r="CV32">
        <f>IF(Evalucion!CW30=Datos!$C$15,Datos!$D$15,IF(Evalucion!CW30=Datos!$C$16,Datos!$D$16,IF(Evalucion!CW30=Datos!$C$17,Datos!$D$17,IF(Evalucion!CW30=Datos!$C$18,Datos!$D$18,IF(Evalucion!CW30=Datos!$C$19,Datos!$D$19,"=")))))</f>
        <v>5</v>
      </c>
      <c r="CW32">
        <f>IF(Evalucion!CX30=Datos!$C$15,Datos!$D$15,IF(Evalucion!CX30=Datos!$C$16,Datos!$D$16,IF(Evalucion!CX30=Datos!$C$17,Datos!$D$17,IF(Evalucion!CX30=Datos!$C$18,Datos!$D$18,IF(Evalucion!CX30=Datos!$C$19,Datos!$D$19,"=")))))</f>
        <v>5</v>
      </c>
      <c r="CX32">
        <f>IF(Evalucion!CY30=Datos!$C$15,Datos!$D$15,IF(Evalucion!CY30=Datos!$C$16,Datos!$D$16,IF(Evalucion!CY30=Datos!$C$17,Datos!$D$17,IF(Evalucion!CY30=Datos!$C$18,Datos!$D$18,IF(Evalucion!CY30=Datos!$C$19,Datos!$D$19,"=")))))</f>
        <v>5</v>
      </c>
      <c r="CY32">
        <f>IF(Evalucion!CZ30=Datos!$C$15,Datos!$D$15,IF(Evalucion!CZ30=Datos!$C$16,Datos!$D$16,IF(Evalucion!CZ30=Datos!$C$17,Datos!$D$17,IF(Evalucion!CZ30=Datos!$C$18,Datos!$D$18,IF(Evalucion!CZ30=Datos!$C$19,Datos!$D$19,"=")))))</f>
        <v>5</v>
      </c>
      <c r="CZ32">
        <f>IF(Evalucion!DA30=Datos!$C$15,Datos!$D$15,IF(Evalucion!DA30=Datos!$C$16,Datos!$D$16,IF(Evalucion!DA30=Datos!$C$17,Datos!$D$17,IF(Evalucion!DA30=Datos!$C$18,Datos!$D$18,IF(Evalucion!DA30=Datos!$C$19,Datos!$D$19,"=")))))</f>
        <v>5</v>
      </c>
      <c r="DA32">
        <f>IF(Evalucion!DB30=Datos!$C$15,Datos!$D$15,IF(Evalucion!DB30=Datos!$C$16,Datos!$D$16,IF(Evalucion!DB30=Datos!$C$17,Datos!$D$17,IF(Evalucion!DB30=Datos!$C$18,Datos!$D$18,IF(Evalucion!DB30=Datos!$C$19,Datos!$D$19,"=")))))</f>
        <v>5</v>
      </c>
      <c r="DB32">
        <f>IF(Evalucion!DC30=Datos!$C$15,Datos!$D$15,IF(Evalucion!DC30=Datos!$C$16,Datos!$D$16,IF(Evalucion!DC30=Datos!$C$17,Datos!$D$17,IF(Evalucion!DC30=Datos!$C$18,Datos!$D$18,IF(Evalucion!DC30=Datos!$C$19,Datos!$D$19,"=")))))</f>
        <v>5</v>
      </c>
      <c r="DC32">
        <f>IF(Evalucion!DD30=Datos!$C$15,Datos!$D$15,IF(Evalucion!DD30=Datos!$C$16,Datos!$D$16,IF(Evalucion!DD30=Datos!$C$17,Datos!$D$17,IF(Evalucion!DD30=Datos!$C$18,Datos!$D$18,IF(Evalucion!DD30=Datos!$C$19,Datos!$D$19,"=")))))</f>
        <v>5</v>
      </c>
      <c r="DD32">
        <f>IF(Evalucion!DE30=Datos!$C$15,Datos!$D$15,IF(Evalucion!DE30=Datos!$C$16,Datos!$D$16,IF(Evalucion!DE30=Datos!$C$17,Datos!$D$17,IF(Evalucion!DE30=Datos!$C$18,Datos!$D$18,IF(Evalucion!DE30=Datos!$C$19,Datos!$D$19,"=")))))</f>
        <v>5</v>
      </c>
      <c r="DE32">
        <f>IF(Evalucion!DF30=Datos!$C$15,Datos!$D$15,IF(Evalucion!DF30=Datos!$C$16,Datos!$D$16,IF(Evalucion!DF30=Datos!$C$17,Datos!$D$17,IF(Evalucion!DF30=Datos!$C$18,Datos!$D$18,IF(Evalucion!DF30=Datos!$C$19,Datos!$D$19,"=")))))</f>
        <v>5</v>
      </c>
      <c r="DF32">
        <f>IF(Evalucion!DG30=Datos!$C$15,Datos!$D$15,IF(Evalucion!DG30=Datos!$C$16,Datos!$D$16,IF(Evalucion!DG30=Datos!$C$17,Datos!$D$17,IF(Evalucion!DG30=Datos!$C$18,Datos!$D$18,IF(Evalucion!DG30=Datos!$C$19,Datos!$D$19,"=")))))</f>
        <v>5</v>
      </c>
      <c r="DG32">
        <f>IF(Evalucion!DH30=Datos!$C$15,Datos!$D$15,IF(Evalucion!DH30=Datos!$C$16,Datos!$D$16,IF(Evalucion!DH30=Datos!$C$17,Datos!$D$17,IF(Evalucion!DH30=Datos!$C$18,Datos!$D$18,IF(Evalucion!DH30=Datos!$C$19,Datos!$D$19,"=")))))</f>
        <v>5</v>
      </c>
      <c r="DH32">
        <f>IF(Evalucion!DI30=Datos!$C$15,Datos!$D$15,IF(Evalucion!DI30=Datos!$C$16,Datos!$D$16,IF(Evalucion!DI30=Datos!$C$17,Datos!$D$17,IF(Evalucion!DI30=Datos!$C$18,Datos!$D$18,IF(Evalucion!DI30=Datos!$C$19,Datos!$D$19,"=")))))</f>
        <v>5</v>
      </c>
      <c r="DI32">
        <f>IF(Evalucion!DJ30=Datos!$C$15,Datos!$D$15,IF(Evalucion!DJ30=Datos!$C$16,Datos!$D$16,IF(Evalucion!DJ30=Datos!$C$17,Datos!$D$17,IF(Evalucion!DJ30=Datos!$C$18,Datos!$D$18,IF(Evalucion!DJ30=Datos!$C$19,Datos!$D$19,"=")))))</f>
        <v>5</v>
      </c>
      <c r="DJ32">
        <f>IF(Evalucion!DK30=Datos!$C$15,Datos!$D$15,IF(Evalucion!DK30=Datos!$C$16,Datos!$D$16,IF(Evalucion!DK30=Datos!$C$17,Datos!$D$17,IF(Evalucion!DK30=Datos!$C$18,Datos!$D$18,IF(Evalucion!DK30=Datos!$C$19,Datos!$D$19,"=")))))</f>
        <v>5</v>
      </c>
      <c r="DK32">
        <f>IF(Evalucion!DL30=Datos!$C$15,Datos!$D$15,IF(Evalucion!DL30=Datos!$C$16,Datos!$D$16,IF(Evalucion!DL30=Datos!$C$17,Datos!$D$17,IF(Evalucion!DL30=Datos!$C$18,Datos!$D$18,IF(Evalucion!DL30=Datos!$C$19,Datos!$D$19,"=")))))</f>
        <v>5</v>
      </c>
      <c r="DL32">
        <f>IF(Evalucion!DM30=Datos!$C$15,Datos!$D$15,IF(Evalucion!DM30=Datos!$C$16,Datos!$D$16,IF(Evalucion!DM30=Datos!$C$17,Datos!$D$17,IF(Evalucion!DM30=Datos!$C$18,Datos!$D$18,IF(Evalucion!DM30=Datos!$C$19,Datos!$D$19,"=")))))</f>
        <v>5</v>
      </c>
      <c r="DM32">
        <f>IF(Evalucion!DN30=Datos!$C$15,Datos!$D$15,IF(Evalucion!DN30=Datos!$C$16,Datos!$D$16,IF(Evalucion!DN30=Datos!$C$17,Datos!$D$17,IF(Evalucion!DN30=Datos!$C$18,Datos!$D$18,IF(Evalucion!DN30=Datos!$C$19,Datos!$D$19,"=")))))</f>
        <v>5</v>
      </c>
      <c r="DN32">
        <f>IF(Evalucion!DO30=Datos!$C$15,Datos!$D$15,IF(Evalucion!DO30=Datos!$C$16,Datos!$D$16,IF(Evalucion!DO30=Datos!$C$17,Datos!$D$17,IF(Evalucion!DO30=Datos!$C$18,Datos!$D$18,IF(Evalucion!DO30=Datos!$C$19,Datos!$D$19,"=")))))</f>
        <v>5</v>
      </c>
      <c r="DO32">
        <f>IF(Evalucion!DP30=Datos!$C$15,Datos!$D$15,IF(Evalucion!DP30=Datos!$C$16,Datos!$D$16,IF(Evalucion!DP30=Datos!$C$17,Datos!$D$17,IF(Evalucion!DP30=Datos!$C$18,Datos!$D$18,IF(Evalucion!DP30=Datos!$C$19,Datos!$D$19,"=")))))</f>
        <v>5</v>
      </c>
      <c r="DP32">
        <f>IF(Evalucion!DQ30=Datos!$C$15,Datos!$D$15,IF(Evalucion!DQ30=Datos!$C$16,Datos!$D$16,IF(Evalucion!DQ30=Datos!$C$17,Datos!$D$17,IF(Evalucion!DQ30=Datos!$C$18,Datos!$D$18,IF(Evalucion!DQ30=Datos!$C$19,Datos!$D$19,"=")))))</f>
        <v>5</v>
      </c>
      <c r="DQ32">
        <f>IF(Evalucion!DR30=Datos!$C$15,Datos!$D$15,IF(Evalucion!DR30=Datos!$C$16,Datos!$D$16,IF(Evalucion!DR30=Datos!$C$17,Datos!$D$17,IF(Evalucion!DR30=Datos!$C$18,Datos!$D$18,IF(Evalucion!DR30=Datos!$C$19,Datos!$D$19,"=")))))</f>
        <v>5</v>
      </c>
      <c r="DR32">
        <f>IF(Evalucion!DS30=Datos!$C$15,Datos!$D$15,IF(Evalucion!DS30=Datos!$C$16,Datos!$D$16,IF(Evalucion!DS30=Datos!$C$17,Datos!$D$17,IF(Evalucion!DS30=Datos!$C$18,Datos!$D$18,IF(Evalucion!DS30=Datos!$C$19,Datos!$D$19,"=")))))</f>
        <v>5</v>
      </c>
      <c r="DS32">
        <f>IF(Evalucion!DT30=Datos!$C$15,Datos!$D$15,IF(Evalucion!DT30=Datos!$C$16,Datos!$D$16,IF(Evalucion!DT30=Datos!$C$17,Datos!$D$17,IF(Evalucion!DT30=Datos!$C$18,Datos!$D$18,IF(Evalucion!DT30=Datos!$C$19,Datos!$D$19,"=")))))</f>
        <v>5</v>
      </c>
      <c r="DT32">
        <f>IF(Evalucion!DU30=Datos!$C$15,Datos!$D$15,IF(Evalucion!DU30=Datos!$C$16,Datos!$D$16,IF(Evalucion!DU30=Datos!$C$17,Datos!$D$17,IF(Evalucion!DU30=Datos!$C$18,Datos!$D$18,IF(Evalucion!DU30=Datos!$C$19,Datos!$D$19,"=")))))</f>
        <v>5</v>
      </c>
      <c r="DU32">
        <f>IF(Evalucion!DV30=Datos!$C$15,Datos!$D$15,IF(Evalucion!DV30=Datos!$C$16,Datos!$D$16,IF(Evalucion!DV30=Datos!$C$17,Datos!$D$17,IF(Evalucion!DV30=Datos!$C$18,Datos!$D$18,IF(Evalucion!DV30=Datos!$C$19,Datos!$D$19,"=")))))</f>
        <v>5</v>
      </c>
      <c r="DV32">
        <f>IF(Evalucion!DW30=Datos!$C$15,Datos!$D$15,IF(Evalucion!DW30=Datos!$C$16,Datos!$D$16,IF(Evalucion!DW30=Datos!$C$17,Datos!$D$17,IF(Evalucion!DW30=Datos!$C$18,Datos!$D$18,IF(Evalucion!DW30=Datos!$C$19,Datos!$D$19,"=")))))</f>
        <v>5</v>
      </c>
      <c r="DW32">
        <f>IF(Evalucion!DX30=Datos!$C$15,Datos!$D$15,IF(Evalucion!DX30=Datos!$C$16,Datos!$D$16,IF(Evalucion!DX30=Datos!$C$17,Datos!$D$17,IF(Evalucion!DX30=Datos!$C$18,Datos!$D$18,IF(Evalucion!DX30=Datos!$C$19,Datos!$D$19,"=")))))</f>
        <v>5</v>
      </c>
      <c r="DX32">
        <f>IF(Evalucion!DY30=Datos!$C$15,Datos!$D$15,IF(Evalucion!DY30=Datos!$C$16,Datos!$D$16,IF(Evalucion!DY30=Datos!$C$17,Datos!$D$17,IF(Evalucion!DY30=Datos!$C$18,Datos!$D$18,IF(Evalucion!DY30=Datos!$C$19,Datos!$D$19,"=")))))</f>
        <v>5</v>
      </c>
      <c r="DY32">
        <f>IF(Evalucion!DZ30=Datos!$C$15,Datos!$D$15,IF(Evalucion!DZ30=Datos!$C$16,Datos!$D$16,IF(Evalucion!DZ30=Datos!$C$17,Datos!$D$17,IF(Evalucion!DZ30=Datos!$C$18,Datos!$D$18,IF(Evalucion!DZ30=Datos!$C$19,Datos!$D$19,"=")))))</f>
        <v>5</v>
      </c>
      <c r="DZ32">
        <f>IF(Evalucion!EA30=Datos!$C$15,Datos!$D$15,IF(Evalucion!EA30=Datos!$C$16,Datos!$D$16,IF(Evalucion!EA30=Datos!$C$17,Datos!$D$17,IF(Evalucion!EA30=Datos!$C$18,Datos!$D$18,IF(Evalucion!EA30=Datos!$C$19,Datos!$D$19,"=")))))</f>
        <v>5</v>
      </c>
      <c r="EA32">
        <f>IF(Evalucion!EB30=Datos!$C$15,Datos!$D$15,IF(Evalucion!EB30=Datos!$C$16,Datos!$D$16,IF(Evalucion!EB30=Datos!$C$17,Datos!$D$17,IF(Evalucion!EB30=Datos!$C$18,Datos!$D$18,IF(Evalucion!EB30=Datos!$C$19,Datos!$D$19,"=")))))</f>
        <v>5</v>
      </c>
      <c r="EB32">
        <f>IF(Evalucion!EC30=Datos!$C$15,Datos!$D$15,IF(Evalucion!EC30=Datos!$C$16,Datos!$D$16,IF(Evalucion!EC30=Datos!$C$17,Datos!$D$17,IF(Evalucion!EC30=Datos!$C$18,Datos!$D$18,IF(Evalucion!EC30=Datos!$C$19,Datos!$D$19,"=")))))</f>
        <v>5</v>
      </c>
      <c r="EC32">
        <f>IF(Evalucion!ED30=Datos!$C$15,Datos!$D$15,IF(Evalucion!ED30=Datos!$C$16,Datos!$D$16,IF(Evalucion!ED30=Datos!$C$17,Datos!$D$17,IF(Evalucion!ED30=Datos!$C$18,Datos!$D$18,IF(Evalucion!ED30=Datos!$C$19,Datos!$D$19,"=")))))</f>
        <v>5</v>
      </c>
      <c r="ED32">
        <f>IF(Evalucion!EE30=Datos!$C$15,Datos!$D$15,IF(Evalucion!EE30=Datos!$C$16,Datos!$D$16,IF(Evalucion!EE30=Datos!$C$17,Datos!$D$17,IF(Evalucion!EE30=Datos!$C$18,Datos!$D$18,IF(Evalucion!EE30=Datos!$C$19,Datos!$D$19,"=")))))</f>
        <v>5</v>
      </c>
      <c r="EE32">
        <f>IF(Evalucion!EF30=Datos!$C$15,Datos!$D$15,IF(Evalucion!EF30=Datos!$C$16,Datos!$D$16,IF(Evalucion!EF30=Datos!$C$17,Datos!$D$17,IF(Evalucion!EF30=Datos!$C$18,Datos!$D$18,IF(Evalucion!EF30=Datos!$C$19,Datos!$D$19,"=")))))</f>
        <v>5</v>
      </c>
      <c r="EF32">
        <f>IF(Evalucion!EG30=Datos!$C$15,Datos!$D$15,IF(Evalucion!EG30=Datos!$C$16,Datos!$D$16,IF(Evalucion!EG30=Datos!$C$17,Datos!$D$17,IF(Evalucion!EG30=Datos!$C$18,Datos!$D$18,IF(Evalucion!EG30=Datos!$C$19,Datos!$D$19,"=")))))</f>
        <v>5</v>
      </c>
      <c r="EG32">
        <f>IF(Evalucion!EH30=Datos!$C$15,Datos!$D$15,IF(Evalucion!EH30=Datos!$C$16,Datos!$D$16,IF(Evalucion!EH30=Datos!$C$17,Datos!$D$17,IF(Evalucion!EH30=Datos!$C$18,Datos!$D$18,IF(Evalucion!EH30=Datos!$C$19,Datos!$D$19,"=")))))</f>
        <v>5</v>
      </c>
      <c r="EH32">
        <f>IF(Evalucion!EI30=Datos!$C$15,Datos!$D$15,IF(Evalucion!EI30=Datos!$C$16,Datos!$D$16,IF(Evalucion!EI30=Datos!$C$17,Datos!$D$17,IF(Evalucion!EI30=Datos!$C$18,Datos!$D$18,IF(Evalucion!EI30=Datos!$C$19,Datos!$D$19,"=")))))</f>
        <v>5</v>
      </c>
      <c r="EI32">
        <f>IF(Evalucion!EJ30=Datos!$C$15,Datos!$D$15,IF(Evalucion!EJ30=Datos!$C$16,Datos!$D$16,IF(Evalucion!EJ30=Datos!$C$17,Datos!$D$17,IF(Evalucion!EJ30=Datos!$C$18,Datos!$D$18,IF(Evalucion!EJ30=Datos!$C$19,Datos!$D$19,"=")))))</f>
        <v>5</v>
      </c>
      <c r="EJ32">
        <f>IF(Evalucion!EK30=Datos!$C$15,Datos!$D$15,IF(Evalucion!EK30=Datos!$C$16,Datos!$D$16,IF(Evalucion!EK30=Datos!$C$17,Datos!$D$17,IF(Evalucion!EK30=Datos!$C$18,Datos!$D$18,IF(Evalucion!EK30=Datos!$C$19,Datos!$D$19,"=")))))</f>
        <v>5</v>
      </c>
      <c r="EK32">
        <f>IF(Evalucion!EL30=Datos!$C$15,Datos!$D$15,IF(Evalucion!EL30=Datos!$C$16,Datos!$D$16,IF(Evalucion!EL30=Datos!$C$17,Datos!$D$17,IF(Evalucion!EL30=Datos!$C$18,Datos!$D$18,IF(Evalucion!EL30=Datos!$C$19,Datos!$D$19,"=")))))</f>
        <v>5</v>
      </c>
      <c r="EL32">
        <f>IF(Evalucion!EM30=Datos!$C$15,Datos!$D$15,IF(Evalucion!EM30=Datos!$C$16,Datos!$D$16,IF(Evalucion!EM30=Datos!$C$17,Datos!$D$17,IF(Evalucion!EM30=Datos!$C$18,Datos!$D$18,IF(Evalucion!EM30=Datos!$C$19,Datos!$D$19,"=")))))</f>
        <v>5</v>
      </c>
      <c r="EM32">
        <f>IF(Evalucion!EN30=Datos!$C$15,Datos!$D$15,IF(Evalucion!EN30=Datos!$C$16,Datos!$D$16,IF(Evalucion!EN30=Datos!$C$17,Datos!$D$17,IF(Evalucion!EN30=Datos!$C$18,Datos!$D$18,IF(Evalucion!EN30=Datos!$C$19,Datos!$D$19,"=")))))</f>
        <v>5</v>
      </c>
      <c r="EN32">
        <f>IF(Evalucion!EO30=Datos!$C$15,Datos!$D$15,IF(Evalucion!EO30=Datos!$C$16,Datos!$D$16,IF(Evalucion!EO30=Datos!$C$17,Datos!$D$17,IF(Evalucion!EO30=Datos!$C$18,Datos!$D$18,IF(Evalucion!EO30=Datos!$C$19,Datos!$D$19,"=")))))</f>
        <v>5</v>
      </c>
      <c r="EO32">
        <f>IF(Evalucion!EP30=Datos!$C$15,Datos!$D$15,IF(Evalucion!EP30=Datos!$C$16,Datos!$D$16,IF(Evalucion!EP30=Datos!$C$17,Datos!$D$17,IF(Evalucion!EP30=Datos!$C$18,Datos!$D$18,IF(Evalucion!EP30=Datos!$C$19,Datos!$D$19,"=")))))</f>
        <v>5</v>
      </c>
      <c r="EP32">
        <f>IF(Evalucion!EQ30=Datos!$C$15,Datos!$D$15,IF(Evalucion!EQ30=Datos!$C$16,Datos!$D$16,IF(Evalucion!EQ30=Datos!$C$17,Datos!$D$17,IF(Evalucion!EQ30=Datos!$C$18,Datos!$D$18,IF(Evalucion!EQ30=Datos!$C$19,Datos!$D$19,"=")))))</f>
        <v>5</v>
      </c>
      <c r="EQ32">
        <f>IF(Evalucion!ER30=Datos!$C$15,Datos!$D$15,IF(Evalucion!ER30=Datos!$C$16,Datos!$D$16,IF(Evalucion!ER30=Datos!$C$17,Datos!$D$17,IF(Evalucion!ER30=Datos!$C$18,Datos!$D$18,IF(Evalucion!ER30=Datos!$C$19,Datos!$D$19,"=")))))</f>
        <v>5</v>
      </c>
      <c r="ER32">
        <f>IF(Evalucion!ES30=Datos!$C$15,Datos!$D$15,IF(Evalucion!ES30=Datos!$C$16,Datos!$D$16,IF(Evalucion!ES30=Datos!$C$17,Datos!$D$17,IF(Evalucion!ES30=Datos!$C$18,Datos!$D$18,IF(Evalucion!ES30=Datos!$C$19,Datos!$D$19,"=")))))</f>
        <v>5</v>
      </c>
      <c r="ES32">
        <f>IF(Evalucion!ET30=Datos!$C$15,Datos!$D$15,IF(Evalucion!ET30=Datos!$C$16,Datos!$D$16,IF(Evalucion!ET30=Datos!$C$17,Datos!$D$17,IF(Evalucion!ET30=Datos!$C$18,Datos!$D$18,IF(Evalucion!ET30=Datos!$C$19,Datos!$D$19,"=")))))</f>
        <v>5</v>
      </c>
      <c r="ET32">
        <f>IF(Evalucion!EU30=Datos!$C$15,Datos!$D$15,IF(Evalucion!EU30=Datos!$C$16,Datos!$D$16,IF(Evalucion!EU30=Datos!$C$17,Datos!$D$17,IF(Evalucion!EU30=Datos!$C$18,Datos!$D$18,IF(Evalucion!EU30=Datos!$C$19,Datos!$D$19,"=")))))</f>
        <v>5</v>
      </c>
      <c r="EU32">
        <f>IF(Evalucion!EV30=Datos!$C$15,Datos!$D$15,IF(Evalucion!EV30=Datos!$C$16,Datos!$D$16,IF(Evalucion!EV30=Datos!$C$17,Datos!$D$17,IF(Evalucion!EV30=Datos!$C$18,Datos!$D$18,IF(Evalucion!EV30=Datos!$C$19,Datos!$D$19,"=")))))</f>
        <v>1</v>
      </c>
      <c r="EV32">
        <f>IF(Evalucion!EW30=Datos!$C$15,Datos!$D$15,IF(Evalucion!EW30=Datos!$C$16,Datos!$D$16,IF(Evalucion!EW30=Datos!$C$17,Datos!$D$17,IF(Evalucion!EW30=Datos!$C$18,Datos!$D$18,IF(Evalucion!EW30=Datos!$C$19,Datos!$D$19,"=")))))</f>
        <v>5</v>
      </c>
      <c r="EW32">
        <f>IF(Evalucion!EX30=Datos!$C$15,Datos!$D$15,IF(Evalucion!EX30=Datos!$C$16,Datos!$D$16,IF(Evalucion!EX30=Datos!$C$17,Datos!$D$17,IF(Evalucion!EX30=Datos!$C$18,Datos!$D$18,IF(Evalucion!EX30=Datos!$C$19,Datos!$D$19,"=")))))</f>
        <v>5</v>
      </c>
      <c r="EX32">
        <f>IF(Evalucion!EY30=Datos!$C$15,Datos!$D$15,IF(Evalucion!EY30=Datos!$C$16,Datos!$D$16,IF(Evalucion!EY30=Datos!$C$17,Datos!$D$17,IF(Evalucion!EY30=Datos!$C$18,Datos!$D$18,IF(Evalucion!EY30=Datos!$C$19,Datos!$D$19,"=")))))</f>
        <v>5</v>
      </c>
      <c r="EY32">
        <f>IF(Evalucion!EZ30=Datos!$C$15,Datos!$D$15,IF(Evalucion!EZ30=Datos!$C$16,Datos!$D$16,IF(Evalucion!EZ30=Datos!$C$17,Datos!$D$17,IF(Evalucion!EZ30=Datos!$C$18,Datos!$D$18,IF(Evalucion!EZ30=Datos!$C$19,Datos!$D$19,"=")))))</f>
        <v>5</v>
      </c>
      <c r="FA32">
        <f t="shared" si="8"/>
        <v>343</v>
      </c>
      <c r="FB32">
        <f t="shared" si="8"/>
        <v>335</v>
      </c>
      <c r="FC32" s="3">
        <f t="shared" si="4"/>
        <v>0.89333333333333331</v>
      </c>
      <c r="FD32" t="str">
        <f t="shared" si="0"/>
        <v>Conf_CR</v>
      </c>
      <c r="FF32">
        <f t="shared" si="5"/>
        <v>678</v>
      </c>
      <c r="FG32">
        <f t="shared" si="6"/>
        <v>0</v>
      </c>
    </row>
    <row r="33" spans="1:163" x14ac:dyDescent="0.2">
      <c r="A33">
        <f t="shared" si="7"/>
        <v>30</v>
      </c>
      <c r="B33" t="s">
        <v>274</v>
      </c>
      <c r="C33" t="s">
        <v>192</v>
      </c>
      <c r="D33" s="6">
        <v>42682</v>
      </c>
      <c r="E33">
        <f>IF(Evalucion!F31=Datos!$C$15,Datos!$D$15,IF(Evalucion!F31=Datos!$C$16,Datos!$D$16,IF(Evalucion!F31=Datos!$C$17,Datos!$D$17,IF(Evalucion!F31=Datos!$C$18,Datos!$D$18,IF(Evalucion!F31=Datos!$C$19,Datos!$D$19,"=")))))</f>
        <v>5</v>
      </c>
      <c r="F33">
        <f>IF(Evalucion!G31=Datos!$C$15,Datos!$D$15,IF(Evalucion!G31=Datos!$C$16,Datos!$D$16,IF(Evalucion!G31=Datos!$C$17,Datos!$D$17,IF(Evalucion!G31=Datos!$C$18,Datos!$D$18,IF(Evalucion!G31=Datos!$C$19,Datos!$D$19,"=")))))</f>
        <v>5</v>
      </c>
      <c r="G33">
        <f>IF(Evalucion!H31=Datos!$C$15,Datos!$D$15,IF(Evalucion!H31=Datos!$C$16,Datos!$D$16,IF(Evalucion!H31=Datos!$C$17,Datos!$D$17,IF(Evalucion!H31=Datos!$C$18,Datos!$D$18,IF(Evalucion!H31=Datos!$C$19,Datos!$D$19,"=")))))</f>
        <v>5</v>
      </c>
      <c r="H33">
        <f>IF(Evalucion!I31=Datos!$C$15,Datos!$D$15,IF(Evalucion!I31=Datos!$C$16,Datos!$D$16,IF(Evalucion!I31=Datos!$C$17,Datos!$D$17,IF(Evalucion!I31=Datos!$C$18,Datos!$D$18,IF(Evalucion!I31=Datos!$C$19,Datos!$D$19,"=")))))</f>
        <v>5</v>
      </c>
      <c r="I33">
        <f>IF(Evalucion!J31=Datos!$C$15,Datos!$D$15,IF(Evalucion!J31=Datos!$C$16,Datos!$D$16,IF(Evalucion!J31=Datos!$C$17,Datos!$D$17,IF(Evalucion!J31=Datos!$C$18,Datos!$D$18,IF(Evalucion!J31=Datos!$C$19,Datos!$D$19,"=")))))</f>
        <v>5</v>
      </c>
      <c r="J33">
        <f>IF(Evalucion!K31=Datos!$C$15,Datos!$D$15,IF(Evalucion!K31=Datos!$C$16,Datos!$D$16,IF(Evalucion!K31=Datos!$C$17,Datos!$D$17,IF(Evalucion!K31=Datos!$C$18,Datos!$D$18,IF(Evalucion!K31=Datos!$C$19,Datos!$D$19,"=")))))</f>
        <v>5</v>
      </c>
      <c r="K33">
        <f>IF(Evalucion!L31=Datos!$C$15,Datos!$D$15,IF(Evalucion!L31=Datos!$C$16,Datos!$D$16,IF(Evalucion!L31=Datos!$C$17,Datos!$D$17,IF(Evalucion!L31=Datos!$C$18,Datos!$D$18,IF(Evalucion!L31=Datos!$C$19,Datos!$D$19,"=")))))</f>
        <v>5</v>
      </c>
      <c r="L33">
        <f>IF(Evalucion!M31=Datos!$C$15,Datos!$D$15,IF(Evalucion!M31=Datos!$C$16,Datos!$D$16,IF(Evalucion!M31=Datos!$C$17,Datos!$D$17,IF(Evalucion!M31=Datos!$C$18,Datos!$D$18,IF(Evalucion!M31=Datos!$C$19,Datos!$D$19,"=")))))</f>
        <v>5</v>
      </c>
      <c r="M33">
        <f>IF(Evalucion!N31=Datos!$C$15,Datos!$D$15,IF(Evalucion!N31=Datos!$C$16,Datos!$D$16,IF(Evalucion!N31=Datos!$C$17,Datos!$D$17,IF(Evalucion!N31=Datos!$C$18,Datos!$D$18,IF(Evalucion!N31=Datos!$C$19,Datos!$D$19,"=")))))</f>
        <v>5</v>
      </c>
      <c r="N33">
        <f>IF(Evalucion!O31=Datos!$C$15,Datos!$D$15,IF(Evalucion!O31=Datos!$C$16,Datos!$D$16,IF(Evalucion!O31=Datos!$C$17,Datos!$D$17,IF(Evalucion!O31=Datos!$C$18,Datos!$D$18,IF(Evalucion!O31=Datos!$C$19,Datos!$D$19,"=")))))</f>
        <v>5</v>
      </c>
      <c r="O33">
        <f>IF(Evalucion!P31=Datos!$C$15,Datos!$D$15,IF(Evalucion!P31=Datos!$C$16,Datos!$D$16,IF(Evalucion!P31=Datos!$C$17,Datos!$D$17,IF(Evalucion!P31=Datos!$C$18,Datos!$D$18,IF(Evalucion!P31=Datos!$C$19,Datos!$D$19,"=")))))</f>
        <v>5</v>
      </c>
      <c r="P33">
        <f>IF(Evalucion!Q31=Datos!$C$15,Datos!$D$15,IF(Evalucion!Q31=Datos!$C$16,Datos!$D$16,IF(Evalucion!Q31=Datos!$C$17,Datos!$D$17,IF(Evalucion!Q31=Datos!$C$18,Datos!$D$18,IF(Evalucion!Q31=Datos!$C$19,Datos!$D$19,"=")))))</f>
        <v>5</v>
      </c>
      <c r="Q33">
        <f>IF(Evalucion!R31=Datos!$C$15,Datos!$D$15,IF(Evalucion!R31=Datos!$C$16,Datos!$D$16,IF(Evalucion!R31=Datos!$C$17,Datos!$D$17,IF(Evalucion!R31=Datos!$C$18,Datos!$D$18,IF(Evalucion!R31=Datos!$C$19,Datos!$D$19,"=")))))</f>
        <v>5</v>
      </c>
      <c r="R33">
        <f>IF(Evalucion!S31=Datos!$C$15,Datos!$D$15,IF(Evalucion!S31=Datos!$C$16,Datos!$D$16,IF(Evalucion!S31=Datos!$C$17,Datos!$D$17,IF(Evalucion!S31=Datos!$C$18,Datos!$D$18,IF(Evalucion!S31=Datos!$C$19,Datos!$D$19,"=")))))</f>
        <v>5</v>
      </c>
      <c r="S33">
        <f>IF(Evalucion!T31=Datos!$C$15,Datos!$D$15,IF(Evalucion!T31=Datos!$C$16,Datos!$D$16,IF(Evalucion!T31=Datos!$C$17,Datos!$D$17,IF(Evalucion!T31=Datos!$C$18,Datos!$D$18,IF(Evalucion!T31=Datos!$C$19,Datos!$D$19,"=")))))</f>
        <v>5</v>
      </c>
      <c r="T33">
        <f>IF(Evalucion!U31=Datos!$C$15,Datos!$D$15,IF(Evalucion!U31=Datos!$C$16,Datos!$D$16,IF(Evalucion!U31=Datos!$C$17,Datos!$D$17,IF(Evalucion!U31=Datos!$C$18,Datos!$D$18,IF(Evalucion!U31=Datos!$C$19,Datos!$D$19,"=")))))</f>
        <v>5</v>
      </c>
      <c r="U33">
        <f>IF(Evalucion!V31=Datos!$C$15,Datos!$D$15,IF(Evalucion!V31=Datos!$C$16,Datos!$D$16,IF(Evalucion!V31=Datos!$C$17,Datos!$D$17,IF(Evalucion!V31=Datos!$C$18,Datos!$D$18,IF(Evalucion!V31=Datos!$C$19,Datos!$D$19,"=")))))</f>
        <v>5</v>
      </c>
      <c r="V33">
        <f>IF(Evalucion!W31=Datos!$C$15,Datos!$D$15,IF(Evalucion!W31=Datos!$C$16,Datos!$D$16,IF(Evalucion!W31=Datos!$C$17,Datos!$D$17,IF(Evalucion!W31=Datos!$C$18,Datos!$D$18,IF(Evalucion!W31=Datos!$C$19,Datos!$D$19,"=")))))</f>
        <v>5</v>
      </c>
      <c r="W33">
        <f>IF(Evalucion!X31=Datos!$C$15,Datos!$D$15,IF(Evalucion!X31=Datos!$C$16,Datos!$D$16,IF(Evalucion!X31=Datos!$C$17,Datos!$D$17,IF(Evalucion!X31=Datos!$C$18,Datos!$D$18,IF(Evalucion!X31=Datos!$C$19,Datos!$D$19,"=")))))</f>
        <v>5</v>
      </c>
      <c r="X33">
        <f>IF(Evalucion!Y31=Datos!$C$15,Datos!$D$15,IF(Evalucion!Y31=Datos!$C$16,Datos!$D$16,IF(Evalucion!Y31=Datos!$C$17,Datos!$D$17,IF(Evalucion!Y31=Datos!$C$18,Datos!$D$18,IF(Evalucion!Y31=Datos!$C$19,Datos!$D$19,"=")))))</f>
        <v>5</v>
      </c>
      <c r="Y33">
        <f>IF(Evalucion!Z31=Datos!$C$15,Datos!$D$15,IF(Evalucion!Z31=Datos!$C$16,Datos!$D$16,IF(Evalucion!Z31=Datos!$C$17,Datos!$D$17,IF(Evalucion!Z31=Datos!$C$18,Datos!$D$18,IF(Evalucion!Z31=Datos!$C$19,Datos!$D$19,"=")))))</f>
        <v>5</v>
      </c>
      <c r="Z33">
        <f>IF(Evalucion!AA31=Datos!$C$15,Datos!$D$15,IF(Evalucion!AA31=Datos!$C$16,Datos!$D$16,IF(Evalucion!AA31=Datos!$C$17,Datos!$D$17,IF(Evalucion!AA31=Datos!$C$18,Datos!$D$18,IF(Evalucion!AA31=Datos!$C$19,Datos!$D$19,"=")))))</f>
        <v>5</v>
      </c>
      <c r="AA33">
        <f>IF(Evalucion!AB31=Datos!$C$15,Datos!$D$15,IF(Evalucion!AB31=Datos!$C$16,Datos!$D$16,IF(Evalucion!AB31=Datos!$C$17,Datos!$D$17,IF(Evalucion!AB31=Datos!$C$18,Datos!$D$18,IF(Evalucion!AB31=Datos!$C$19,Datos!$D$19,"=")))))</f>
        <v>5</v>
      </c>
      <c r="AB33">
        <f>IF(Evalucion!AC31=Datos!$C$15,Datos!$D$15,IF(Evalucion!AC31=Datos!$C$16,Datos!$D$16,IF(Evalucion!AC31=Datos!$C$17,Datos!$D$17,IF(Evalucion!AC31=Datos!$C$18,Datos!$D$18,IF(Evalucion!AC31=Datos!$C$19,Datos!$D$19,"=")))))</f>
        <v>5</v>
      </c>
      <c r="AC33">
        <f>IF(Evalucion!AD31=Datos!$C$15,Datos!$D$15,IF(Evalucion!AD31=Datos!$C$16,Datos!$D$16,IF(Evalucion!AD31=Datos!$C$17,Datos!$D$17,IF(Evalucion!AD31=Datos!$C$18,Datos!$D$18,IF(Evalucion!AD31=Datos!$C$19,Datos!$D$19,"=")))))</f>
        <v>5</v>
      </c>
      <c r="AD33">
        <f>IF(Evalucion!AE31=Datos!$C$15,Datos!$D$15,IF(Evalucion!AE31=Datos!$C$16,Datos!$D$16,IF(Evalucion!AE31=Datos!$C$17,Datos!$D$17,IF(Evalucion!AE31=Datos!$C$18,Datos!$D$18,IF(Evalucion!AE31=Datos!$C$19,Datos!$D$19,"=")))))</f>
        <v>5</v>
      </c>
      <c r="AE33">
        <f>IF(Evalucion!AF31=Datos!$C$15,Datos!$D$15,IF(Evalucion!AF31=Datos!$C$16,Datos!$D$16,IF(Evalucion!AF31=Datos!$C$17,Datos!$D$17,IF(Evalucion!AF31=Datos!$C$18,Datos!$D$18,IF(Evalucion!AF31=Datos!$C$19,Datos!$D$19,"=")))))</f>
        <v>5</v>
      </c>
      <c r="AF33">
        <f>IF(Evalucion!AG31=Datos!$C$15,Datos!$D$15,IF(Evalucion!AG31=Datos!$C$16,Datos!$D$16,IF(Evalucion!AG31=Datos!$C$17,Datos!$D$17,IF(Evalucion!AG31=Datos!$C$18,Datos!$D$18,IF(Evalucion!AG31=Datos!$C$19,Datos!$D$19,"=")))))</f>
        <v>5</v>
      </c>
      <c r="AO33">
        <f>IF(Evalucion!AP31=Datos!$C$15,Datos!$D$15,IF(Evalucion!AP31=Datos!$C$16,Datos!$D$16,IF(Evalucion!AP31=Datos!$C$17,Datos!$D$17,IF(Evalucion!AP31=Datos!$C$18,Datos!$D$18,IF(Evalucion!AP31=Datos!$C$19,Datos!$D$19,"=")))))</f>
        <v>5</v>
      </c>
      <c r="AP33">
        <f>IF(Evalucion!AQ31=Datos!$C$15,Datos!$D$15,IF(Evalucion!AQ31=Datos!$C$16,Datos!$D$16,IF(Evalucion!AQ31=Datos!$C$17,Datos!$D$17,IF(Evalucion!AQ31=Datos!$C$18,Datos!$D$18,IF(Evalucion!AQ31=Datos!$C$19,Datos!$D$19,"=")))))</f>
        <v>5</v>
      </c>
      <c r="AQ33">
        <f>IF(Evalucion!AR31=Datos!$C$15,Datos!$D$15,IF(Evalucion!AR31=Datos!$C$16,Datos!$D$16,IF(Evalucion!AR31=Datos!$C$17,Datos!$D$17,IF(Evalucion!AR31=Datos!$C$18,Datos!$D$18,IF(Evalucion!AR31=Datos!$C$19,Datos!$D$19,"=")))))</f>
        <v>5</v>
      </c>
      <c r="AR33">
        <f>IF(Evalucion!AS31=Datos!$C$15,Datos!$D$15,IF(Evalucion!AS31=Datos!$C$16,Datos!$D$16,IF(Evalucion!AS31=Datos!$C$17,Datos!$D$17,IF(Evalucion!AS31=Datos!$C$18,Datos!$D$18,IF(Evalucion!AS31=Datos!$C$19,Datos!$D$19,"=")))))</f>
        <v>1</v>
      </c>
      <c r="AS33">
        <f>IF(Evalucion!AT31=Datos!$C$15,Datos!$D$15,IF(Evalucion!AT31=Datos!$C$16,Datos!$D$16,IF(Evalucion!AT31=Datos!$C$17,Datos!$D$17,IF(Evalucion!AT31=Datos!$C$18,Datos!$D$18,IF(Evalucion!AT31=Datos!$C$19,Datos!$D$19,"=")))))</f>
        <v>5</v>
      </c>
      <c r="AT33">
        <f>IF(Evalucion!AU31=Datos!$C$15,Datos!$D$15,IF(Evalucion!AU31=Datos!$C$16,Datos!$D$16,IF(Evalucion!AU31=Datos!$C$17,Datos!$D$17,IF(Evalucion!AU31=Datos!$C$18,Datos!$D$18,IF(Evalucion!AU31=Datos!$C$19,Datos!$D$19,"=")))))</f>
        <v>5</v>
      </c>
      <c r="AV33">
        <f>IF(Evalucion!AW31=Datos!$C$15,Datos!$D$15,IF(Evalucion!AW31=Datos!$C$16,Datos!$D$16,IF(Evalucion!AW31=Datos!$C$17,Datos!$D$17,IF(Evalucion!AW31=Datos!$C$18,Datos!$D$18,IF(Evalucion!AW31=Datos!$C$19,Datos!$D$19,"=")))))</f>
        <v>5</v>
      </c>
      <c r="AW33">
        <f>IF(Evalucion!AX31=Datos!$C$15,Datos!$D$15,IF(Evalucion!AX31=Datos!$C$16,Datos!$D$16,IF(Evalucion!AX31=Datos!$C$17,Datos!$D$17,IF(Evalucion!AX31=Datos!$C$18,Datos!$D$18,IF(Evalucion!AX31=Datos!$C$19,Datos!$D$19,"=")))))</f>
        <v>5</v>
      </c>
      <c r="AX33">
        <f>IF(Evalucion!AY31=Datos!$C$15,Datos!$D$15,IF(Evalucion!AY31=Datos!$C$16,Datos!$D$16,IF(Evalucion!AY31=Datos!$C$17,Datos!$D$17,IF(Evalucion!AY31=Datos!$C$18,Datos!$D$18,IF(Evalucion!AY31=Datos!$C$19,Datos!$D$19,"=")))))</f>
        <v>5</v>
      </c>
      <c r="AY33">
        <f>IF(Evalucion!AZ31=Datos!$C$15,Datos!$D$15,IF(Evalucion!AZ31=Datos!$C$16,Datos!$D$16,IF(Evalucion!AZ31=Datos!$C$17,Datos!$D$17,IF(Evalucion!AZ31=Datos!$C$18,Datos!$D$18,IF(Evalucion!AZ31=Datos!$C$19,Datos!$D$19,"=")))))</f>
        <v>5</v>
      </c>
      <c r="AZ33">
        <f>IF(Evalucion!BA31=Datos!$C$15,Datos!$D$15,IF(Evalucion!BA31=Datos!$C$16,Datos!$D$16,IF(Evalucion!BA31=Datos!$C$17,Datos!$D$17,IF(Evalucion!BA31=Datos!$C$18,Datos!$D$18,IF(Evalucion!BA31=Datos!$C$19,Datos!$D$19,"=")))))</f>
        <v>5</v>
      </c>
      <c r="BA33">
        <f>IF(Evalucion!BB31=Datos!$C$15,Datos!$D$15,IF(Evalucion!BB31=Datos!$C$16,Datos!$D$16,IF(Evalucion!BB31=Datos!$C$17,Datos!$D$17,IF(Evalucion!BB31=Datos!$C$18,Datos!$D$18,IF(Evalucion!BB31=Datos!$C$19,Datos!$D$19,"=")))))</f>
        <v>5</v>
      </c>
      <c r="BB33">
        <f>IF(Evalucion!BC31=Datos!$C$15,Datos!$D$15,IF(Evalucion!BC31=Datos!$C$16,Datos!$D$16,IF(Evalucion!BC31=Datos!$C$17,Datos!$D$17,IF(Evalucion!BC31=Datos!$C$18,Datos!$D$18,IF(Evalucion!BC31=Datos!$C$19,Datos!$D$19,"=")))))</f>
        <v>5</v>
      </c>
      <c r="BC33">
        <f>IF(Evalucion!BD31=Datos!$C$15,Datos!$D$15,IF(Evalucion!BD31=Datos!$C$16,Datos!$D$16,IF(Evalucion!BD31=Datos!$C$17,Datos!$D$17,IF(Evalucion!BD31=Datos!$C$18,Datos!$D$18,IF(Evalucion!BD31=Datos!$C$19,Datos!$D$19,"=")))))</f>
        <v>5</v>
      </c>
      <c r="BD33">
        <f>IF(Evalucion!BE31=Datos!$C$15,Datos!$D$15,IF(Evalucion!BE31=Datos!$C$16,Datos!$D$16,IF(Evalucion!BE31=Datos!$C$17,Datos!$D$17,IF(Evalucion!BE31=Datos!$C$18,Datos!$D$18,IF(Evalucion!BE31=Datos!$C$19,Datos!$D$19,"=")))))</f>
        <v>5</v>
      </c>
      <c r="BE33">
        <f>IF(Evalucion!BF31=Datos!$C$15,Datos!$D$15,IF(Evalucion!BF31=Datos!$C$16,Datos!$D$16,IF(Evalucion!BF31=Datos!$C$17,Datos!$D$17,IF(Evalucion!BF31=Datos!$C$18,Datos!$D$18,IF(Evalucion!BF31=Datos!$C$19,Datos!$D$19,"=")))))</f>
        <v>5</v>
      </c>
      <c r="BF33">
        <f>IF(Evalucion!BG31=Datos!$C$15,Datos!$D$15,IF(Evalucion!BG31=Datos!$C$16,Datos!$D$16,IF(Evalucion!BG31=Datos!$C$17,Datos!$D$17,IF(Evalucion!BG31=Datos!$C$18,Datos!$D$18,IF(Evalucion!BG31=Datos!$C$19,Datos!$D$19,"=")))))</f>
        <v>5</v>
      </c>
      <c r="BG33">
        <f>IF(Evalucion!BH31=Datos!$C$15,Datos!$D$15,IF(Evalucion!BH31=Datos!$C$16,Datos!$D$16,IF(Evalucion!BH31=Datos!$C$17,Datos!$D$17,IF(Evalucion!BH31=Datos!$C$18,Datos!$D$18,IF(Evalucion!BH31=Datos!$C$19,Datos!$D$19,"=")))))</f>
        <v>5</v>
      </c>
      <c r="BH33">
        <f>IF(Evalucion!BI31=Datos!$C$15,Datos!$D$15,IF(Evalucion!BI31=Datos!$C$16,Datos!$D$16,IF(Evalucion!BI31=Datos!$C$17,Datos!$D$17,IF(Evalucion!BI31=Datos!$C$18,Datos!$D$18,IF(Evalucion!BI31=Datos!$C$19,Datos!$D$19,"=")))))</f>
        <v>5</v>
      </c>
      <c r="BI33">
        <f>IF(Evalucion!BJ31=Datos!$C$15,Datos!$D$15,IF(Evalucion!BJ31=Datos!$C$16,Datos!$D$16,IF(Evalucion!BJ31=Datos!$C$17,Datos!$D$17,IF(Evalucion!BJ31=Datos!$C$18,Datos!$D$18,IF(Evalucion!BJ31=Datos!$C$19,Datos!$D$19,"=")))))</f>
        <v>5</v>
      </c>
      <c r="BJ33">
        <f>IF(Evalucion!BK31=Datos!$C$15,Datos!$D$15,IF(Evalucion!BK31=Datos!$C$16,Datos!$D$16,IF(Evalucion!BK31=Datos!$C$17,Datos!$D$17,IF(Evalucion!BK31=Datos!$C$18,Datos!$D$18,IF(Evalucion!BK31=Datos!$C$19,Datos!$D$19,"=")))))</f>
        <v>5</v>
      </c>
      <c r="BK33">
        <f>IF(Evalucion!BL31=Datos!$C$15,Datos!$D$15,IF(Evalucion!BL31=Datos!$C$16,Datos!$D$16,IF(Evalucion!BL31=Datos!$C$17,Datos!$D$17,IF(Evalucion!BL31=Datos!$C$18,Datos!$D$18,IF(Evalucion!BL31=Datos!$C$19,Datos!$D$19,"=")))))</f>
        <v>5</v>
      </c>
      <c r="BL33">
        <f>IF(Evalucion!BM31=Datos!$C$15,Datos!$D$15,IF(Evalucion!BM31=Datos!$C$16,Datos!$D$16,IF(Evalucion!BM31=Datos!$C$17,Datos!$D$17,IF(Evalucion!BM31=Datos!$C$18,Datos!$D$18,IF(Evalucion!BM31=Datos!$C$19,Datos!$D$19,"=")))))</f>
        <v>5</v>
      </c>
      <c r="BM33">
        <f>IF(Evalucion!BN31=Datos!$C$15,Datos!$D$15,IF(Evalucion!BN31=Datos!$C$16,Datos!$D$16,IF(Evalucion!BN31=Datos!$C$17,Datos!$D$17,IF(Evalucion!BN31=Datos!$C$18,Datos!$D$18,IF(Evalucion!BN31=Datos!$C$19,Datos!$D$19,"=")))))</f>
        <v>5</v>
      </c>
      <c r="BN33">
        <f>IF(Evalucion!BO31=Datos!$C$15,Datos!$D$15,IF(Evalucion!BO31=Datos!$C$16,Datos!$D$16,IF(Evalucion!BO31=Datos!$C$17,Datos!$D$17,IF(Evalucion!BO31=Datos!$C$18,Datos!$D$18,IF(Evalucion!BO31=Datos!$C$19,Datos!$D$19,"=")))))</f>
        <v>5</v>
      </c>
      <c r="BO33">
        <f>IF(Evalucion!BP31=Datos!$C$15,Datos!$D$15,IF(Evalucion!BP31=Datos!$C$16,Datos!$D$16,IF(Evalucion!BP31=Datos!$C$17,Datos!$D$17,IF(Evalucion!BP31=Datos!$C$18,Datos!$D$18,IF(Evalucion!BP31=Datos!$C$19,Datos!$D$19,"=")))))</f>
        <v>5</v>
      </c>
      <c r="BP33">
        <f>IF(Evalucion!BQ31=Datos!$C$15,Datos!$D$15,IF(Evalucion!BQ31=Datos!$C$16,Datos!$D$16,IF(Evalucion!BQ31=Datos!$C$17,Datos!$D$17,IF(Evalucion!BQ31=Datos!$C$18,Datos!$D$18,IF(Evalucion!BQ31=Datos!$C$19,Datos!$D$19,"=")))))</f>
        <v>5</v>
      </c>
      <c r="BQ33">
        <f>IF(Evalucion!BR31=Datos!$C$15,Datos!$D$15,IF(Evalucion!BR31=Datos!$C$16,Datos!$D$16,IF(Evalucion!BR31=Datos!$C$17,Datos!$D$17,IF(Evalucion!BR31=Datos!$C$18,Datos!$D$18,IF(Evalucion!BR31=Datos!$C$19,Datos!$D$19,"=")))))</f>
        <v>5</v>
      </c>
      <c r="BR33">
        <f>IF(Evalucion!BS31=Datos!$C$15,Datos!$D$15,IF(Evalucion!BS31=Datos!$C$16,Datos!$D$16,IF(Evalucion!BS31=Datos!$C$17,Datos!$D$17,IF(Evalucion!BS31=Datos!$C$18,Datos!$D$18,IF(Evalucion!BS31=Datos!$C$19,Datos!$D$19,"=")))))</f>
        <v>5</v>
      </c>
      <c r="BS33">
        <f>IF(Evalucion!BT31=Datos!$C$15,Datos!$D$15,IF(Evalucion!BT31=Datos!$C$16,Datos!$D$16,IF(Evalucion!BT31=Datos!$C$17,Datos!$D$17,IF(Evalucion!BT31=Datos!$C$18,Datos!$D$18,IF(Evalucion!BT31=Datos!$C$19,Datos!$D$19,"=")))))</f>
        <v>5</v>
      </c>
      <c r="BT33">
        <f>IF(Evalucion!BU31=Datos!$C$15,Datos!$D$15,IF(Evalucion!BU31=Datos!$C$16,Datos!$D$16,IF(Evalucion!BU31=Datos!$C$17,Datos!$D$17,IF(Evalucion!BU31=Datos!$C$18,Datos!$D$18,IF(Evalucion!BU31=Datos!$C$19,Datos!$D$19,"=")))))</f>
        <v>5</v>
      </c>
      <c r="BU33">
        <f>IF(Evalucion!BV31=Datos!$C$15,Datos!$D$15,IF(Evalucion!BV31=Datos!$C$16,Datos!$D$16,IF(Evalucion!BV31=Datos!$C$17,Datos!$D$17,IF(Evalucion!BV31=Datos!$C$18,Datos!$D$18,IF(Evalucion!BV31=Datos!$C$19,Datos!$D$19,"=")))))</f>
        <v>5</v>
      </c>
      <c r="BV33">
        <f>IF(Evalucion!BW31=Datos!$C$15,Datos!$D$15,IF(Evalucion!BW31=Datos!$C$16,Datos!$D$16,IF(Evalucion!BW31=Datos!$C$17,Datos!$D$17,IF(Evalucion!BW31=Datos!$C$18,Datos!$D$18,IF(Evalucion!BW31=Datos!$C$19,Datos!$D$19,"=")))))</f>
        <v>5</v>
      </c>
      <c r="BW33">
        <f>IF(Evalucion!BX31=Datos!$C$15,Datos!$D$15,IF(Evalucion!BX31=Datos!$C$16,Datos!$D$16,IF(Evalucion!BX31=Datos!$C$17,Datos!$D$17,IF(Evalucion!BX31=Datos!$C$18,Datos!$D$18,IF(Evalucion!BX31=Datos!$C$19,Datos!$D$19,"=")))))</f>
        <v>5</v>
      </c>
      <c r="BX33">
        <f>IF(Evalucion!BY31=Datos!$C$15,Datos!$D$15,IF(Evalucion!BY31=Datos!$C$16,Datos!$D$16,IF(Evalucion!BY31=Datos!$C$17,Datos!$D$17,IF(Evalucion!BY31=Datos!$C$18,Datos!$D$18,IF(Evalucion!BY31=Datos!$C$19,Datos!$D$19,"=")))))</f>
        <v>5</v>
      </c>
      <c r="BY33">
        <f>IF(Evalucion!BZ31=Datos!$C$15,Datos!$D$15,IF(Evalucion!BZ31=Datos!$C$16,Datos!$D$16,IF(Evalucion!BZ31=Datos!$C$17,Datos!$D$17,IF(Evalucion!BZ31=Datos!$C$18,Datos!$D$18,IF(Evalucion!BZ31=Datos!$C$19,Datos!$D$19,"=")))))</f>
        <v>5</v>
      </c>
      <c r="BZ33">
        <f>IF(Evalucion!CA31=Datos!$C$15,Datos!$D$15,IF(Evalucion!CA31=Datos!$C$16,Datos!$D$16,IF(Evalucion!CA31=Datos!$C$17,Datos!$D$17,IF(Evalucion!CA31=Datos!$C$18,Datos!$D$18,IF(Evalucion!CA31=Datos!$C$19,Datos!$D$19,"=")))))</f>
        <v>5</v>
      </c>
      <c r="CA33">
        <f>IF(Evalucion!CB31=Datos!$C$15,Datos!$D$15,IF(Evalucion!CB31=Datos!$C$16,Datos!$D$16,IF(Evalucion!CB31=Datos!$C$17,Datos!$D$17,IF(Evalucion!CB31=Datos!$C$18,Datos!$D$18,IF(Evalucion!CB31=Datos!$C$19,Datos!$D$19,"=")))))</f>
        <v>5</v>
      </c>
      <c r="CB33">
        <f>IF(Evalucion!CC31=Datos!$C$15,Datos!$D$15,IF(Evalucion!CC31=Datos!$C$16,Datos!$D$16,IF(Evalucion!CC31=Datos!$C$17,Datos!$D$17,IF(Evalucion!CC31=Datos!$C$18,Datos!$D$18,IF(Evalucion!CC31=Datos!$C$19,Datos!$D$19,"=")))))</f>
        <v>5</v>
      </c>
      <c r="CC33">
        <f>IF(Evalucion!CD31=Datos!$C$15,Datos!$D$15,IF(Evalucion!CD31=Datos!$C$16,Datos!$D$16,IF(Evalucion!CD31=Datos!$C$17,Datos!$D$17,IF(Evalucion!CD31=Datos!$C$18,Datos!$D$18,IF(Evalucion!CD31=Datos!$C$19,Datos!$D$19,"=")))))</f>
        <v>5</v>
      </c>
      <c r="CD33">
        <f>IF(Evalucion!CE31=Datos!$C$15,Datos!$D$15,IF(Evalucion!CE31=Datos!$C$16,Datos!$D$16,IF(Evalucion!CE31=Datos!$C$17,Datos!$D$17,IF(Evalucion!CE31=Datos!$C$18,Datos!$D$18,IF(Evalucion!CE31=Datos!$C$19,Datos!$D$19,"=")))))</f>
        <v>5</v>
      </c>
      <c r="CE33">
        <f>IF(Evalucion!CF31=Datos!$C$15,Datos!$D$15,IF(Evalucion!CF31=Datos!$C$16,Datos!$D$16,IF(Evalucion!CF31=Datos!$C$17,Datos!$D$17,IF(Evalucion!CF31=Datos!$C$18,Datos!$D$18,IF(Evalucion!CF31=Datos!$C$19,Datos!$D$19,"=")))))</f>
        <v>3</v>
      </c>
      <c r="CF33">
        <f>IF(Evalucion!CG31=Datos!$C$15,Datos!$D$15,IF(Evalucion!CG31=Datos!$C$16,Datos!$D$16,IF(Evalucion!CG31=Datos!$C$17,Datos!$D$17,IF(Evalucion!CG31=Datos!$C$18,Datos!$D$18,IF(Evalucion!CG31=Datos!$C$19,Datos!$D$19,"=")))))</f>
        <v>5</v>
      </c>
      <c r="CG33">
        <f>IF(Evalucion!CH31=Datos!$C$15,Datos!$D$15,IF(Evalucion!CH31=Datos!$C$16,Datos!$D$16,IF(Evalucion!CH31=Datos!$C$17,Datos!$D$17,IF(Evalucion!CH31=Datos!$C$18,Datos!$D$18,IF(Evalucion!CH31=Datos!$C$19,Datos!$D$19,"=")))))</f>
        <v>5</v>
      </c>
      <c r="CH33">
        <f>IF(Evalucion!CI31=Datos!$C$15,Datos!$D$15,IF(Evalucion!CI31=Datos!$C$16,Datos!$D$16,IF(Evalucion!CI31=Datos!$C$17,Datos!$D$17,IF(Evalucion!CI31=Datos!$C$18,Datos!$D$18,IF(Evalucion!CI31=Datos!$C$19,Datos!$D$19,"=")))))</f>
        <v>5</v>
      </c>
      <c r="CI33">
        <f>IF(Evalucion!CJ31=Datos!$C$15,Datos!$D$15,IF(Evalucion!CJ31=Datos!$C$16,Datos!$D$16,IF(Evalucion!CJ31=Datos!$C$17,Datos!$D$17,IF(Evalucion!CJ31=Datos!$C$18,Datos!$D$18,IF(Evalucion!CJ31=Datos!$C$19,Datos!$D$19,"=")))))</f>
        <v>5</v>
      </c>
      <c r="CJ33">
        <f>IF(Evalucion!CK31=Datos!$C$15,Datos!$D$15,IF(Evalucion!CK31=Datos!$C$16,Datos!$D$16,IF(Evalucion!CK31=Datos!$C$17,Datos!$D$17,IF(Evalucion!CK31=Datos!$C$18,Datos!$D$18,IF(Evalucion!CK31=Datos!$C$19,Datos!$D$19,"=")))))</f>
        <v>5</v>
      </c>
      <c r="CK33">
        <f>IF(Evalucion!CL31=Datos!$C$15,Datos!$D$15,IF(Evalucion!CL31=Datos!$C$16,Datos!$D$16,IF(Evalucion!CL31=Datos!$C$17,Datos!$D$17,IF(Evalucion!CL31=Datos!$C$18,Datos!$D$18,IF(Evalucion!CL31=Datos!$C$19,Datos!$D$19,"=")))))</f>
        <v>5</v>
      </c>
      <c r="CL33">
        <f>IF(Evalucion!CM31=Datos!$C$15,Datos!$D$15,IF(Evalucion!CM31=Datos!$C$16,Datos!$D$16,IF(Evalucion!CM31=Datos!$C$17,Datos!$D$17,IF(Evalucion!CM31=Datos!$C$18,Datos!$D$18,IF(Evalucion!CM31=Datos!$C$19,Datos!$D$19,"=")))))</f>
        <v>5</v>
      </c>
      <c r="CM33">
        <f>IF(Evalucion!CN31=Datos!$C$15,Datos!$D$15,IF(Evalucion!CN31=Datos!$C$16,Datos!$D$16,IF(Evalucion!CN31=Datos!$C$17,Datos!$D$17,IF(Evalucion!CN31=Datos!$C$18,Datos!$D$18,IF(Evalucion!CN31=Datos!$C$19,Datos!$D$19,"=")))))</f>
        <v>5</v>
      </c>
      <c r="CN33">
        <f>IF(Evalucion!CO31=Datos!$C$15,Datos!$D$15,IF(Evalucion!CO31=Datos!$C$16,Datos!$D$16,IF(Evalucion!CO31=Datos!$C$17,Datos!$D$17,IF(Evalucion!CO31=Datos!$C$18,Datos!$D$18,IF(Evalucion!CO31=Datos!$C$19,Datos!$D$19,"=")))))</f>
        <v>5</v>
      </c>
      <c r="CO33">
        <f>IF(Evalucion!CP31=Datos!$C$15,Datos!$D$15,IF(Evalucion!CP31=Datos!$C$16,Datos!$D$16,IF(Evalucion!CP31=Datos!$C$17,Datos!$D$17,IF(Evalucion!CP31=Datos!$C$18,Datos!$D$18,IF(Evalucion!CP31=Datos!$C$19,Datos!$D$19,"=")))))</f>
        <v>5</v>
      </c>
      <c r="CP33">
        <f>IF(Evalucion!CQ31=Datos!$C$15,Datos!$D$15,IF(Evalucion!CQ31=Datos!$C$16,Datos!$D$16,IF(Evalucion!CQ31=Datos!$C$17,Datos!$D$17,IF(Evalucion!CQ31=Datos!$C$18,Datos!$D$18,IF(Evalucion!CQ31=Datos!$C$19,Datos!$D$19,"=")))))</f>
        <v>5</v>
      </c>
      <c r="CQ33">
        <f>IF(Evalucion!CR31=Datos!$C$15,Datos!$D$15,IF(Evalucion!CR31=Datos!$C$16,Datos!$D$16,IF(Evalucion!CR31=Datos!$C$17,Datos!$D$17,IF(Evalucion!CR31=Datos!$C$18,Datos!$D$18,IF(Evalucion!CR31=Datos!$C$19,Datos!$D$19,"=")))))</f>
        <v>3</v>
      </c>
      <c r="CR33">
        <f>IF(Evalucion!CS31=Datos!$C$15,Datos!$D$15,IF(Evalucion!CS31=Datos!$C$16,Datos!$D$16,IF(Evalucion!CS31=Datos!$C$17,Datos!$D$17,IF(Evalucion!CS31=Datos!$C$18,Datos!$D$18,IF(Evalucion!CS31=Datos!$C$19,Datos!$D$19,"=")))))</f>
        <v>5</v>
      </c>
      <c r="CS33">
        <f>IF(Evalucion!CT31=Datos!$C$15,Datos!$D$15,IF(Evalucion!CT31=Datos!$C$16,Datos!$D$16,IF(Evalucion!CT31=Datos!$C$17,Datos!$D$17,IF(Evalucion!CT31=Datos!$C$18,Datos!$D$18,IF(Evalucion!CT31=Datos!$C$19,Datos!$D$19,"=")))))</f>
        <v>3</v>
      </c>
      <c r="CT33">
        <f>IF(Evalucion!CU31=Datos!$C$15,Datos!$D$15,IF(Evalucion!CU31=Datos!$C$16,Datos!$D$16,IF(Evalucion!CU31=Datos!$C$17,Datos!$D$17,IF(Evalucion!CU31=Datos!$C$18,Datos!$D$18,IF(Evalucion!CU31=Datos!$C$19,Datos!$D$19,"=")))))</f>
        <v>5</v>
      </c>
      <c r="CU33">
        <f>IF(Evalucion!CV31=Datos!$C$15,Datos!$D$15,IF(Evalucion!CV31=Datos!$C$16,Datos!$D$16,IF(Evalucion!CV31=Datos!$C$17,Datos!$D$17,IF(Evalucion!CV31=Datos!$C$18,Datos!$D$18,IF(Evalucion!CV31=Datos!$C$19,Datos!$D$19,"=")))))</f>
        <v>3</v>
      </c>
      <c r="CV33">
        <f>IF(Evalucion!CW31=Datos!$C$15,Datos!$D$15,IF(Evalucion!CW31=Datos!$C$16,Datos!$D$16,IF(Evalucion!CW31=Datos!$C$17,Datos!$D$17,IF(Evalucion!CW31=Datos!$C$18,Datos!$D$18,IF(Evalucion!CW31=Datos!$C$19,Datos!$D$19,"=")))))</f>
        <v>5</v>
      </c>
      <c r="CW33">
        <f>IF(Evalucion!CX31=Datos!$C$15,Datos!$D$15,IF(Evalucion!CX31=Datos!$C$16,Datos!$D$16,IF(Evalucion!CX31=Datos!$C$17,Datos!$D$17,IF(Evalucion!CX31=Datos!$C$18,Datos!$D$18,IF(Evalucion!CX31=Datos!$C$19,Datos!$D$19,"=")))))</f>
        <v>3</v>
      </c>
      <c r="CX33">
        <f>IF(Evalucion!CY31=Datos!$C$15,Datos!$D$15,IF(Evalucion!CY31=Datos!$C$16,Datos!$D$16,IF(Evalucion!CY31=Datos!$C$17,Datos!$D$17,IF(Evalucion!CY31=Datos!$C$18,Datos!$D$18,IF(Evalucion!CY31=Datos!$C$19,Datos!$D$19,"=")))))</f>
        <v>5</v>
      </c>
      <c r="CY33">
        <f>IF(Evalucion!CZ31=Datos!$C$15,Datos!$D$15,IF(Evalucion!CZ31=Datos!$C$16,Datos!$D$16,IF(Evalucion!CZ31=Datos!$C$17,Datos!$D$17,IF(Evalucion!CZ31=Datos!$C$18,Datos!$D$18,IF(Evalucion!CZ31=Datos!$C$19,Datos!$D$19,"=")))))</f>
        <v>3</v>
      </c>
      <c r="CZ33">
        <f>IF(Evalucion!DA31=Datos!$C$15,Datos!$D$15,IF(Evalucion!DA31=Datos!$C$16,Datos!$D$16,IF(Evalucion!DA31=Datos!$C$17,Datos!$D$17,IF(Evalucion!DA31=Datos!$C$18,Datos!$D$18,IF(Evalucion!DA31=Datos!$C$19,Datos!$D$19,"=")))))</f>
        <v>5</v>
      </c>
      <c r="DA33">
        <f>IF(Evalucion!DB31=Datos!$C$15,Datos!$D$15,IF(Evalucion!DB31=Datos!$C$16,Datos!$D$16,IF(Evalucion!DB31=Datos!$C$17,Datos!$D$17,IF(Evalucion!DB31=Datos!$C$18,Datos!$D$18,IF(Evalucion!DB31=Datos!$C$19,Datos!$D$19,"=")))))</f>
        <v>3</v>
      </c>
      <c r="DB33">
        <f>IF(Evalucion!DC31=Datos!$C$15,Datos!$D$15,IF(Evalucion!DC31=Datos!$C$16,Datos!$D$16,IF(Evalucion!DC31=Datos!$C$17,Datos!$D$17,IF(Evalucion!DC31=Datos!$C$18,Datos!$D$18,IF(Evalucion!DC31=Datos!$C$19,Datos!$D$19,"=")))))</f>
        <v>5</v>
      </c>
      <c r="DC33">
        <f>IF(Evalucion!DD31=Datos!$C$15,Datos!$D$15,IF(Evalucion!DD31=Datos!$C$16,Datos!$D$16,IF(Evalucion!DD31=Datos!$C$17,Datos!$D$17,IF(Evalucion!DD31=Datos!$C$18,Datos!$D$18,IF(Evalucion!DD31=Datos!$C$19,Datos!$D$19,"=")))))</f>
        <v>5</v>
      </c>
      <c r="DD33">
        <f>IF(Evalucion!DE31=Datos!$C$15,Datos!$D$15,IF(Evalucion!DE31=Datos!$C$16,Datos!$D$16,IF(Evalucion!DE31=Datos!$C$17,Datos!$D$17,IF(Evalucion!DE31=Datos!$C$18,Datos!$D$18,IF(Evalucion!DE31=Datos!$C$19,Datos!$D$19,"=")))))</f>
        <v>5</v>
      </c>
      <c r="DE33">
        <f>IF(Evalucion!DF31=Datos!$C$15,Datos!$D$15,IF(Evalucion!DF31=Datos!$C$16,Datos!$D$16,IF(Evalucion!DF31=Datos!$C$17,Datos!$D$17,IF(Evalucion!DF31=Datos!$C$18,Datos!$D$18,IF(Evalucion!DF31=Datos!$C$19,Datos!$D$19,"=")))))</f>
        <v>5</v>
      </c>
      <c r="DF33">
        <f>IF(Evalucion!DG31=Datos!$C$15,Datos!$D$15,IF(Evalucion!DG31=Datos!$C$16,Datos!$D$16,IF(Evalucion!DG31=Datos!$C$17,Datos!$D$17,IF(Evalucion!DG31=Datos!$C$18,Datos!$D$18,IF(Evalucion!DG31=Datos!$C$19,Datos!$D$19,"=")))))</f>
        <v>5</v>
      </c>
      <c r="DG33">
        <f>IF(Evalucion!DH31=Datos!$C$15,Datos!$D$15,IF(Evalucion!DH31=Datos!$C$16,Datos!$D$16,IF(Evalucion!DH31=Datos!$C$17,Datos!$D$17,IF(Evalucion!DH31=Datos!$C$18,Datos!$D$18,IF(Evalucion!DH31=Datos!$C$19,Datos!$D$19,"=")))))</f>
        <v>5</v>
      </c>
      <c r="DH33">
        <f>IF(Evalucion!DI31=Datos!$C$15,Datos!$D$15,IF(Evalucion!DI31=Datos!$C$16,Datos!$D$16,IF(Evalucion!DI31=Datos!$C$17,Datos!$D$17,IF(Evalucion!DI31=Datos!$C$18,Datos!$D$18,IF(Evalucion!DI31=Datos!$C$19,Datos!$D$19,"=")))))</f>
        <v>5</v>
      </c>
      <c r="DI33">
        <f>IF(Evalucion!DJ31=Datos!$C$15,Datos!$D$15,IF(Evalucion!DJ31=Datos!$C$16,Datos!$D$16,IF(Evalucion!DJ31=Datos!$C$17,Datos!$D$17,IF(Evalucion!DJ31=Datos!$C$18,Datos!$D$18,IF(Evalucion!DJ31=Datos!$C$19,Datos!$D$19,"=")))))</f>
        <v>5</v>
      </c>
      <c r="DJ33">
        <f>IF(Evalucion!DK31=Datos!$C$15,Datos!$D$15,IF(Evalucion!DK31=Datos!$C$16,Datos!$D$16,IF(Evalucion!DK31=Datos!$C$17,Datos!$D$17,IF(Evalucion!DK31=Datos!$C$18,Datos!$D$18,IF(Evalucion!DK31=Datos!$C$19,Datos!$D$19,"=")))))</f>
        <v>5</v>
      </c>
      <c r="DK33">
        <f>IF(Evalucion!DL31=Datos!$C$15,Datos!$D$15,IF(Evalucion!DL31=Datos!$C$16,Datos!$D$16,IF(Evalucion!DL31=Datos!$C$17,Datos!$D$17,IF(Evalucion!DL31=Datos!$C$18,Datos!$D$18,IF(Evalucion!DL31=Datos!$C$19,Datos!$D$19,"=")))))</f>
        <v>5</v>
      </c>
      <c r="DL33">
        <f>IF(Evalucion!DM31=Datos!$C$15,Datos!$D$15,IF(Evalucion!DM31=Datos!$C$16,Datos!$D$16,IF(Evalucion!DM31=Datos!$C$17,Datos!$D$17,IF(Evalucion!DM31=Datos!$C$18,Datos!$D$18,IF(Evalucion!DM31=Datos!$C$19,Datos!$D$19,"=")))))</f>
        <v>5</v>
      </c>
      <c r="DM33">
        <f>IF(Evalucion!DN31=Datos!$C$15,Datos!$D$15,IF(Evalucion!DN31=Datos!$C$16,Datos!$D$16,IF(Evalucion!DN31=Datos!$C$17,Datos!$D$17,IF(Evalucion!DN31=Datos!$C$18,Datos!$D$18,IF(Evalucion!DN31=Datos!$C$19,Datos!$D$19,"=")))))</f>
        <v>5</v>
      </c>
      <c r="DN33">
        <f>IF(Evalucion!DO31=Datos!$C$15,Datos!$D$15,IF(Evalucion!DO31=Datos!$C$16,Datos!$D$16,IF(Evalucion!DO31=Datos!$C$17,Datos!$D$17,IF(Evalucion!DO31=Datos!$C$18,Datos!$D$18,IF(Evalucion!DO31=Datos!$C$19,Datos!$D$19,"=")))))</f>
        <v>5</v>
      </c>
      <c r="DO33">
        <f>IF(Evalucion!DP31=Datos!$C$15,Datos!$D$15,IF(Evalucion!DP31=Datos!$C$16,Datos!$D$16,IF(Evalucion!DP31=Datos!$C$17,Datos!$D$17,IF(Evalucion!DP31=Datos!$C$18,Datos!$D$18,IF(Evalucion!DP31=Datos!$C$19,Datos!$D$19,"=")))))</f>
        <v>5</v>
      </c>
      <c r="DP33">
        <f>IF(Evalucion!DQ31=Datos!$C$15,Datos!$D$15,IF(Evalucion!DQ31=Datos!$C$16,Datos!$D$16,IF(Evalucion!DQ31=Datos!$C$17,Datos!$D$17,IF(Evalucion!DQ31=Datos!$C$18,Datos!$D$18,IF(Evalucion!DQ31=Datos!$C$19,Datos!$D$19,"=")))))</f>
        <v>5</v>
      </c>
      <c r="DQ33">
        <f>IF(Evalucion!DR31=Datos!$C$15,Datos!$D$15,IF(Evalucion!DR31=Datos!$C$16,Datos!$D$16,IF(Evalucion!DR31=Datos!$C$17,Datos!$D$17,IF(Evalucion!DR31=Datos!$C$18,Datos!$D$18,IF(Evalucion!DR31=Datos!$C$19,Datos!$D$19,"=")))))</f>
        <v>5</v>
      </c>
      <c r="DR33">
        <f>IF(Evalucion!DS31=Datos!$C$15,Datos!$D$15,IF(Evalucion!DS31=Datos!$C$16,Datos!$D$16,IF(Evalucion!DS31=Datos!$C$17,Datos!$D$17,IF(Evalucion!DS31=Datos!$C$18,Datos!$D$18,IF(Evalucion!DS31=Datos!$C$19,Datos!$D$19,"=")))))</f>
        <v>5</v>
      </c>
      <c r="DS33">
        <f>IF(Evalucion!DT31=Datos!$C$15,Datos!$D$15,IF(Evalucion!DT31=Datos!$C$16,Datos!$D$16,IF(Evalucion!DT31=Datos!$C$17,Datos!$D$17,IF(Evalucion!DT31=Datos!$C$18,Datos!$D$18,IF(Evalucion!DT31=Datos!$C$19,Datos!$D$19,"=")))))</f>
        <v>3</v>
      </c>
      <c r="DT33">
        <f>IF(Evalucion!DU31=Datos!$C$15,Datos!$D$15,IF(Evalucion!DU31=Datos!$C$16,Datos!$D$16,IF(Evalucion!DU31=Datos!$C$17,Datos!$D$17,IF(Evalucion!DU31=Datos!$C$18,Datos!$D$18,IF(Evalucion!DU31=Datos!$C$19,Datos!$D$19,"=")))))</f>
        <v>5</v>
      </c>
      <c r="DU33">
        <f>IF(Evalucion!DV31=Datos!$C$15,Datos!$D$15,IF(Evalucion!DV31=Datos!$C$16,Datos!$D$16,IF(Evalucion!DV31=Datos!$C$17,Datos!$D$17,IF(Evalucion!DV31=Datos!$C$18,Datos!$D$18,IF(Evalucion!DV31=Datos!$C$19,Datos!$D$19,"=")))))</f>
        <v>3</v>
      </c>
      <c r="DV33">
        <f>IF(Evalucion!DW31=Datos!$C$15,Datos!$D$15,IF(Evalucion!DW31=Datos!$C$16,Datos!$D$16,IF(Evalucion!DW31=Datos!$C$17,Datos!$D$17,IF(Evalucion!DW31=Datos!$C$18,Datos!$D$18,IF(Evalucion!DW31=Datos!$C$19,Datos!$D$19,"=")))))</f>
        <v>5</v>
      </c>
      <c r="DW33">
        <f>IF(Evalucion!DX31=Datos!$C$15,Datos!$D$15,IF(Evalucion!DX31=Datos!$C$16,Datos!$D$16,IF(Evalucion!DX31=Datos!$C$17,Datos!$D$17,IF(Evalucion!DX31=Datos!$C$18,Datos!$D$18,IF(Evalucion!DX31=Datos!$C$19,Datos!$D$19,"=")))))</f>
        <v>3</v>
      </c>
      <c r="DX33">
        <f>IF(Evalucion!DY31=Datos!$C$15,Datos!$D$15,IF(Evalucion!DY31=Datos!$C$16,Datos!$D$16,IF(Evalucion!DY31=Datos!$C$17,Datos!$D$17,IF(Evalucion!DY31=Datos!$C$18,Datos!$D$18,IF(Evalucion!DY31=Datos!$C$19,Datos!$D$19,"=")))))</f>
        <v>5</v>
      </c>
      <c r="DY33">
        <f>IF(Evalucion!DZ31=Datos!$C$15,Datos!$D$15,IF(Evalucion!DZ31=Datos!$C$16,Datos!$D$16,IF(Evalucion!DZ31=Datos!$C$17,Datos!$D$17,IF(Evalucion!DZ31=Datos!$C$18,Datos!$D$18,IF(Evalucion!DZ31=Datos!$C$19,Datos!$D$19,"=")))))</f>
        <v>5</v>
      </c>
      <c r="DZ33">
        <f>IF(Evalucion!EA31=Datos!$C$15,Datos!$D$15,IF(Evalucion!EA31=Datos!$C$16,Datos!$D$16,IF(Evalucion!EA31=Datos!$C$17,Datos!$D$17,IF(Evalucion!EA31=Datos!$C$18,Datos!$D$18,IF(Evalucion!EA31=Datos!$C$19,Datos!$D$19,"=")))))</f>
        <v>5</v>
      </c>
      <c r="EA33">
        <f>IF(Evalucion!EB31=Datos!$C$15,Datos!$D$15,IF(Evalucion!EB31=Datos!$C$16,Datos!$D$16,IF(Evalucion!EB31=Datos!$C$17,Datos!$D$17,IF(Evalucion!EB31=Datos!$C$18,Datos!$D$18,IF(Evalucion!EB31=Datos!$C$19,Datos!$D$19,"=")))))</f>
        <v>5</v>
      </c>
      <c r="EB33">
        <f>IF(Evalucion!EC31=Datos!$C$15,Datos!$D$15,IF(Evalucion!EC31=Datos!$C$16,Datos!$D$16,IF(Evalucion!EC31=Datos!$C$17,Datos!$D$17,IF(Evalucion!EC31=Datos!$C$18,Datos!$D$18,IF(Evalucion!EC31=Datos!$C$19,Datos!$D$19,"=")))))</f>
        <v>5</v>
      </c>
      <c r="EC33">
        <f>IF(Evalucion!ED31=Datos!$C$15,Datos!$D$15,IF(Evalucion!ED31=Datos!$C$16,Datos!$D$16,IF(Evalucion!ED31=Datos!$C$17,Datos!$D$17,IF(Evalucion!ED31=Datos!$C$18,Datos!$D$18,IF(Evalucion!ED31=Datos!$C$19,Datos!$D$19,"=")))))</f>
        <v>5</v>
      </c>
      <c r="ED33">
        <f>IF(Evalucion!EE31=Datos!$C$15,Datos!$D$15,IF(Evalucion!EE31=Datos!$C$16,Datos!$D$16,IF(Evalucion!EE31=Datos!$C$17,Datos!$D$17,IF(Evalucion!EE31=Datos!$C$18,Datos!$D$18,IF(Evalucion!EE31=Datos!$C$19,Datos!$D$19,"=")))))</f>
        <v>5</v>
      </c>
      <c r="EE33">
        <f>IF(Evalucion!EF31=Datos!$C$15,Datos!$D$15,IF(Evalucion!EF31=Datos!$C$16,Datos!$D$16,IF(Evalucion!EF31=Datos!$C$17,Datos!$D$17,IF(Evalucion!EF31=Datos!$C$18,Datos!$D$18,IF(Evalucion!EF31=Datos!$C$19,Datos!$D$19,"=")))))</f>
        <v>5</v>
      </c>
      <c r="EF33">
        <f>IF(Evalucion!EG31=Datos!$C$15,Datos!$D$15,IF(Evalucion!EG31=Datos!$C$16,Datos!$D$16,IF(Evalucion!EG31=Datos!$C$17,Datos!$D$17,IF(Evalucion!EG31=Datos!$C$18,Datos!$D$18,IF(Evalucion!EG31=Datos!$C$19,Datos!$D$19,"=")))))</f>
        <v>5</v>
      </c>
      <c r="EG33">
        <f>IF(Evalucion!EH31=Datos!$C$15,Datos!$D$15,IF(Evalucion!EH31=Datos!$C$16,Datos!$D$16,IF(Evalucion!EH31=Datos!$C$17,Datos!$D$17,IF(Evalucion!EH31=Datos!$C$18,Datos!$D$18,IF(Evalucion!EH31=Datos!$C$19,Datos!$D$19,"=")))))</f>
        <v>5</v>
      </c>
      <c r="EH33">
        <f>IF(Evalucion!EI31=Datos!$C$15,Datos!$D$15,IF(Evalucion!EI31=Datos!$C$16,Datos!$D$16,IF(Evalucion!EI31=Datos!$C$17,Datos!$D$17,IF(Evalucion!EI31=Datos!$C$18,Datos!$D$18,IF(Evalucion!EI31=Datos!$C$19,Datos!$D$19,"=")))))</f>
        <v>5</v>
      </c>
      <c r="EI33">
        <f>IF(Evalucion!EJ31=Datos!$C$15,Datos!$D$15,IF(Evalucion!EJ31=Datos!$C$16,Datos!$D$16,IF(Evalucion!EJ31=Datos!$C$17,Datos!$D$17,IF(Evalucion!EJ31=Datos!$C$18,Datos!$D$18,IF(Evalucion!EJ31=Datos!$C$19,Datos!$D$19,"=")))))</f>
        <v>5</v>
      </c>
      <c r="EJ33">
        <f>IF(Evalucion!EK31=Datos!$C$15,Datos!$D$15,IF(Evalucion!EK31=Datos!$C$16,Datos!$D$16,IF(Evalucion!EK31=Datos!$C$17,Datos!$D$17,IF(Evalucion!EK31=Datos!$C$18,Datos!$D$18,IF(Evalucion!EK31=Datos!$C$19,Datos!$D$19,"=")))))</f>
        <v>5</v>
      </c>
      <c r="EK33">
        <f>IF(Evalucion!EL31=Datos!$C$15,Datos!$D$15,IF(Evalucion!EL31=Datos!$C$16,Datos!$D$16,IF(Evalucion!EL31=Datos!$C$17,Datos!$D$17,IF(Evalucion!EL31=Datos!$C$18,Datos!$D$18,IF(Evalucion!EL31=Datos!$C$19,Datos!$D$19,"=")))))</f>
        <v>5</v>
      </c>
      <c r="EL33">
        <f>IF(Evalucion!EM31=Datos!$C$15,Datos!$D$15,IF(Evalucion!EM31=Datos!$C$16,Datos!$D$16,IF(Evalucion!EM31=Datos!$C$17,Datos!$D$17,IF(Evalucion!EM31=Datos!$C$18,Datos!$D$18,IF(Evalucion!EM31=Datos!$C$19,Datos!$D$19,"=")))))</f>
        <v>5</v>
      </c>
      <c r="EM33">
        <f>IF(Evalucion!EN31=Datos!$C$15,Datos!$D$15,IF(Evalucion!EN31=Datos!$C$16,Datos!$D$16,IF(Evalucion!EN31=Datos!$C$17,Datos!$D$17,IF(Evalucion!EN31=Datos!$C$18,Datos!$D$18,IF(Evalucion!EN31=Datos!$C$19,Datos!$D$19,"=")))))</f>
        <v>5</v>
      </c>
      <c r="EN33">
        <f>IF(Evalucion!EO31=Datos!$C$15,Datos!$D$15,IF(Evalucion!EO31=Datos!$C$16,Datos!$D$16,IF(Evalucion!EO31=Datos!$C$17,Datos!$D$17,IF(Evalucion!EO31=Datos!$C$18,Datos!$D$18,IF(Evalucion!EO31=Datos!$C$19,Datos!$D$19,"=")))))</f>
        <v>5</v>
      </c>
      <c r="EO33">
        <f>IF(Evalucion!EP31=Datos!$C$15,Datos!$D$15,IF(Evalucion!EP31=Datos!$C$16,Datos!$D$16,IF(Evalucion!EP31=Datos!$C$17,Datos!$D$17,IF(Evalucion!EP31=Datos!$C$18,Datos!$D$18,IF(Evalucion!EP31=Datos!$C$19,Datos!$D$19,"=")))))</f>
        <v>5</v>
      </c>
      <c r="EP33">
        <f>IF(Evalucion!EQ31=Datos!$C$15,Datos!$D$15,IF(Evalucion!EQ31=Datos!$C$16,Datos!$D$16,IF(Evalucion!EQ31=Datos!$C$17,Datos!$D$17,IF(Evalucion!EQ31=Datos!$C$18,Datos!$D$18,IF(Evalucion!EQ31=Datos!$C$19,Datos!$D$19,"=")))))</f>
        <v>5</v>
      </c>
      <c r="EQ33">
        <f>IF(Evalucion!ER31=Datos!$C$15,Datos!$D$15,IF(Evalucion!ER31=Datos!$C$16,Datos!$D$16,IF(Evalucion!ER31=Datos!$C$17,Datos!$D$17,IF(Evalucion!ER31=Datos!$C$18,Datos!$D$18,IF(Evalucion!ER31=Datos!$C$19,Datos!$D$19,"=")))))</f>
        <v>5</v>
      </c>
      <c r="ER33">
        <f>IF(Evalucion!ES31=Datos!$C$15,Datos!$D$15,IF(Evalucion!ES31=Datos!$C$16,Datos!$D$16,IF(Evalucion!ES31=Datos!$C$17,Datos!$D$17,IF(Evalucion!ES31=Datos!$C$18,Datos!$D$18,IF(Evalucion!ES31=Datos!$C$19,Datos!$D$19,"=")))))</f>
        <v>5</v>
      </c>
      <c r="ES33">
        <f>IF(Evalucion!ET31=Datos!$C$15,Datos!$D$15,IF(Evalucion!ET31=Datos!$C$16,Datos!$D$16,IF(Evalucion!ET31=Datos!$C$17,Datos!$D$17,IF(Evalucion!ET31=Datos!$C$18,Datos!$D$18,IF(Evalucion!ET31=Datos!$C$19,Datos!$D$19,"=")))))</f>
        <v>5</v>
      </c>
      <c r="ET33">
        <f>IF(Evalucion!EU31=Datos!$C$15,Datos!$D$15,IF(Evalucion!EU31=Datos!$C$16,Datos!$D$16,IF(Evalucion!EU31=Datos!$C$17,Datos!$D$17,IF(Evalucion!EU31=Datos!$C$18,Datos!$D$18,IF(Evalucion!EU31=Datos!$C$19,Datos!$D$19,"=")))))</f>
        <v>5</v>
      </c>
      <c r="EU33">
        <f>IF(Evalucion!EV31=Datos!$C$15,Datos!$D$15,IF(Evalucion!EV31=Datos!$C$16,Datos!$D$16,IF(Evalucion!EV31=Datos!$C$17,Datos!$D$17,IF(Evalucion!EV31=Datos!$C$18,Datos!$D$18,IF(Evalucion!EV31=Datos!$C$19,Datos!$D$19,"=")))))</f>
        <v>1</v>
      </c>
      <c r="EV33">
        <f>IF(Evalucion!EW31=Datos!$C$15,Datos!$D$15,IF(Evalucion!EW31=Datos!$C$16,Datos!$D$16,IF(Evalucion!EW31=Datos!$C$17,Datos!$D$17,IF(Evalucion!EW31=Datos!$C$18,Datos!$D$18,IF(Evalucion!EW31=Datos!$C$19,Datos!$D$19,"=")))))</f>
        <v>5</v>
      </c>
      <c r="EW33">
        <f>IF(Evalucion!EX31=Datos!$C$15,Datos!$D$15,IF(Evalucion!EX31=Datos!$C$16,Datos!$D$16,IF(Evalucion!EX31=Datos!$C$17,Datos!$D$17,IF(Evalucion!EX31=Datos!$C$18,Datos!$D$18,IF(Evalucion!EX31=Datos!$C$19,Datos!$D$19,"=")))))</f>
        <v>5</v>
      </c>
      <c r="EX33">
        <f>IF(Evalucion!EY31=Datos!$C$15,Datos!$D$15,IF(Evalucion!EY31=Datos!$C$16,Datos!$D$16,IF(Evalucion!EY31=Datos!$C$17,Datos!$D$17,IF(Evalucion!EY31=Datos!$C$18,Datos!$D$18,IF(Evalucion!EY31=Datos!$C$19,Datos!$D$19,"=")))))</f>
        <v>5</v>
      </c>
      <c r="EY33">
        <f>IF(Evalucion!EZ31=Datos!$C$15,Datos!$D$15,IF(Evalucion!EZ31=Datos!$C$16,Datos!$D$16,IF(Evalucion!EZ31=Datos!$C$17,Datos!$D$17,IF(Evalucion!EZ31=Datos!$C$18,Datos!$D$18,IF(Evalucion!EZ31=Datos!$C$19,Datos!$D$19,"=")))))</f>
        <v>5</v>
      </c>
      <c r="FA33">
        <f t="shared" si="8"/>
        <v>355</v>
      </c>
      <c r="FB33">
        <f t="shared" si="8"/>
        <v>327</v>
      </c>
      <c r="FC33" s="3">
        <f t="shared" si="4"/>
        <v>0.872</v>
      </c>
      <c r="FD33" t="str">
        <f t="shared" si="0"/>
        <v>Conf_CR</v>
      </c>
      <c r="FF33">
        <f t="shared" si="5"/>
        <v>682</v>
      </c>
      <c r="FG33">
        <f t="shared" si="6"/>
        <v>0</v>
      </c>
    </row>
    <row r="34" spans="1:163" x14ac:dyDescent="0.2">
      <c r="A34">
        <f t="shared" si="7"/>
        <v>31</v>
      </c>
      <c r="B34" t="s">
        <v>280</v>
      </c>
      <c r="C34" t="s">
        <v>190</v>
      </c>
      <c r="D34" s="1">
        <v>43374</v>
      </c>
      <c r="E34">
        <f>IF(Evalucion!F32=Datos!$C$15,Datos!$D$15,IF(Evalucion!F32=Datos!$C$16,Datos!$D$16,IF(Evalucion!F32=Datos!$C$17,Datos!$D$17,IF(Evalucion!F32=Datos!$C$18,Datos!$D$18,IF(Evalucion!F32=Datos!$C$19,Datos!$D$19,"=")))))</f>
        <v>5</v>
      </c>
      <c r="F34">
        <f>IF(Evalucion!G32=Datos!$C$15,Datos!$D$15,IF(Evalucion!G32=Datos!$C$16,Datos!$D$16,IF(Evalucion!G32=Datos!$C$17,Datos!$D$17,IF(Evalucion!G32=Datos!$C$18,Datos!$D$18,IF(Evalucion!G32=Datos!$C$19,Datos!$D$19,"=")))))</f>
        <v>5</v>
      </c>
      <c r="G34">
        <f>IF(Evalucion!H32=Datos!$C$15,Datos!$D$15,IF(Evalucion!H32=Datos!$C$16,Datos!$D$16,IF(Evalucion!H32=Datos!$C$17,Datos!$D$17,IF(Evalucion!H32=Datos!$C$18,Datos!$D$18,IF(Evalucion!H32=Datos!$C$19,Datos!$D$19,"=")))))</f>
        <v>1</v>
      </c>
      <c r="H34">
        <f>IF(Evalucion!I32=Datos!$C$15,Datos!$D$15,IF(Evalucion!I32=Datos!$C$16,Datos!$D$16,IF(Evalucion!I32=Datos!$C$17,Datos!$D$17,IF(Evalucion!I32=Datos!$C$18,Datos!$D$18,IF(Evalucion!I32=Datos!$C$19,Datos!$D$19,"=")))))</f>
        <v>1</v>
      </c>
      <c r="I34">
        <f>IF(Evalucion!J32=Datos!$C$15,Datos!$D$15,IF(Evalucion!J32=Datos!$C$16,Datos!$D$16,IF(Evalucion!J32=Datos!$C$17,Datos!$D$17,IF(Evalucion!J32=Datos!$C$18,Datos!$D$18,IF(Evalucion!J32=Datos!$C$19,Datos!$D$19,"=")))))</f>
        <v>1</v>
      </c>
      <c r="J34">
        <f>IF(Evalucion!K32=Datos!$C$15,Datos!$D$15,IF(Evalucion!K32=Datos!$C$16,Datos!$D$16,IF(Evalucion!K32=Datos!$C$17,Datos!$D$17,IF(Evalucion!K32=Datos!$C$18,Datos!$D$18,IF(Evalucion!K32=Datos!$C$19,Datos!$D$19,"=")))))</f>
        <v>1</v>
      </c>
      <c r="K34">
        <f>IF(Evalucion!L32=Datos!$C$15,Datos!$D$15,IF(Evalucion!L32=Datos!$C$16,Datos!$D$16,IF(Evalucion!L32=Datos!$C$17,Datos!$D$17,IF(Evalucion!L32=Datos!$C$18,Datos!$D$18,IF(Evalucion!L32=Datos!$C$19,Datos!$D$19,"=")))))</f>
        <v>1</v>
      </c>
      <c r="L34">
        <f>IF(Evalucion!M32=Datos!$C$15,Datos!$D$15,IF(Evalucion!M32=Datos!$C$16,Datos!$D$16,IF(Evalucion!M32=Datos!$C$17,Datos!$D$17,IF(Evalucion!M32=Datos!$C$18,Datos!$D$18,IF(Evalucion!M32=Datos!$C$19,Datos!$D$19,"=")))))</f>
        <v>5</v>
      </c>
      <c r="M34">
        <f>IF(Evalucion!N32=Datos!$C$15,Datos!$D$15,IF(Evalucion!N32=Datos!$C$16,Datos!$D$16,IF(Evalucion!N32=Datos!$C$17,Datos!$D$17,IF(Evalucion!N32=Datos!$C$18,Datos!$D$18,IF(Evalucion!N32=Datos!$C$19,Datos!$D$19,"=")))))</f>
        <v>5</v>
      </c>
      <c r="N34">
        <f>IF(Evalucion!O32=Datos!$C$15,Datos!$D$15,IF(Evalucion!O32=Datos!$C$16,Datos!$D$16,IF(Evalucion!O32=Datos!$C$17,Datos!$D$17,IF(Evalucion!O32=Datos!$C$18,Datos!$D$18,IF(Evalucion!O32=Datos!$C$19,Datos!$D$19,"=")))))</f>
        <v>3</v>
      </c>
      <c r="O34">
        <f>IF(Evalucion!P32=Datos!$C$15,Datos!$D$15,IF(Evalucion!P32=Datos!$C$16,Datos!$D$16,IF(Evalucion!P32=Datos!$C$17,Datos!$D$17,IF(Evalucion!P32=Datos!$C$18,Datos!$D$18,IF(Evalucion!P32=Datos!$C$19,Datos!$D$19,"=")))))</f>
        <v>1</v>
      </c>
      <c r="P34">
        <f>IF(Evalucion!Q32=Datos!$C$15,Datos!$D$15,IF(Evalucion!Q32=Datos!$C$16,Datos!$D$16,IF(Evalucion!Q32=Datos!$C$17,Datos!$D$17,IF(Evalucion!Q32=Datos!$C$18,Datos!$D$18,IF(Evalucion!Q32=Datos!$C$19,Datos!$D$19,"=")))))</f>
        <v>1</v>
      </c>
      <c r="Q34">
        <f>IF(Evalucion!R32=Datos!$C$15,Datos!$D$15,IF(Evalucion!R32=Datos!$C$16,Datos!$D$16,IF(Evalucion!R32=Datos!$C$17,Datos!$D$17,IF(Evalucion!R32=Datos!$C$18,Datos!$D$18,IF(Evalucion!R32=Datos!$C$19,Datos!$D$19,"=")))))</f>
        <v>5</v>
      </c>
      <c r="R34">
        <f>IF(Evalucion!S32=Datos!$C$15,Datos!$D$15,IF(Evalucion!S32=Datos!$C$16,Datos!$D$16,IF(Evalucion!S32=Datos!$C$17,Datos!$D$17,IF(Evalucion!S32=Datos!$C$18,Datos!$D$18,IF(Evalucion!S32=Datos!$C$19,Datos!$D$19,"=")))))</f>
        <v>1</v>
      </c>
      <c r="S34">
        <f>IF(Evalucion!T32=Datos!$C$15,Datos!$D$15,IF(Evalucion!T32=Datos!$C$16,Datos!$D$16,IF(Evalucion!T32=Datos!$C$17,Datos!$D$17,IF(Evalucion!T32=Datos!$C$18,Datos!$D$18,IF(Evalucion!T32=Datos!$C$19,Datos!$D$19,"=")))))</f>
        <v>1</v>
      </c>
      <c r="T34">
        <f>IF(Evalucion!U32=Datos!$C$15,Datos!$D$15,IF(Evalucion!U32=Datos!$C$16,Datos!$D$16,IF(Evalucion!U32=Datos!$C$17,Datos!$D$17,IF(Evalucion!U32=Datos!$C$18,Datos!$D$18,IF(Evalucion!U32=Datos!$C$19,Datos!$D$19,"=")))))</f>
        <v>1</v>
      </c>
      <c r="U34">
        <f>IF(Evalucion!V32=Datos!$C$15,Datos!$D$15,IF(Evalucion!V32=Datos!$C$16,Datos!$D$16,IF(Evalucion!V32=Datos!$C$17,Datos!$D$17,IF(Evalucion!V32=Datos!$C$18,Datos!$D$18,IF(Evalucion!V32=Datos!$C$19,Datos!$D$19,"=")))))</f>
        <v>1</v>
      </c>
      <c r="V34">
        <f>IF(Evalucion!W32=Datos!$C$15,Datos!$D$15,IF(Evalucion!W32=Datos!$C$16,Datos!$D$16,IF(Evalucion!W32=Datos!$C$17,Datos!$D$17,IF(Evalucion!W32=Datos!$C$18,Datos!$D$18,IF(Evalucion!W32=Datos!$C$19,Datos!$D$19,"=")))))</f>
        <v>1</v>
      </c>
      <c r="W34">
        <f>IF(Evalucion!X32=Datos!$C$15,Datos!$D$15,IF(Evalucion!X32=Datos!$C$16,Datos!$D$16,IF(Evalucion!X32=Datos!$C$17,Datos!$D$17,IF(Evalucion!X32=Datos!$C$18,Datos!$D$18,IF(Evalucion!X32=Datos!$C$19,Datos!$D$19,"=")))))</f>
        <v>1</v>
      </c>
      <c r="X34">
        <f>IF(Evalucion!Y32=Datos!$C$15,Datos!$D$15,IF(Evalucion!Y32=Datos!$C$16,Datos!$D$16,IF(Evalucion!Y32=Datos!$C$17,Datos!$D$17,IF(Evalucion!Y32=Datos!$C$18,Datos!$D$18,IF(Evalucion!Y32=Datos!$C$19,Datos!$D$19,"=")))))</f>
        <v>1</v>
      </c>
      <c r="Y34">
        <f>IF(Evalucion!Z32=Datos!$C$15,Datos!$D$15,IF(Evalucion!Z32=Datos!$C$16,Datos!$D$16,IF(Evalucion!Z32=Datos!$C$17,Datos!$D$17,IF(Evalucion!Z32=Datos!$C$18,Datos!$D$18,IF(Evalucion!Z32=Datos!$C$19,Datos!$D$19,"=")))))</f>
        <v>1</v>
      </c>
      <c r="Z34">
        <f>IF(Evalucion!AA32=Datos!$C$15,Datos!$D$15,IF(Evalucion!AA32=Datos!$C$16,Datos!$D$16,IF(Evalucion!AA32=Datos!$C$17,Datos!$D$17,IF(Evalucion!AA32=Datos!$C$18,Datos!$D$18,IF(Evalucion!AA32=Datos!$C$19,Datos!$D$19,"=")))))</f>
        <v>1</v>
      </c>
      <c r="AA34">
        <f>IF(Evalucion!AB32=Datos!$C$15,Datos!$D$15,IF(Evalucion!AB32=Datos!$C$16,Datos!$D$16,IF(Evalucion!AB32=Datos!$C$17,Datos!$D$17,IF(Evalucion!AB32=Datos!$C$18,Datos!$D$18,IF(Evalucion!AB32=Datos!$C$19,Datos!$D$19,"=")))))</f>
        <v>1</v>
      </c>
      <c r="AB34">
        <f>IF(Evalucion!AC32=Datos!$C$15,Datos!$D$15,IF(Evalucion!AC32=Datos!$C$16,Datos!$D$16,IF(Evalucion!AC32=Datos!$C$17,Datos!$D$17,IF(Evalucion!AC32=Datos!$C$18,Datos!$D$18,IF(Evalucion!AC32=Datos!$C$19,Datos!$D$19,"=")))))</f>
        <v>1</v>
      </c>
      <c r="AC34">
        <f>IF(Evalucion!AD32=Datos!$C$15,Datos!$D$15,IF(Evalucion!AD32=Datos!$C$16,Datos!$D$16,IF(Evalucion!AD32=Datos!$C$17,Datos!$D$17,IF(Evalucion!AD32=Datos!$C$18,Datos!$D$18,IF(Evalucion!AD32=Datos!$C$19,Datos!$D$19,"=")))))</f>
        <v>5</v>
      </c>
      <c r="AD34">
        <f>IF(Evalucion!AE32=Datos!$C$15,Datos!$D$15,IF(Evalucion!AE32=Datos!$C$16,Datos!$D$16,IF(Evalucion!AE32=Datos!$C$17,Datos!$D$17,IF(Evalucion!AE32=Datos!$C$18,Datos!$D$18,IF(Evalucion!AE32=Datos!$C$19,Datos!$D$19,"=")))))</f>
        <v>3</v>
      </c>
      <c r="AE34">
        <f>IF(Evalucion!AF32=Datos!$C$15,Datos!$D$15,IF(Evalucion!AF32=Datos!$C$16,Datos!$D$16,IF(Evalucion!AF32=Datos!$C$17,Datos!$D$17,IF(Evalucion!AF32=Datos!$C$18,Datos!$D$18,IF(Evalucion!AF32=Datos!$C$19,Datos!$D$19,"=")))))</f>
        <v>5</v>
      </c>
      <c r="AF34">
        <f>IF(Evalucion!AG32=Datos!$C$15,Datos!$D$15,IF(Evalucion!AG32=Datos!$C$16,Datos!$D$16,IF(Evalucion!AG32=Datos!$C$17,Datos!$D$17,IF(Evalucion!AG32=Datos!$C$18,Datos!$D$18,IF(Evalucion!AG32=Datos!$C$19,Datos!$D$19,"=")))))</f>
        <v>1</v>
      </c>
      <c r="AO34">
        <f>IF(Evalucion!AP32=Datos!$C$15,Datos!$D$15,IF(Evalucion!AP32=Datos!$C$16,Datos!$D$16,IF(Evalucion!AP32=Datos!$C$17,Datos!$D$17,IF(Evalucion!AP32=Datos!$C$18,Datos!$D$18,IF(Evalucion!AP32=Datos!$C$19,Datos!$D$19,"=")))))</f>
        <v>5</v>
      </c>
      <c r="AP34">
        <f>IF(Evalucion!AQ32=Datos!$C$15,Datos!$D$15,IF(Evalucion!AQ32=Datos!$C$16,Datos!$D$16,IF(Evalucion!AQ32=Datos!$C$17,Datos!$D$17,IF(Evalucion!AQ32=Datos!$C$18,Datos!$D$18,IF(Evalucion!AQ32=Datos!$C$19,Datos!$D$19,"=")))))</f>
        <v>3</v>
      </c>
      <c r="AQ34">
        <f>IF(Evalucion!AR32=Datos!$C$15,Datos!$D$15,IF(Evalucion!AR32=Datos!$C$16,Datos!$D$16,IF(Evalucion!AR32=Datos!$C$17,Datos!$D$17,IF(Evalucion!AR32=Datos!$C$18,Datos!$D$18,IF(Evalucion!AR32=Datos!$C$19,Datos!$D$19,"=")))))</f>
        <v>1</v>
      </c>
      <c r="AR34">
        <f>IF(Evalucion!AS32=Datos!$C$15,Datos!$D$15,IF(Evalucion!AS32=Datos!$C$16,Datos!$D$16,IF(Evalucion!AS32=Datos!$C$17,Datos!$D$17,IF(Evalucion!AS32=Datos!$C$18,Datos!$D$18,IF(Evalucion!AS32=Datos!$C$19,Datos!$D$19,"=")))))</f>
        <v>1</v>
      </c>
      <c r="AS34">
        <f>IF(Evalucion!AT32=Datos!$C$15,Datos!$D$15,IF(Evalucion!AT32=Datos!$C$16,Datos!$D$16,IF(Evalucion!AT32=Datos!$C$17,Datos!$D$17,IF(Evalucion!AT32=Datos!$C$18,Datos!$D$18,IF(Evalucion!AT32=Datos!$C$19,Datos!$D$19,"=")))))</f>
        <v>5</v>
      </c>
      <c r="AT34">
        <f>IF(Evalucion!AU32=Datos!$C$15,Datos!$D$15,IF(Evalucion!AU32=Datos!$C$16,Datos!$D$16,IF(Evalucion!AU32=Datos!$C$17,Datos!$D$17,IF(Evalucion!AU32=Datos!$C$18,Datos!$D$18,IF(Evalucion!AU32=Datos!$C$19,Datos!$D$19,"=")))))</f>
        <v>5</v>
      </c>
      <c r="AV34">
        <f>IF(Evalucion!AW32=Datos!$C$15,Datos!$D$15,IF(Evalucion!AW32=Datos!$C$16,Datos!$D$16,IF(Evalucion!AW32=Datos!$C$17,Datos!$D$17,IF(Evalucion!AW32=Datos!$C$18,Datos!$D$18,IF(Evalucion!AW32=Datos!$C$19,Datos!$D$19,"=")))))</f>
        <v>1</v>
      </c>
      <c r="AW34">
        <f>IF(Evalucion!AX32=Datos!$C$15,Datos!$D$15,IF(Evalucion!AX32=Datos!$C$16,Datos!$D$16,IF(Evalucion!AX32=Datos!$C$17,Datos!$D$17,IF(Evalucion!AX32=Datos!$C$18,Datos!$D$18,IF(Evalucion!AX32=Datos!$C$19,Datos!$D$19,"=")))))</f>
        <v>1</v>
      </c>
      <c r="AX34">
        <f>IF(Evalucion!AY32=Datos!$C$15,Datos!$D$15,IF(Evalucion!AY32=Datos!$C$16,Datos!$D$16,IF(Evalucion!AY32=Datos!$C$17,Datos!$D$17,IF(Evalucion!AY32=Datos!$C$18,Datos!$D$18,IF(Evalucion!AY32=Datos!$C$19,Datos!$D$19,"=")))))</f>
        <v>5</v>
      </c>
      <c r="AY34">
        <f>IF(Evalucion!AZ32=Datos!$C$15,Datos!$D$15,IF(Evalucion!AZ32=Datos!$C$16,Datos!$D$16,IF(Evalucion!AZ32=Datos!$C$17,Datos!$D$17,IF(Evalucion!AZ32=Datos!$C$18,Datos!$D$18,IF(Evalucion!AZ32=Datos!$C$19,Datos!$D$19,"=")))))</f>
        <v>5</v>
      </c>
      <c r="AZ34">
        <f>IF(Evalucion!BA32=Datos!$C$15,Datos!$D$15,IF(Evalucion!BA32=Datos!$C$16,Datos!$D$16,IF(Evalucion!BA32=Datos!$C$17,Datos!$D$17,IF(Evalucion!BA32=Datos!$C$18,Datos!$D$18,IF(Evalucion!BA32=Datos!$C$19,Datos!$D$19,"=")))))</f>
        <v>5</v>
      </c>
      <c r="BA34">
        <f>IF(Evalucion!BB32=Datos!$C$15,Datos!$D$15,IF(Evalucion!BB32=Datos!$C$16,Datos!$D$16,IF(Evalucion!BB32=Datos!$C$17,Datos!$D$17,IF(Evalucion!BB32=Datos!$C$18,Datos!$D$18,IF(Evalucion!BB32=Datos!$C$19,Datos!$D$19,"=")))))</f>
        <v>5</v>
      </c>
      <c r="BB34">
        <f>IF(Evalucion!BC32=Datos!$C$15,Datos!$D$15,IF(Evalucion!BC32=Datos!$C$16,Datos!$D$16,IF(Evalucion!BC32=Datos!$C$17,Datos!$D$17,IF(Evalucion!BC32=Datos!$C$18,Datos!$D$18,IF(Evalucion!BC32=Datos!$C$19,Datos!$D$19,"=")))))</f>
        <v>1</v>
      </c>
      <c r="BC34">
        <f>IF(Evalucion!BD32=Datos!$C$15,Datos!$D$15,IF(Evalucion!BD32=Datos!$C$16,Datos!$D$16,IF(Evalucion!BD32=Datos!$C$17,Datos!$D$17,IF(Evalucion!BD32=Datos!$C$18,Datos!$D$18,IF(Evalucion!BD32=Datos!$C$19,Datos!$D$19,"=")))))</f>
        <v>1</v>
      </c>
      <c r="BD34">
        <f>IF(Evalucion!BE32=Datos!$C$15,Datos!$D$15,IF(Evalucion!BE32=Datos!$C$16,Datos!$D$16,IF(Evalucion!BE32=Datos!$C$17,Datos!$D$17,IF(Evalucion!BE32=Datos!$C$18,Datos!$D$18,IF(Evalucion!BE32=Datos!$C$19,Datos!$D$19,"=")))))</f>
        <v>1</v>
      </c>
      <c r="BE34">
        <f>IF(Evalucion!BF32=Datos!$C$15,Datos!$D$15,IF(Evalucion!BF32=Datos!$C$16,Datos!$D$16,IF(Evalucion!BF32=Datos!$C$17,Datos!$D$17,IF(Evalucion!BF32=Datos!$C$18,Datos!$D$18,IF(Evalucion!BF32=Datos!$C$19,Datos!$D$19,"=")))))</f>
        <v>1</v>
      </c>
      <c r="BF34">
        <f>IF(Evalucion!BG32=Datos!$C$15,Datos!$D$15,IF(Evalucion!BG32=Datos!$C$16,Datos!$D$16,IF(Evalucion!BG32=Datos!$C$17,Datos!$D$17,IF(Evalucion!BG32=Datos!$C$18,Datos!$D$18,IF(Evalucion!BG32=Datos!$C$19,Datos!$D$19,"=")))))</f>
        <v>5</v>
      </c>
      <c r="BG34">
        <f>IF(Evalucion!BH32=Datos!$C$15,Datos!$D$15,IF(Evalucion!BH32=Datos!$C$16,Datos!$D$16,IF(Evalucion!BH32=Datos!$C$17,Datos!$D$17,IF(Evalucion!BH32=Datos!$C$18,Datos!$D$18,IF(Evalucion!BH32=Datos!$C$19,Datos!$D$19,"=")))))</f>
        <v>5</v>
      </c>
      <c r="BH34">
        <f>IF(Evalucion!BI32=Datos!$C$15,Datos!$D$15,IF(Evalucion!BI32=Datos!$C$16,Datos!$D$16,IF(Evalucion!BI32=Datos!$C$17,Datos!$D$17,IF(Evalucion!BI32=Datos!$C$18,Datos!$D$18,IF(Evalucion!BI32=Datos!$C$19,Datos!$D$19,"=")))))</f>
        <v>1</v>
      </c>
      <c r="BI34">
        <f>IF(Evalucion!BJ32=Datos!$C$15,Datos!$D$15,IF(Evalucion!BJ32=Datos!$C$16,Datos!$D$16,IF(Evalucion!BJ32=Datos!$C$17,Datos!$D$17,IF(Evalucion!BJ32=Datos!$C$18,Datos!$D$18,IF(Evalucion!BJ32=Datos!$C$19,Datos!$D$19,"=")))))</f>
        <v>1</v>
      </c>
      <c r="BJ34">
        <f>IF(Evalucion!BK32=Datos!$C$15,Datos!$D$15,IF(Evalucion!BK32=Datos!$C$16,Datos!$D$16,IF(Evalucion!BK32=Datos!$C$17,Datos!$D$17,IF(Evalucion!BK32=Datos!$C$18,Datos!$D$18,IF(Evalucion!BK32=Datos!$C$19,Datos!$D$19,"=")))))</f>
        <v>1</v>
      </c>
      <c r="BK34">
        <f>IF(Evalucion!BL32=Datos!$C$15,Datos!$D$15,IF(Evalucion!BL32=Datos!$C$16,Datos!$D$16,IF(Evalucion!BL32=Datos!$C$17,Datos!$D$17,IF(Evalucion!BL32=Datos!$C$18,Datos!$D$18,IF(Evalucion!BL32=Datos!$C$19,Datos!$D$19,"=")))))</f>
        <v>1</v>
      </c>
      <c r="BL34">
        <f>IF(Evalucion!BM32=Datos!$C$15,Datos!$D$15,IF(Evalucion!BM32=Datos!$C$16,Datos!$D$16,IF(Evalucion!BM32=Datos!$C$17,Datos!$D$17,IF(Evalucion!BM32=Datos!$C$18,Datos!$D$18,IF(Evalucion!BM32=Datos!$C$19,Datos!$D$19,"=")))))</f>
        <v>1</v>
      </c>
      <c r="BM34">
        <f>IF(Evalucion!BN32=Datos!$C$15,Datos!$D$15,IF(Evalucion!BN32=Datos!$C$16,Datos!$D$16,IF(Evalucion!BN32=Datos!$C$17,Datos!$D$17,IF(Evalucion!BN32=Datos!$C$18,Datos!$D$18,IF(Evalucion!BN32=Datos!$C$19,Datos!$D$19,"=")))))</f>
        <v>1</v>
      </c>
      <c r="BN34">
        <f>IF(Evalucion!BO32=Datos!$C$15,Datos!$D$15,IF(Evalucion!BO32=Datos!$C$16,Datos!$D$16,IF(Evalucion!BO32=Datos!$C$17,Datos!$D$17,IF(Evalucion!BO32=Datos!$C$18,Datos!$D$18,IF(Evalucion!BO32=Datos!$C$19,Datos!$D$19,"=")))))</f>
        <v>5</v>
      </c>
      <c r="BO34">
        <f>IF(Evalucion!BP32=Datos!$C$15,Datos!$D$15,IF(Evalucion!BP32=Datos!$C$16,Datos!$D$16,IF(Evalucion!BP32=Datos!$C$17,Datos!$D$17,IF(Evalucion!BP32=Datos!$C$18,Datos!$D$18,IF(Evalucion!BP32=Datos!$C$19,Datos!$D$19,"=")))))</f>
        <v>5</v>
      </c>
      <c r="BP34">
        <f>IF(Evalucion!BQ32=Datos!$C$15,Datos!$D$15,IF(Evalucion!BQ32=Datos!$C$16,Datos!$D$16,IF(Evalucion!BQ32=Datos!$C$17,Datos!$D$17,IF(Evalucion!BQ32=Datos!$C$18,Datos!$D$18,IF(Evalucion!BQ32=Datos!$C$19,Datos!$D$19,"=")))))</f>
        <v>1</v>
      </c>
      <c r="BQ34">
        <f>IF(Evalucion!BR32=Datos!$C$15,Datos!$D$15,IF(Evalucion!BR32=Datos!$C$16,Datos!$D$16,IF(Evalucion!BR32=Datos!$C$17,Datos!$D$17,IF(Evalucion!BR32=Datos!$C$18,Datos!$D$18,IF(Evalucion!BR32=Datos!$C$19,Datos!$D$19,"=")))))</f>
        <v>1</v>
      </c>
      <c r="BR34">
        <f>IF(Evalucion!BS32=Datos!$C$15,Datos!$D$15,IF(Evalucion!BS32=Datos!$C$16,Datos!$D$16,IF(Evalucion!BS32=Datos!$C$17,Datos!$D$17,IF(Evalucion!BS32=Datos!$C$18,Datos!$D$18,IF(Evalucion!BS32=Datos!$C$19,Datos!$D$19,"=")))))</f>
        <v>1</v>
      </c>
      <c r="BS34">
        <f>IF(Evalucion!BT32=Datos!$C$15,Datos!$D$15,IF(Evalucion!BT32=Datos!$C$16,Datos!$D$16,IF(Evalucion!BT32=Datos!$C$17,Datos!$D$17,IF(Evalucion!BT32=Datos!$C$18,Datos!$D$18,IF(Evalucion!BT32=Datos!$C$19,Datos!$D$19,"=")))))</f>
        <v>1</v>
      </c>
      <c r="BT34">
        <f>IF(Evalucion!BU32=Datos!$C$15,Datos!$D$15,IF(Evalucion!BU32=Datos!$C$16,Datos!$D$16,IF(Evalucion!BU32=Datos!$C$17,Datos!$D$17,IF(Evalucion!BU32=Datos!$C$18,Datos!$D$18,IF(Evalucion!BU32=Datos!$C$19,Datos!$D$19,"=")))))</f>
        <v>1</v>
      </c>
      <c r="BU34">
        <f>IF(Evalucion!BV32=Datos!$C$15,Datos!$D$15,IF(Evalucion!BV32=Datos!$C$16,Datos!$D$16,IF(Evalucion!BV32=Datos!$C$17,Datos!$D$17,IF(Evalucion!BV32=Datos!$C$18,Datos!$D$18,IF(Evalucion!BV32=Datos!$C$19,Datos!$D$19,"=")))))</f>
        <v>1</v>
      </c>
      <c r="BV34">
        <f>IF(Evalucion!BW32=Datos!$C$15,Datos!$D$15,IF(Evalucion!BW32=Datos!$C$16,Datos!$D$16,IF(Evalucion!BW32=Datos!$C$17,Datos!$D$17,IF(Evalucion!BW32=Datos!$C$18,Datos!$D$18,IF(Evalucion!BW32=Datos!$C$19,Datos!$D$19,"=")))))</f>
        <v>5</v>
      </c>
      <c r="BW34">
        <f>IF(Evalucion!BX32=Datos!$C$15,Datos!$D$15,IF(Evalucion!BX32=Datos!$C$16,Datos!$D$16,IF(Evalucion!BX32=Datos!$C$17,Datos!$D$17,IF(Evalucion!BX32=Datos!$C$18,Datos!$D$18,IF(Evalucion!BX32=Datos!$C$19,Datos!$D$19,"=")))))</f>
        <v>5</v>
      </c>
      <c r="BX34">
        <f>IF(Evalucion!BY32=Datos!$C$15,Datos!$D$15,IF(Evalucion!BY32=Datos!$C$16,Datos!$D$16,IF(Evalucion!BY32=Datos!$C$17,Datos!$D$17,IF(Evalucion!BY32=Datos!$C$18,Datos!$D$18,IF(Evalucion!BY32=Datos!$C$19,Datos!$D$19,"=")))))</f>
        <v>1</v>
      </c>
      <c r="BY34">
        <f>IF(Evalucion!BZ32=Datos!$C$15,Datos!$D$15,IF(Evalucion!BZ32=Datos!$C$16,Datos!$D$16,IF(Evalucion!BZ32=Datos!$C$17,Datos!$D$17,IF(Evalucion!BZ32=Datos!$C$18,Datos!$D$18,IF(Evalucion!BZ32=Datos!$C$19,Datos!$D$19,"=")))))</f>
        <v>1</v>
      </c>
      <c r="BZ34">
        <f>IF(Evalucion!CA32=Datos!$C$15,Datos!$D$15,IF(Evalucion!CA32=Datos!$C$16,Datos!$D$16,IF(Evalucion!CA32=Datos!$C$17,Datos!$D$17,IF(Evalucion!CA32=Datos!$C$18,Datos!$D$18,IF(Evalucion!CA32=Datos!$C$19,Datos!$D$19,"=")))))</f>
        <v>1</v>
      </c>
      <c r="CA34">
        <f>IF(Evalucion!CB32=Datos!$C$15,Datos!$D$15,IF(Evalucion!CB32=Datos!$C$16,Datos!$D$16,IF(Evalucion!CB32=Datos!$C$17,Datos!$D$17,IF(Evalucion!CB32=Datos!$C$18,Datos!$D$18,IF(Evalucion!CB32=Datos!$C$19,Datos!$D$19,"=")))))</f>
        <v>1</v>
      </c>
      <c r="CB34">
        <f>IF(Evalucion!CC32=Datos!$C$15,Datos!$D$15,IF(Evalucion!CC32=Datos!$C$16,Datos!$D$16,IF(Evalucion!CC32=Datos!$C$17,Datos!$D$17,IF(Evalucion!CC32=Datos!$C$18,Datos!$D$18,IF(Evalucion!CC32=Datos!$C$19,Datos!$D$19,"=")))))</f>
        <v>5</v>
      </c>
      <c r="CC34">
        <f>IF(Evalucion!CD32=Datos!$C$15,Datos!$D$15,IF(Evalucion!CD32=Datos!$C$16,Datos!$D$16,IF(Evalucion!CD32=Datos!$C$17,Datos!$D$17,IF(Evalucion!CD32=Datos!$C$18,Datos!$D$18,IF(Evalucion!CD32=Datos!$C$19,Datos!$D$19,"=")))))</f>
        <v>5</v>
      </c>
      <c r="CD34">
        <f>IF(Evalucion!CE32=Datos!$C$15,Datos!$D$15,IF(Evalucion!CE32=Datos!$C$16,Datos!$D$16,IF(Evalucion!CE32=Datos!$C$17,Datos!$D$17,IF(Evalucion!CE32=Datos!$C$18,Datos!$D$18,IF(Evalucion!CE32=Datos!$C$19,Datos!$D$19,"=")))))</f>
        <v>5</v>
      </c>
      <c r="CE34">
        <f>IF(Evalucion!CF32=Datos!$C$15,Datos!$D$15,IF(Evalucion!CF32=Datos!$C$16,Datos!$D$16,IF(Evalucion!CF32=Datos!$C$17,Datos!$D$17,IF(Evalucion!CF32=Datos!$C$18,Datos!$D$18,IF(Evalucion!CF32=Datos!$C$19,Datos!$D$19,"=")))))</f>
        <v>1</v>
      </c>
      <c r="CF34">
        <f>IF(Evalucion!CG32=Datos!$C$15,Datos!$D$15,IF(Evalucion!CG32=Datos!$C$16,Datos!$D$16,IF(Evalucion!CG32=Datos!$C$17,Datos!$D$17,IF(Evalucion!CG32=Datos!$C$18,Datos!$D$18,IF(Evalucion!CG32=Datos!$C$19,Datos!$D$19,"=")))))</f>
        <v>1</v>
      </c>
      <c r="CG34">
        <f>IF(Evalucion!CH32=Datos!$C$15,Datos!$D$15,IF(Evalucion!CH32=Datos!$C$16,Datos!$D$16,IF(Evalucion!CH32=Datos!$C$17,Datos!$D$17,IF(Evalucion!CH32=Datos!$C$18,Datos!$D$18,IF(Evalucion!CH32=Datos!$C$19,Datos!$D$19,"=")))))</f>
        <v>1</v>
      </c>
      <c r="CH34">
        <f>IF(Evalucion!CI32=Datos!$C$15,Datos!$D$15,IF(Evalucion!CI32=Datos!$C$16,Datos!$D$16,IF(Evalucion!CI32=Datos!$C$17,Datos!$D$17,IF(Evalucion!CI32=Datos!$C$18,Datos!$D$18,IF(Evalucion!CI32=Datos!$C$19,Datos!$D$19,"=")))))</f>
        <v>1</v>
      </c>
      <c r="CI34">
        <f>IF(Evalucion!CJ32=Datos!$C$15,Datos!$D$15,IF(Evalucion!CJ32=Datos!$C$16,Datos!$D$16,IF(Evalucion!CJ32=Datos!$C$17,Datos!$D$17,IF(Evalucion!CJ32=Datos!$C$18,Datos!$D$18,IF(Evalucion!CJ32=Datos!$C$19,Datos!$D$19,"=")))))</f>
        <v>1</v>
      </c>
      <c r="CJ34">
        <f>IF(Evalucion!CK32=Datos!$C$15,Datos!$D$15,IF(Evalucion!CK32=Datos!$C$16,Datos!$D$16,IF(Evalucion!CK32=Datos!$C$17,Datos!$D$17,IF(Evalucion!CK32=Datos!$C$18,Datos!$D$18,IF(Evalucion!CK32=Datos!$C$19,Datos!$D$19,"=")))))</f>
        <v>5</v>
      </c>
      <c r="CK34">
        <f>IF(Evalucion!CL32=Datos!$C$15,Datos!$D$15,IF(Evalucion!CL32=Datos!$C$16,Datos!$D$16,IF(Evalucion!CL32=Datos!$C$17,Datos!$D$17,IF(Evalucion!CL32=Datos!$C$18,Datos!$D$18,IF(Evalucion!CL32=Datos!$C$19,Datos!$D$19,"=")))))</f>
        <v>5</v>
      </c>
      <c r="CL34">
        <f>IF(Evalucion!CM32=Datos!$C$15,Datos!$D$15,IF(Evalucion!CM32=Datos!$C$16,Datos!$D$16,IF(Evalucion!CM32=Datos!$C$17,Datos!$D$17,IF(Evalucion!CM32=Datos!$C$18,Datos!$D$18,IF(Evalucion!CM32=Datos!$C$19,Datos!$D$19,"=")))))</f>
        <v>5</v>
      </c>
      <c r="CM34">
        <f>IF(Evalucion!CN32=Datos!$C$15,Datos!$D$15,IF(Evalucion!CN32=Datos!$C$16,Datos!$D$16,IF(Evalucion!CN32=Datos!$C$17,Datos!$D$17,IF(Evalucion!CN32=Datos!$C$18,Datos!$D$18,IF(Evalucion!CN32=Datos!$C$19,Datos!$D$19,"=")))))</f>
        <v>3</v>
      </c>
      <c r="CN34">
        <f>IF(Evalucion!CO32=Datos!$C$15,Datos!$D$15,IF(Evalucion!CO32=Datos!$C$16,Datos!$D$16,IF(Evalucion!CO32=Datos!$C$17,Datos!$D$17,IF(Evalucion!CO32=Datos!$C$18,Datos!$D$18,IF(Evalucion!CO32=Datos!$C$19,Datos!$D$19,"=")))))</f>
        <v>5</v>
      </c>
      <c r="CO34">
        <f>IF(Evalucion!CP32=Datos!$C$15,Datos!$D$15,IF(Evalucion!CP32=Datos!$C$16,Datos!$D$16,IF(Evalucion!CP32=Datos!$C$17,Datos!$D$17,IF(Evalucion!CP32=Datos!$C$18,Datos!$D$18,IF(Evalucion!CP32=Datos!$C$19,Datos!$D$19,"=")))))</f>
        <v>5</v>
      </c>
      <c r="CP34">
        <f>IF(Evalucion!CQ32=Datos!$C$15,Datos!$D$15,IF(Evalucion!CQ32=Datos!$C$16,Datos!$D$16,IF(Evalucion!CQ32=Datos!$C$17,Datos!$D$17,IF(Evalucion!CQ32=Datos!$C$18,Datos!$D$18,IF(Evalucion!CQ32=Datos!$C$19,Datos!$D$19,"=")))))</f>
        <v>1</v>
      </c>
      <c r="CQ34">
        <f>IF(Evalucion!CR32=Datos!$C$15,Datos!$D$15,IF(Evalucion!CR32=Datos!$C$16,Datos!$D$16,IF(Evalucion!CR32=Datos!$C$17,Datos!$D$17,IF(Evalucion!CR32=Datos!$C$18,Datos!$D$18,IF(Evalucion!CR32=Datos!$C$19,Datos!$D$19,"=")))))</f>
        <v>1</v>
      </c>
      <c r="CR34">
        <f>IF(Evalucion!CS32=Datos!$C$15,Datos!$D$15,IF(Evalucion!CS32=Datos!$C$16,Datos!$D$16,IF(Evalucion!CS32=Datos!$C$17,Datos!$D$17,IF(Evalucion!CS32=Datos!$C$18,Datos!$D$18,IF(Evalucion!CS32=Datos!$C$19,Datos!$D$19,"=")))))</f>
        <v>1</v>
      </c>
      <c r="CS34">
        <f>IF(Evalucion!CT32=Datos!$C$15,Datos!$D$15,IF(Evalucion!CT32=Datos!$C$16,Datos!$D$16,IF(Evalucion!CT32=Datos!$C$17,Datos!$D$17,IF(Evalucion!CT32=Datos!$C$18,Datos!$D$18,IF(Evalucion!CT32=Datos!$C$19,Datos!$D$19,"=")))))</f>
        <v>1</v>
      </c>
      <c r="CT34">
        <f>IF(Evalucion!CU32=Datos!$C$15,Datos!$D$15,IF(Evalucion!CU32=Datos!$C$16,Datos!$D$16,IF(Evalucion!CU32=Datos!$C$17,Datos!$D$17,IF(Evalucion!CU32=Datos!$C$18,Datos!$D$18,IF(Evalucion!CU32=Datos!$C$19,Datos!$D$19,"=")))))</f>
        <v>1</v>
      </c>
      <c r="CU34">
        <f>IF(Evalucion!CV32=Datos!$C$15,Datos!$D$15,IF(Evalucion!CV32=Datos!$C$16,Datos!$D$16,IF(Evalucion!CV32=Datos!$C$17,Datos!$D$17,IF(Evalucion!CV32=Datos!$C$18,Datos!$D$18,IF(Evalucion!CV32=Datos!$C$19,Datos!$D$19,"=")))))</f>
        <v>1</v>
      </c>
      <c r="CV34">
        <f>IF(Evalucion!CW32=Datos!$C$15,Datos!$D$15,IF(Evalucion!CW32=Datos!$C$16,Datos!$D$16,IF(Evalucion!CW32=Datos!$C$17,Datos!$D$17,IF(Evalucion!CW32=Datos!$C$18,Datos!$D$18,IF(Evalucion!CW32=Datos!$C$19,Datos!$D$19,"=")))))</f>
        <v>5</v>
      </c>
      <c r="CW34">
        <f>IF(Evalucion!CX32=Datos!$C$15,Datos!$D$15,IF(Evalucion!CX32=Datos!$C$16,Datos!$D$16,IF(Evalucion!CX32=Datos!$C$17,Datos!$D$17,IF(Evalucion!CX32=Datos!$C$18,Datos!$D$18,IF(Evalucion!CX32=Datos!$C$19,Datos!$D$19,"=")))))</f>
        <v>3</v>
      </c>
      <c r="CX34">
        <f>IF(Evalucion!CY32=Datos!$C$15,Datos!$D$15,IF(Evalucion!CY32=Datos!$C$16,Datos!$D$16,IF(Evalucion!CY32=Datos!$C$17,Datos!$D$17,IF(Evalucion!CY32=Datos!$C$18,Datos!$D$18,IF(Evalucion!CY32=Datos!$C$19,Datos!$D$19,"=")))))</f>
        <v>5</v>
      </c>
      <c r="CY34">
        <f>IF(Evalucion!CZ32=Datos!$C$15,Datos!$D$15,IF(Evalucion!CZ32=Datos!$C$16,Datos!$D$16,IF(Evalucion!CZ32=Datos!$C$17,Datos!$D$17,IF(Evalucion!CZ32=Datos!$C$18,Datos!$D$18,IF(Evalucion!CZ32=Datos!$C$19,Datos!$D$19,"=")))))</f>
        <v>3</v>
      </c>
      <c r="CZ34">
        <f>IF(Evalucion!DA32=Datos!$C$15,Datos!$D$15,IF(Evalucion!DA32=Datos!$C$16,Datos!$D$16,IF(Evalucion!DA32=Datos!$C$17,Datos!$D$17,IF(Evalucion!DA32=Datos!$C$18,Datos!$D$18,IF(Evalucion!DA32=Datos!$C$19,Datos!$D$19,"=")))))</f>
        <v>5</v>
      </c>
      <c r="DA34">
        <f>IF(Evalucion!DB32=Datos!$C$15,Datos!$D$15,IF(Evalucion!DB32=Datos!$C$16,Datos!$D$16,IF(Evalucion!DB32=Datos!$C$17,Datos!$D$17,IF(Evalucion!DB32=Datos!$C$18,Datos!$D$18,IF(Evalucion!DB32=Datos!$C$19,Datos!$D$19,"=")))))</f>
        <v>3</v>
      </c>
      <c r="DB34">
        <f>IF(Evalucion!DC32=Datos!$C$15,Datos!$D$15,IF(Evalucion!DC32=Datos!$C$16,Datos!$D$16,IF(Evalucion!DC32=Datos!$C$17,Datos!$D$17,IF(Evalucion!DC32=Datos!$C$18,Datos!$D$18,IF(Evalucion!DC32=Datos!$C$19,Datos!$D$19,"=")))))</f>
        <v>5</v>
      </c>
      <c r="DC34">
        <f>IF(Evalucion!DD32=Datos!$C$15,Datos!$D$15,IF(Evalucion!DD32=Datos!$C$16,Datos!$D$16,IF(Evalucion!DD32=Datos!$C$17,Datos!$D$17,IF(Evalucion!DD32=Datos!$C$18,Datos!$D$18,IF(Evalucion!DD32=Datos!$C$19,Datos!$D$19,"=")))))</f>
        <v>5</v>
      </c>
      <c r="DD34">
        <f>IF(Evalucion!DE32=Datos!$C$15,Datos!$D$15,IF(Evalucion!DE32=Datos!$C$16,Datos!$D$16,IF(Evalucion!DE32=Datos!$C$17,Datos!$D$17,IF(Evalucion!DE32=Datos!$C$18,Datos!$D$18,IF(Evalucion!DE32=Datos!$C$19,Datos!$D$19,"=")))))</f>
        <v>1</v>
      </c>
      <c r="DE34">
        <f>IF(Evalucion!DF32=Datos!$C$15,Datos!$D$15,IF(Evalucion!DF32=Datos!$C$16,Datos!$D$16,IF(Evalucion!DF32=Datos!$C$17,Datos!$D$17,IF(Evalucion!DF32=Datos!$C$18,Datos!$D$18,IF(Evalucion!DF32=Datos!$C$19,Datos!$D$19,"=")))))</f>
        <v>1</v>
      </c>
      <c r="DF34">
        <f>IF(Evalucion!DG32=Datos!$C$15,Datos!$D$15,IF(Evalucion!DG32=Datos!$C$16,Datos!$D$16,IF(Evalucion!DG32=Datos!$C$17,Datos!$D$17,IF(Evalucion!DG32=Datos!$C$18,Datos!$D$18,IF(Evalucion!DG32=Datos!$C$19,Datos!$D$19,"=")))))</f>
        <v>5</v>
      </c>
      <c r="DG34">
        <f>IF(Evalucion!DH32=Datos!$C$15,Datos!$D$15,IF(Evalucion!DH32=Datos!$C$16,Datos!$D$16,IF(Evalucion!DH32=Datos!$C$17,Datos!$D$17,IF(Evalucion!DH32=Datos!$C$18,Datos!$D$18,IF(Evalucion!DH32=Datos!$C$19,Datos!$D$19,"=")))))</f>
        <v>3</v>
      </c>
      <c r="DH34">
        <f>IF(Evalucion!DI32=Datos!$C$15,Datos!$D$15,IF(Evalucion!DI32=Datos!$C$16,Datos!$D$16,IF(Evalucion!DI32=Datos!$C$17,Datos!$D$17,IF(Evalucion!DI32=Datos!$C$18,Datos!$D$18,IF(Evalucion!DI32=Datos!$C$19,Datos!$D$19,"=")))))</f>
        <v>1</v>
      </c>
      <c r="DI34">
        <f>IF(Evalucion!DJ32=Datos!$C$15,Datos!$D$15,IF(Evalucion!DJ32=Datos!$C$16,Datos!$D$16,IF(Evalucion!DJ32=Datos!$C$17,Datos!$D$17,IF(Evalucion!DJ32=Datos!$C$18,Datos!$D$18,IF(Evalucion!DJ32=Datos!$C$19,Datos!$D$19,"=")))))</f>
        <v>1</v>
      </c>
      <c r="DJ34">
        <f>IF(Evalucion!DK32=Datos!$C$15,Datos!$D$15,IF(Evalucion!DK32=Datos!$C$16,Datos!$D$16,IF(Evalucion!DK32=Datos!$C$17,Datos!$D$17,IF(Evalucion!DK32=Datos!$C$18,Datos!$D$18,IF(Evalucion!DK32=Datos!$C$19,Datos!$D$19,"=")))))</f>
        <v>1</v>
      </c>
      <c r="DK34">
        <f>IF(Evalucion!DL32=Datos!$C$15,Datos!$D$15,IF(Evalucion!DL32=Datos!$C$16,Datos!$D$16,IF(Evalucion!DL32=Datos!$C$17,Datos!$D$17,IF(Evalucion!DL32=Datos!$C$18,Datos!$D$18,IF(Evalucion!DL32=Datos!$C$19,Datos!$D$19,"=")))))</f>
        <v>1</v>
      </c>
      <c r="DL34">
        <f>IF(Evalucion!DM32=Datos!$C$15,Datos!$D$15,IF(Evalucion!DM32=Datos!$C$16,Datos!$D$16,IF(Evalucion!DM32=Datos!$C$17,Datos!$D$17,IF(Evalucion!DM32=Datos!$C$18,Datos!$D$18,IF(Evalucion!DM32=Datos!$C$19,Datos!$D$19,"=")))))</f>
        <v>1</v>
      </c>
      <c r="DM34">
        <f>IF(Evalucion!DN32=Datos!$C$15,Datos!$D$15,IF(Evalucion!DN32=Datos!$C$16,Datos!$D$16,IF(Evalucion!DN32=Datos!$C$17,Datos!$D$17,IF(Evalucion!DN32=Datos!$C$18,Datos!$D$18,IF(Evalucion!DN32=Datos!$C$19,Datos!$D$19,"=")))))</f>
        <v>1</v>
      </c>
      <c r="DN34">
        <f>IF(Evalucion!DO32=Datos!$C$15,Datos!$D$15,IF(Evalucion!DO32=Datos!$C$16,Datos!$D$16,IF(Evalucion!DO32=Datos!$C$17,Datos!$D$17,IF(Evalucion!DO32=Datos!$C$18,Datos!$D$18,IF(Evalucion!DO32=Datos!$C$19,Datos!$D$19,"=")))))</f>
        <v>5</v>
      </c>
      <c r="DO34">
        <f>IF(Evalucion!DP32=Datos!$C$15,Datos!$D$15,IF(Evalucion!DP32=Datos!$C$16,Datos!$D$16,IF(Evalucion!DP32=Datos!$C$17,Datos!$D$17,IF(Evalucion!DP32=Datos!$C$18,Datos!$D$18,IF(Evalucion!DP32=Datos!$C$19,Datos!$D$19,"=")))))</f>
        <v>1</v>
      </c>
      <c r="DP34">
        <f>IF(Evalucion!DQ32=Datos!$C$15,Datos!$D$15,IF(Evalucion!DQ32=Datos!$C$16,Datos!$D$16,IF(Evalucion!DQ32=Datos!$C$17,Datos!$D$17,IF(Evalucion!DQ32=Datos!$C$18,Datos!$D$18,IF(Evalucion!DQ32=Datos!$C$19,Datos!$D$19,"=")))))</f>
        <v>5</v>
      </c>
      <c r="DQ34">
        <f>IF(Evalucion!DR32=Datos!$C$15,Datos!$D$15,IF(Evalucion!DR32=Datos!$C$16,Datos!$D$16,IF(Evalucion!DR32=Datos!$C$17,Datos!$D$17,IF(Evalucion!DR32=Datos!$C$18,Datos!$D$18,IF(Evalucion!DR32=Datos!$C$19,Datos!$D$19,"=")))))</f>
        <v>3</v>
      </c>
      <c r="DR34">
        <f>IF(Evalucion!DS32=Datos!$C$15,Datos!$D$15,IF(Evalucion!DS32=Datos!$C$16,Datos!$D$16,IF(Evalucion!DS32=Datos!$C$17,Datos!$D$17,IF(Evalucion!DS32=Datos!$C$18,Datos!$D$18,IF(Evalucion!DS32=Datos!$C$19,Datos!$D$19,"=")))))</f>
        <v>1</v>
      </c>
      <c r="DS34">
        <f>IF(Evalucion!DT32=Datos!$C$15,Datos!$D$15,IF(Evalucion!DT32=Datos!$C$16,Datos!$D$16,IF(Evalucion!DT32=Datos!$C$17,Datos!$D$17,IF(Evalucion!DT32=Datos!$C$18,Datos!$D$18,IF(Evalucion!DT32=Datos!$C$19,Datos!$D$19,"=")))))</f>
        <v>1</v>
      </c>
      <c r="DT34">
        <f>IF(Evalucion!DU32=Datos!$C$15,Datos!$D$15,IF(Evalucion!DU32=Datos!$C$16,Datos!$D$16,IF(Evalucion!DU32=Datos!$C$17,Datos!$D$17,IF(Evalucion!DU32=Datos!$C$18,Datos!$D$18,IF(Evalucion!DU32=Datos!$C$19,Datos!$D$19,"=")))))</f>
        <v>5</v>
      </c>
      <c r="DU34">
        <f>IF(Evalucion!DV32=Datos!$C$15,Datos!$D$15,IF(Evalucion!DV32=Datos!$C$16,Datos!$D$16,IF(Evalucion!DV32=Datos!$C$17,Datos!$D$17,IF(Evalucion!DV32=Datos!$C$18,Datos!$D$18,IF(Evalucion!DV32=Datos!$C$19,Datos!$D$19,"=")))))</f>
        <v>3</v>
      </c>
      <c r="DV34">
        <f>IF(Evalucion!DW32=Datos!$C$15,Datos!$D$15,IF(Evalucion!DW32=Datos!$C$16,Datos!$D$16,IF(Evalucion!DW32=Datos!$C$17,Datos!$D$17,IF(Evalucion!DW32=Datos!$C$18,Datos!$D$18,IF(Evalucion!DW32=Datos!$C$19,Datos!$D$19,"=")))))</f>
        <v>1</v>
      </c>
      <c r="DW34">
        <f>IF(Evalucion!DX32=Datos!$C$15,Datos!$D$15,IF(Evalucion!DX32=Datos!$C$16,Datos!$D$16,IF(Evalucion!DX32=Datos!$C$17,Datos!$D$17,IF(Evalucion!DX32=Datos!$C$18,Datos!$D$18,IF(Evalucion!DX32=Datos!$C$19,Datos!$D$19,"=")))))</f>
        <v>1</v>
      </c>
      <c r="DX34">
        <f>IF(Evalucion!DY32=Datos!$C$15,Datos!$D$15,IF(Evalucion!DY32=Datos!$C$16,Datos!$D$16,IF(Evalucion!DY32=Datos!$C$17,Datos!$D$17,IF(Evalucion!DY32=Datos!$C$18,Datos!$D$18,IF(Evalucion!DY32=Datos!$C$19,Datos!$D$19,"=")))))</f>
        <v>1</v>
      </c>
      <c r="DY34">
        <f>IF(Evalucion!DZ32=Datos!$C$15,Datos!$D$15,IF(Evalucion!DZ32=Datos!$C$16,Datos!$D$16,IF(Evalucion!DZ32=Datos!$C$17,Datos!$D$17,IF(Evalucion!DZ32=Datos!$C$18,Datos!$D$18,IF(Evalucion!DZ32=Datos!$C$19,Datos!$D$19,"=")))))</f>
        <v>1</v>
      </c>
      <c r="DZ34">
        <f>IF(Evalucion!EA32=Datos!$C$15,Datos!$D$15,IF(Evalucion!EA32=Datos!$C$16,Datos!$D$16,IF(Evalucion!EA32=Datos!$C$17,Datos!$D$17,IF(Evalucion!EA32=Datos!$C$18,Datos!$D$18,IF(Evalucion!EA32=Datos!$C$19,Datos!$D$19,"=")))))</f>
        <v>5</v>
      </c>
      <c r="EA34">
        <f>IF(Evalucion!EB32=Datos!$C$15,Datos!$D$15,IF(Evalucion!EB32=Datos!$C$16,Datos!$D$16,IF(Evalucion!EB32=Datos!$C$17,Datos!$D$17,IF(Evalucion!EB32=Datos!$C$18,Datos!$D$18,IF(Evalucion!EB32=Datos!$C$19,Datos!$D$19,"=")))))</f>
        <v>5</v>
      </c>
      <c r="EB34">
        <f>IF(Evalucion!EC32=Datos!$C$15,Datos!$D$15,IF(Evalucion!EC32=Datos!$C$16,Datos!$D$16,IF(Evalucion!EC32=Datos!$C$17,Datos!$D$17,IF(Evalucion!EC32=Datos!$C$18,Datos!$D$18,IF(Evalucion!EC32=Datos!$C$19,Datos!$D$19,"=")))))</f>
        <v>5</v>
      </c>
      <c r="EC34">
        <f>IF(Evalucion!ED32=Datos!$C$15,Datos!$D$15,IF(Evalucion!ED32=Datos!$C$16,Datos!$D$16,IF(Evalucion!ED32=Datos!$C$17,Datos!$D$17,IF(Evalucion!ED32=Datos!$C$18,Datos!$D$18,IF(Evalucion!ED32=Datos!$C$19,Datos!$D$19,"=")))))</f>
        <v>3</v>
      </c>
      <c r="ED34">
        <f>IF(Evalucion!EE32=Datos!$C$15,Datos!$D$15,IF(Evalucion!EE32=Datos!$C$16,Datos!$D$16,IF(Evalucion!EE32=Datos!$C$17,Datos!$D$17,IF(Evalucion!EE32=Datos!$C$18,Datos!$D$18,IF(Evalucion!EE32=Datos!$C$19,Datos!$D$19,"=")))))</f>
        <v>5</v>
      </c>
      <c r="EE34">
        <f>IF(Evalucion!EF32=Datos!$C$15,Datos!$D$15,IF(Evalucion!EF32=Datos!$C$16,Datos!$D$16,IF(Evalucion!EF32=Datos!$C$17,Datos!$D$17,IF(Evalucion!EF32=Datos!$C$18,Datos!$D$18,IF(Evalucion!EF32=Datos!$C$19,Datos!$D$19,"=")))))</f>
        <v>1</v>
      </c>
      <c r="EF34">
        <f>IF(Evalucion!EG32=Datos!$C$15,Datos!$D$15,IF(Evalucion!EG32=Datos!$C$16,Datos!$D$16,IF(Evalucion!EG32=Datos!$C$17,Datos!$D$17,IF(Evalucion!EG32=Datos!$C$18,Datos!$D$18,IF(Evalucion!EG32=Datos!$C$19,Datos!$D$19,"=")))))</f>
        <v>5</v>
      </c>
      <c r="EG34">
        <f>IF(Evalucion!EH32=Datos!$C$15,Datos!$D$15,IF(Evalucion!EH32=Datos!$C$16,Datos!$D$16,IF(Evalucion!EH32=Datos!$C$17,Datos!$D$17,IF(Evalucion!EH32=Datos!$C$18,Datos!$D$18,IF(Evalucion!EH32=Datos!$C$19,Datos!$D$19,"=")))))</f>
        <v>5</v>
      </c>
      <c r="EH34">
        <f>IF(Evalucion!EI32=Datos!$C$15,Datos!$D$15,IF(Evalucion!EI32=Datos!$C$16,Datos!$D$16,IF(Evalucion!EI32=Datos!$C$17,Datos!$D$17,IF(Evalucion!EI32=Datos!$C$18,Datos!$D$18,IF(Evalucion!EI32=Datos!$C$19,Datos!$D$19,"=")))))</f>
        <v>1</v>
      </c>
      <c r="EI34">
        <f>IF(Evalucion!EJ32=Datos!$C$15,Datos!$D$15,IF(Evalucion!EJ32=Datos!$C$16,Datos!$D$16,IF(Evalucion!EJ32=Datos!$C$17,Datos!$D$17,IF(Evalucion!EJ32=Datos!$C$18,Datos!$D$18,IF(Evalucion!EJ32=Datos!$C$19,Datos!$D$19,"=")))))</f>
        <v>1</v>
      </c>
      <c r="EJ34">
        <f>IF(Evalucion!EK32=Datos!$C$15,Datos!$D$15,IF(Evalucion!EK32=Datos!$C$16,Datos!$D$16,IF(Evalucion!EK32=Datos!$C$17,Datos!$D$17,IF(Evalucion!EK32=Datos!$C$18,Datos!$D$18,IF(Evalucion!EK32=Datos!$C$19,Datos!$D$19,"=")))))</f>
        <v>1</v>
      </c>
      <c r="EK34">
        <f>IF(Evalucion!EL32=Datos!$C$15,Datos!$D$15,IF(Evalucion!EL32=Datos!$C$16,Datos!$D$16,IF(Evalucion!EL32=Datos!$C$17,Datos!$D$17,IF(Evalucion!EL32=Datos!$C$18,Datos!$D$18,IF(Evalucion!EL32=Datos!$C$19,Datos!$D$19,"=")))))</f>
        <v>1</v>
      </c>
      <c r="EL34">
        <f>IF(Evalucion!EM32=Datos!$C$15,Datos!$D$15,IF(Evalucion!EM32=Datos!$C$16,Datos!$D$16,IF(Evalucion!EM32=Datos!$C$17,Datos!$D$17,IF(Evalucion!EM32=Datos!$C$18,Datos!$D$18,IF(Evalucion!EM32=Datos!$C$19,Datos!$D$19,"=")))))</f>
        <v>5</v>
      </c>
      <c r="EM34">
        <f>IF(Evalucion!EN32=Datos!$C$15,Datos!$D$15,IF(Evalucion!EN32=Datos!$C$16,Datos!$D$16,IF(Evalucion!EN32=Datos!$C$17,Datos!$D$17,IF(Evalucion!EN32=Datos!$C$18,Datos!$D$18,IF(Evalucion!EN32=Datos!$C$19,Datos!$D$19,"=")))))</f>
        <v>5</v>
      </c>
      <c r="EN34">
        <f>IF(Evalucion!EO32=Datos!$C$15,Datos!$D$15,IF(Evalucion!EO32=Datos!$C$16,Datos!$D$16,IF(Evalucion!EO32=Datos!$C$17,Datos!$D$17,IF(Evalucion!EO32=Datos!$C$18,Datos!$D$18,IF(Evalucion!EO32=Datos!$C$19,Datos!$D$19,"=")))))</f>
        <v>1</v>
      </c>
      <c r="EO34">
        <f>IF(Evalucion!EP32=Datos!$C$15,Datos!$D$15,IF(Evalucion!EP32=Datos!$C$16,Datos!$D$16,IF(Evalucion!EP32=Datos!$C$17,Datos!$D$17,IF(Evalucion!EP32=Datos!$C$18,Datos!$D$18,IF(Evalucion!EP32=Datos!$C$19,Datos!$D$19,"=")))))</f>
        <v>1</v>
      </c>
      <c r="EP34">
        <f>IF(Evalucion!EQ32=Datos!$C$15,Datos!$D$15,IF(Evalucion!EQ32=Datos!$C$16,Datos!$D$16,IF(Evalucion!EQ32=Datos!$C$17,Datos!$D$17,IF(Evalucion!EQ32=Datos!$C$18,Datos!$D$18,IF(Evalucion!EQ32=Datos!$C$19,Datos!$D$19,"=")))))</f>
        <v>1</v>
      </c>
      <c r="EQ34">
        <f>IF(Evalucion!ER32=Datos!$C$15,Datos!$D$15,IF(Evalucion!ER32=Datos!$C$16,Datos!$D$16,IF(Evalucion!ER32=Datos!$C$17,Datos!$D$17,IF(Evalucion!ER32=Datos!$C$18,Datos!$D$18,IF(Evalucion!ER32=Datos!$C$19,Datos!$D$19,"=")))))</f>
        <v>1</v>
      </c>
      <c r="ER34">
        <f>IF(Evalucion!ES32=Datos!$C$15,Datos!$D$15,IF(Evalucion!ES32=Datos!$C$16,Datos!$D$16,IF(Evalucion!ES32=Datos!$C$17,Datos!$D$17,IF(Evalucion!ES32=Datos!$C$18,Datos!$D$18,IF(Evalucion!ES32=Datos!$C$19,Datos!$D$19,"=")))))</f>
        <v>5</v>
      </c>
      <c r="ES34">
        <f>IF(Evalucion!ET32=Datos!$C$15,Datos!$D$15,IF(Evalucion!ET32=Datos!$C$16,Datos!$D$16,IF(Evalucion!ET32=Datos!$C$17,Datos!$D$17,IF(Evalucion!ET32=Datos!$C$18,Datos!$D$18,IF(Evalucion!ET32=Datos!$C$19,Datos!$D$19,"=")))))</f>
        <v>5</v>
      </c>
      <c r="ET34">
        <f>IF(Evalucion!EU32=Datos!$C$15,Datos!$D$15,IF(Evalucion!EU32=Datos!$C$16,Datos!$D$16,IF(Evalucion!EU32=Datos!$C$17,Datos!$D$17,IF(Evalucion!EU32=Datos!$C$18,Datos!$D$18,IF(Evalucion!EU32=Datos!$C$19,Datos!$D$19,"=")))))</f>
        <v>5</v>
      </c>
      <c r="EU34">
        <f>IF(Evalucion!EV32=Datos!$C$15,Datos!$D$15,IF(Evalucion!EV32=Datos!$C$16,Datos!$D$16,IF(Evalucion!EV32=Datos!$C$17,Datos!$D$17,IF(Evalucion!EV32=Datos!$C$18,Datos!$D$18,IF(Evalucion!EV32=Datos!$C$19,Datos!$D$19,"=")))))</f>
        <v>1</v>
      </c>
      <c r="EV34">
        <f>IF(Evalucion!EW32=Datos!$C$15,Datos!$D$15,IF(Evalucion!EW32=Datos!$C$16,Datos!$D$16,IF(Evalucion!EW32=Datos!$C$17,Datos!$D$17,IF(Evalucion!EW32=Datos!$C$18,Datos!$D$18,IF(Evalucion!EW32=Datos!$C$19,Datos!$D$19,"=")))))</f>
        <v>5</v>
      </c>
      <c r="EW34">
        <f>IF(Evalucion!EX32=Datos!$C$15,Datos!$D$15,IF(Evalucion!EX32=Datos!$C$16,Datos!$D$16,IF(Evalucion!EX32=Datos!$C$17,Datos!$D$17,IF(Evalucion!EX32=Datos!$C$18,Datos!$D$18,IF(Evalucion!EX32=Datos!$C$19,Datos!$D$19,"=")))))</f>
        <v>5</v>
      </c>
      <c r="EX34">
        <f>IF(Evalucion!EY32=Datos!$C$15,Datos!$D$15,IF(Evalucion!EY32=Datos!$C$16,Datos!$D$16,IF(Evalucion!EY32=Datos!$C$17,Datos!$D$17,IF(Evalucion!EY32=Datos!$C$18,Datos!$D$18,IF(Evalucion!EY32=Datos!$C$19,Datos!$D$19,"=")))))</f>
        <v>5</v>
      </c>
      <c r="EY34">
        <f>IF(Evalucion!EZ32=Datos!$C$15,Datos!$D$15,IF(Evalucion!EZ32=Datos!$C$16,Datos!$D$16,IF(Evalucion!EZ32=Datos!$C$17,Datos!$D$17,IF(Evalucion!EZ32=Datos!$C$18,Datos!$D$18,IF(Evalucion!EZ32=Datos!$C$19,Datos!$D$19,"=")))))</f>
        <v>1</v>
      </c>
      <c r="FA34">
        <f t="shared" si="8"/>
        <v>207</v>
      </c>
      <c r="FB34">
        <f t="shared" si="8"/>
        <v>161</v>
      </c>
      <c r="FC34" s="3">
        <f t="shared" si="4"/>
        <v>0.42933333333333334</v>
      </c>
      <c r="FD34" t="str">
        <f t="shared" si="0"/>
        <v>NO_Conf</v>
      </c>
      <c r="FF34">
        <f t="shared" si="5"/>
        <v>368</v>
      </c>
      <c r="FG34">
        <f t="shared" si="6"/>
        <v>0</v>
      </c>
    </row>
    <row r="35" spans="1:163" x14ac:dyDescent="0.2">
      <c r="A35">
        <f t="shared" si="7"/>
        <v>32</v>
      </c>
      <c r="B35" t="s">
        <v>281</v>
      </c>
      <c r="C35" t="s">
        <v>190</v>
      </c>
      <c r="D35" s="1">
        <v>43374</v>
      </c>
      <c r="E35">
        <f>IF(Evalucion!F33=Datos!$C$15,Datos!$D$15,IF(Evalucion!F33=Datos!$C$16,Datos!$D$16,IF(Evalucion!F33=Datos!$C$17,Datos!$D$17,IF(Evalucion!F33=Datos!$C$18,Datos!$D$18,IF(Evalucion!F33=Datos!$C$19,Datos!$D$19,"=")))))</f>
        <v>5</v>
      </c>
      <c r="F35">
        <f>IF(Evalucion!G33=Datos!$C$15,Datos!$D$15,IF(Evalucion!G33=Datos!$C$16,Datos!$D$16,IF(Evalucion!G33=Datos!$C$17,Datos!$D$17,IF(Evalucion!G33=Datos!$C$18,Datos!$D$18,IF(Evalucion!G33=Datos!$C$19,Datos!$D$19,"=")))))</f>
        <v>5</v>
      </c>
      <c r="G35">
        <f>IF(Evalucion!H33=Datos!$C$15,Datos!$D$15,IF(Evalucion!H33=Datos!$C$16,Datos!$D$16,IF(Evalucion!H33=Datos!$C$17,Datos!$D$17,IF(Evalucion!H33=Datos!$C$18,Datos!$D$18,IF(Evalucion!H33=Datos!$C$19,Datos!$D$19,"=")))))</f>
        <v>1</v>
      </c>
      <c r="H35">
        <f>IF(Evalucion!I33=Datos!$C$15,Datos!$D$15,IF(Evalucion!I33=Datos!$C$16,Datos!$D$16,IF(Evalucion!I33=Datos!$C$17,Datos!$D$17,IF(Evalucion!I33=Datos!$C$18,Datos!$D$18,IF(Evalucion!I33=Datos!$C$19,Datos!$D$19,"=")))))</f>
        <v>1</v>
      </c>
      <c r="I35">
        <f>IF(Evalucion!J33=Datos!$C$15,Datos!$D$15,IF(Evalucion!J33=Datos!$C$16,Datos!$D$16,IF(Evalucion!J33=Datos!$C$17,Datos!$D$17,IF(Evalucion!J33=Datos!$C$18,Datos!$D$18,IF(Evalucion!J33=Datos!$C$19,Datos!$D$19,"=")))))</f>
        <v>1</v>
      </c>
      <c r="J35">
        <f>IF(Evalucion!K33=Datos!$C$15,Datos!$D$15,IF(Evalucion!K33=Datos!$C$16,Datos!$D$16,IF(Evalucion!K33=Datos!$C$17,Datos!$D$17,IF(Evalucion!K33=Datos!$C$18,Datos!$D$18,IF(Evalucion!K33=Datos!$C$19,Datos!$D$19,"=")))))</f>
        <v>1</v>
      </c>
      <c r="K35">
        <f>IF(Evalucion!L33=Datos!$C$15,Datos!$D$15,IF(Evalucion!L33=Datos!$C$16,Datos!$D$16,IF(Evalucion!L33=Datos!$C$17,Datos!$D$17,IF(Evalucion!L33=Datos!$C$18,Datos!$D$18,IF(Evalucion!L33=Datos!$C$19,Datos!$D$19,"=")))))</f>
        <v>1</v>
      </c>
      <c r="L35">
        <f>IF(Evalucion!M33=Datos!$C$15,Datos!$D$15,IF(Evalucion!M33=Datos!$C$16,Datos!$D$16,IF(Evalucion!M33=Datos!$C$17,Datos!$D$17,IF(Evalucion!M33=Datos!$C$18,Datos!$D$18,IF(Evalucion!M33=Datos!$C$19,Datos!$D$19,"=")))))</f>
        <v>5</v>
      </c>
      <c r="M35">
        <f>IF(Evalucion!N33=Datos!$C$15,Datos!$D$15,IF(Evalucion!N33=Datos!$C$16,Datos!$D$16,IF(Evalucion!N33=Datos!$C$17,Datos!$D$17,IF(Evalucion!N33=Datos!$C$18,Datos!$D$18,IF(Evalucion!N33=Datos!$C$19,Datos!$D$19,"=")))))</f>
        <v>5</v>
      </c>
      <c r="N35">
        <f>IF(Evalucion!O33=Datos!$C$15,Datos!$D$15,IF(Evalucion!O33=Datos!$C$16,Datos!$D$16,IF(Evalucion!O33=Datos!$C$17,Datos!$D$17,IF(Evalucion!O33=Datos!$C$18,Datos!$D$18,IF(Evalucion!O33=Datos!$C$19,Datos!$D$19,"=")))))</f>
        <v>3</v>
      </c>
      <c r="O35">
        <f>IF(Evalucion!P33=Datos!$C$15,Datos!$D$15,IF(Evalucion!P33=Datos!$C$16,Datos!$D$16,IF(Evalucion!P33=Datos!$C$17,Datos!$D$17,IF(Evalucion!P33=Datos!$C$18,Datos!$D$18,IF(Evalucion!P33=Datos!$C$19,Datos!$D$19,"=")))))</f>
        <v>1</v>
      </c>
      <c r="P35">
        <f>IF(Evalucion!Q33=Datos!$C$15,Datos!$D$15,IF(Evalucion!Q33=Datos!$C$16,Datos!$D$16,IF(Evalucion!Q33=Datos!$C$17,Datos!$D$17,IF(Evalucion!Q33=Datos!$C$18,Datos!$D$18,IF(Evalucion!Q33=Datos!$C$19,Datos!$D$19,"=")))))</f>
        <v>1</v>
      </c>
      <c r="Q35">
        <f>IF(Evalucion!R33=Datos!$C$15,Datos!$D$15,IF(Evalucion!R33=Datos!$C$16,Datos!$D$16,IF(Evalucion!R33=Datos!$C$17,Datos!$D$17,IF(Evalucion!R33=Datos!$C$18,Datos!$D$18,IF(Evalucion!R33=Datos!$C$19,Datos!$D$19,"=")))))</f>
        <v>5</v>
      </c>
      <c r="R35">
        <f>IF(Evalucion!S33=Datos!$C$15,Datos!$D$15,IF(Evalucion!S33=Datos!$C$16,Datos!$D$16,IF(Evalucion!S33=Datos!$C$17,Datos!$D$17,IF(Evalucion!S33=Datos!$C$18,Datos!$D$18,IF(Evalucion!S33=Datos!$C$19,Datos!$D$19,"=")))))</f>
        <v>1</v>
      </c>
      <c r="S35">
        <f>IF(Evalucion!T33=Datos!$C$15,Datos!$D$15,IF(Evalucion!T33=Datos!$C$16,Datos!$D$16,IF(Evalucion!T33=Datos!$C$17,Datos!$D$17,IF(Evalucion!T33=Datos!$C$18,Datos!$D$18,IF(Evalucion!T33=Datos!$C$19,Datos!$D$19,"=")))))</f>
        <v>1</v>
      </c>
      <c r="T35">
        <f>IF(Evalucion!U33=Datos!$C$15,Datos!$D$15,IF(Evalucion!U33=Datos!$C$16,Datos!$D$16,IF(Evalucion!U33=Datos!$C$17,Datos!$D$17,IF(Evalucion!U33=Datos!$C$18,Datos!$D$18,IF(Evalucion!U33=Datos!$C$19,Datos!$D$19,"=")))))</f>
        <v>1</v>
      </c>
      <c r="U35">
        <f>IF(Evalucion!V33=Datos!$C$15,Datos!$D$15,IF(Evalucion!V33=Datos!$C$16,Datos!$D$16,IF(Evalucion!V33=Datos!$C$17,Datos!$D$17,IF(Evalucion!V33=Datos!$C$18,Datos!$D$18,IF(Evalucion!V33=Datos!$C$19,Datos!$D$19,"=")))))</f>
        <v>1</v>
      </c>
      <c r="V35">
        <f>IF(Evalucion!W33=Datos!$C$15,Datos!$D$15,IF(Evalucion!W33=Datos!$C$16,Datos!$D$16,IF(Evalucion!W33=Datos!$C$17,Datos!$D$17,IF(Evalucion!W33=Datos!$C$18,Datos!$D$18,IF(Evalucion!W33=Datos!$C$19,Datos!$D$19,"=")))))</f>
        <v>1</v>
      </c>
      <c r="W35">
        <f>IF(Evalucion!X33=Datos!$C$15,Datos!$D$15,IF(Evalucion!X33=Datos!$C$16,Datos!$D$16,IF(Evalucion!X33=Datos!$C$17,Datos!$D$17,IF(Evalucion!X33=Datos!$C$18,Datos!$D$18,IF(Evalucion!X33=Datos!$C$19,Datos!$D$19,"=")))))</f>
        <v>1</v>
      </c>
      <c r="X35">
        <f>IF(Evalucion!Y33=Datos!$C$15,Datos!$D$15,IF(Evalucion!Y33=Datos!$C$16,Datos!$D$16,IF(Evalucion!Y33=Datos!$C$17,Datos!$D$17,IF(Evalucion!Y33=Datos!$C$18,Datos!$D$18,IF(Evalucion!Y33=Datos!$C$19,Datos!$D$19,"=")))))</f>
        <v>1</v>
      </c>
      <c r="Y35">
        <f>IF(Evalucion!Z33=Datos!$C$15,Datos!$D$15,IF(Evalucion!Z33=Datos!$C$16,Datos!$D$16,IF(Evalucion!Z33=Datos!$C$17,Datos!$D$17,IF(Evalucion!Z33=Datos!$C$18,Datos!$D$18,IF(Evalucion!Z33=Datos!$C$19,Datos!$D$19,"=")))))</f>
        <v>1</v>
      </c>
      <c r="Z35">
        <f>IF(Evalucion!AA33=Datos!$C$15,Datos!$D$15,IF(Evalucion!AA33=Datos!$C$16,Datos!$D$16,IF(Evalucion!AA33=Datos!$C$17,Datos!$D$17,IF(Evalucion!AA33=Datos!$C$18,Datos!$D$18,IF(Evalucion!AA33=Datos!$C$19,Datos!$D$19,"=")))))</f>
        <v>1</v>
      </c>
      <c r="AA35">
        <f>IF(Evalucion!AB33=Datos!$C$15,Datos!$D$15,IF(Evalucion!AB33=Datos!$C$16,Datos!$D$16,IF(Evalucion!AB33=Datos!$C$17,Datos!$D$17,IF(Evalucion!AB33=Datos!$C$18,Datos!$D$18,IF(Evalucion!AB33=Datos!$C$19,Datos!$D$19,"=")))))</f>
        <v>1</v>
      </c>
      <c r="AB35">
        <f>IF(Evalucion!AC33=Datos!$C$15,Datos!$D$15,IF(Evalucion!AC33=Datos!$C$16,Datos!$D$16,IF(Evalucion!AC33=Datos!$C$17,Datos!$D$17,IF(Evalucion!AC33=Datos!$C$18,Datos!$D$18,IF(Evalucion!AC33=Datos!$C$19,Datos!$D$19,"=")))))</f>
        <v>1</v>
      </c>
      <c r="AC35">
        <f>IF(Evalucion!AD33=Datos!$C$15,Datos!$D$15,IF(Evalucion!AD33=Datos!$C$16,Datos!$D$16,IF(Evalucion!AD33=Datos!$C$17,Datos!$D$17,IF(Evalucion!AD33=Datos!$C$18,Datos!$D$18,IF(Evalucion!AD33=Datos!$C$19,Datos!$D$19,"=")))))</f>
        <v>5</v>
      </c>
      <c r="AD35">
        <f>IF(Evalucion!AE33=Datos!$C$15,Datos!$D$15,IF(Evalucion!AE33=Datos!$C$16,Datos!$D$16,IF(Evalucion!AE33=Datos!$C$17,Datos!$D$17,IF(Evalucion!AE33=Datos!$C$18,Datos!$D$18,IF(Evalucion!AE33=Datos!$C$19,Datos!$D$19,"=")))))</f>
        <v>3</v>
      </c>
      <c r="AE35">
        <f>IF(Evalucion!AF33=Datos!$C$15,Datos!$D$15,IF(Evalucion!AF33=Datos!$C$16,Datos!$D$16,IF(Evalucion!AF33=Datos!$C$17,Datos!$D$17,IF(Evalucion!AF33=Datos!$C$18,Datos!$D$18,IF(Evalucion!AF33=Datos!$C$19,Datos!$D$19,"=")))))</f>
        <v>5</v>
      </c>
      <c r="AF35">
        <f>IF(Evalucion!AG33=Datos!$C$15,Datos!$D$15,IF(Evalucion!AG33=Datos!$C$16,Datos!$D$16,IF(Evalucion!AG33=Datos!$C$17,Datos!$D$17,IF(Evalucion!AG33=Datos!$C$18,Datos!$D$18,IF(Evalucion!AG33=Datos!$C$19,Datos!$D$19,"=")))))</f>
        <v>1</v>
      </c>
      <c r="AO35">
        <f>IF(Evalucion!AP33=Datos!$C$15,Datos!$D$15,IF(Evalucion!AP33=Datos!$C$16,Datos!$D$16,IF(Evalucion!AP33=Datos!$C$17,Datos!$D$17,IF(Evalucion!AP33=Datos!$C$18,Datos!$D$18,IF(Evalucion!AP33=Datos!$C$19,Datos!$D$19,"=")))))</f>
        <v>5</v>
      </c>
      <c r="AP35">
        <f>IF(Evalucion!AQ33=Datos!$C$15,Datos!$D$15,IF(Evalucion!AQ33=Datos!$C$16,Datos!$D$16,IF(Evalucion!AQ33=Datos!$C$17,Datos!$D$17,IF(Evalucion!AQ33=Datos!$C$18,Datos!$D$18,IF(Evalucion!AQ33=Datos!$C$19,Datos!$D$19,"=")))))</f>
        <v>3</v>
      </c>
      <c r="AQ35">
        <f>IF(Evalucion!AR33=Datos!$C$15,Datos!$D$15,IF(Evalucion!AR33=Datos!$C$16,Datos!$D$16,IF(Evalucion!AR33=Datos!$C$17,Datos!$D$17,IF(Evalucion!AR33=Datos!$C$18,Datos!$D$18,IF(Evalucion!AR33=Datos!$C$19,Datos!$D$19,"=")))))</f>
        <v>1</v>
      </c>
      <c r="AR35">
        <f>IF(Evalucion!AS33=Datos!$C$15,Datos!$D$15,IF(Evalucion!AS33=Datos!$C$16,Datos!$D$16,IF(Evalucion!AS33=Datos!$C$17,Datos!$D$17,IF(Evalucion!AS33=Datos!$C$18,Datos!$D$18,IF(Evalucion!AS33=Datos!$C$19,Datos!$D$19,"=")))))</f>
        <v>1</v>
      </c>
      <c r="AS35">
        <f>IF(Evalucion!AT33=Datos!$C$15,Datos!$D$15,IF(Evalucion!AT33=Datos!$C$16,Datos!$D$16,IF(Evalucion!AT33=Datos!$C$17,Datos!$D$17,IF(Evalucion!AT33=Datos!$C$18,Datos!$D$18,IF(Evalucion!AT33=Datos!$C$19,Datos!$D$19,"=")))))</f>
        <v>5</v>
      </c>
      <c r="AT35">
        <f>IF(Evalucion!AU33=Datos!$C$15,Datos!$D$15,IF(Evalucion!AU33=Datos!$C$16,Datos!$D$16,IF(Evalucion!AU33=Datos!$C$17,Datos!$D$17,IF(Evalucion!AU33=Datos!$C$18,Datos!$D$18,IF(Evalucion!AU33=Datos!$C$19,Datos!$D$19,"=")))))</f>
        <v>5</v>
      </c>
      <c r="AV35">
        <f>IF(Evalucion!AW33=Datos!$C$15,Datos!$D$15,IF(Evalucion!AW33=Datos!$C$16,Datos!$D$16,IF(Evalucion!AW33=Datos!$C$17,Datos!$D$17,IF(Evalucion!AW33=Datos!$C$18,Datos!$D$18,IF(Evalucion!AW33=Datos!$C$19,Datos!$D$19,"=")))))</f>
        <v>1</v>
      </c>
      <c r="AW35">
        <f>IF(Evalucion!AX33=Datos!$C$15,Datos!$D$15,IF(Evalucion!AX33=Datos!$C$16,Datos!$D$16,IF(Evalucion!AX33=Datos!$C$17,Datos!$D$17,IF(Evalucion!AX33=Datos!$C$18,Datos!$D$18,IF(Evalucion!AX33=Datos!$C$19,Datos!$D$19,"=")))))</f>
        <v>1</v>
      </c>
      <c r="AX35">
        <f>IF(Evalucion!AY33=Datos!$C$15,Datos!$D$15,IF(Evalucion!AY33=Datos!$C$16,Datos!$D$16,IF(Evalucion!AY33=Datos!$C$17,Datos!$D$17,IF(Evalucion!AY33=Datos!$C$18,Datos!$D$18,IF(Evalucion!AY33=Datos!$C$19,Datos!$D$19,"=")))))</f>
        <v>5</v>
      </c>
      <c r="AY35">
        <f>IF(Evalucion!AZ33=Datos!$C$15,Datos!$D$15,IF(Evalucion!AZ33=Datos!$C$16,Datos!$D$16,IF(Evalucion!AZ33=Datos!$C$17,Datos!$D$17,IF(Evalucion!AZ33=Datos!$C$18,Datos!$D$18,IF(Evalucion!AZ33=Datos!$C$19,Datos!$D$19,"=")))))</f>
        <v>5</v>
      </c>
      <c r="AZ35">
        <f>IF(Evalucion!BA33=Datos!$C$15,Datos!$D$15,IF(Evalucion!BA33=Datos!$C$16,Datos!$D$16,IF(Evalucion!BA33=Datos!$C$17,Datos!$D$17,IF(Evalucion!BA33=Datos!$C$18,Datos!$D$18,IF(Evalucion!BA33=Datos!$C$19,Datos!$D$19,"=")))))</f>
        <v>5</v>
      </c>
      <c r="BA35">
        <f>IF(Evalucion!BB33=Datos!$C$15,Datos!$D$15,IF(Evalucion!BB33=Datos!$C$16,Datos!$D$16,IF(Evalucion!BB33=Datos!$C$17,Datos!$D$17,IF(Evalucion!BB33=Datos!$C$18,Datos!$D$18,IF(Evalucion!BB33=Datos!$C$19,Datos!$D$19,"=")))))</f>
        <v>5</v>
      </c>
      <c r="BB35">
        <f>IF(Evalucion!BC33=Datos!$C$15,Datos!$D$15,IF(Evalucion!BC33=Datos!$C$16,Datos!$D$16,IF(Evalucion!BC33=Datos!$C$17,Datos!$D$17,IF(Evalucion!BC33=Datos!$C$18,Datos!$D$18,IF(Evalucion!BC33=Datos!$C$19,Datos!$D$19,"=")))))</f>
        <v>1</v>
      </c>
      <c r="BC35">
        <f>IF(Evalucion!BD33=Datos!$C$15,Datos!$D$15,IF(Evalucion!BD33=Datos!$C$16,Datos!$D$16,IF(Evalucion!BD33=Datos!$C$17,Datos!$D$17,IF(Evalucion!BD33=Datos!$C$18,Datos!$D$18,IF(Evalucion!BD33=Datos!$C$19,Datos!$D$19,"=")))))</f>
        <v>1</v>
      </c>
      <c r="BD35">
        <f>IF(Evalucion!BE33=Datos!$C$15,Datos!$D$15,IF(Evalucion!BE33=Datos!$C$16,Datos!$D$16,IF(Evalucion!BE33=Datos!$C$17,Datos!$D$17,IF(Evalucion!BE33=Datos!$C$18,Datos!$D$18,IF(Evalucion!BE33=Datos!$C$19,Datos!$D$19,"=")))))</f>
        <v>1</v>
      </c>
      <c r="BE35">
        <f>IF(Evalucion!BF33=Datos!$C$15,Datos!$D$15,IF(Evalucion!BF33=Datos!$C$16,Datos!$D$16,IF(Evalucion!BF33=Datos!$C$17,Datos!$D$17,IF(Evalucion!BF33=Datos!$C$18,Datos!$D$18,IF(Evalucion!BF33=Datos!$C$19,Datos!$D$19,"=")))))</f>
        <v>1</v>
      </c>
      <c r="BF35">
        <f>IF(Evalucion!BG33=Datos!$C$15,Datos!$D$15,IF(Evalucion!BG33=Datos!$C$16,Datos!$D$16,IF(Evalucion!BG33=Datos!$C$17,Datos!$D$17,IF(Evalucion!BG33=Datos!$C$18,Datos!$D$18,IF(Evalucion!BG33=Datos!$C$19,Datos!$D$19,"=")))))</f>
        <v>5</v>
      </c>
      <c r="BG35">
        <f>IF(Evalucion!BH33=Datos!$C$15,Datos!$D$15,IF(Evalucion!BH33=Datos!$C$16,Datos!$D$16,IF(Evalucion!BH33=Datos!$C$17,Datos!$D$17,IF(Evalucion!BH33=Datos!$C$18,Datos!$D$18,IF(Evalucion!BH33=Datos!$C$19,Datos!$D$19,"=")))))</f>
        <v>5</v>
      </c>
      <c r="BH35">
        <f>IF(Evalucion!BI33=Datos!$C$15,Datos!$D$15,IF(Evalucion!BI33=Datos!$C$16,Datos!$D$16,IF(Evalucion!BI33=Datos!$C$17,Datos!$D$17,IF(Evalucion!BI33=Datos!$C$18,Datos!$D$18,IF(Evalucion!BI33=Datos!$C$19,Datos!$D$19,"=")))))</f>
        <v>1</v>
      </c>
      <c r="BI35">
        <f>IF(Evalucion!BJ33=Datos!$C$15,Datos!$D$15,IF(Evalucion!BJ33=Datos!$C$16,Datos!$D$16,IF(Evalucion!BJ33=Datos!$C$17,Datos!$D$17,IF(Evalucion!BJ33=Datos!$C$18,Datos!$D$18,IF(Evalucion!BJ33=Datos!$C$19,Datos!$D$19,"=")))))</f>
        <v>1</v>
      </c>
      <c r="BJ35">
        <f>IF(Evalucion!BK33=Datos!$C$15,Datos!$D$15,IF(Evalucion!BK33=Datos!$C$16,Datos!$D$16,IF(Evalucion!BK33=Datos!$C$17,Datos!$D$17,IF(Evalucion!BK33=Datos!$C$18,Datos!$D$18,IF(Evalucion!BK33=Datos!$C$19,Datos!$D$19,"=")))))</f>
        <v>1</v>
      </c>
      <c r="BK35">
        <f>IF(Evalucion!BL33=Datos!$C$15,Datos!$D$15,IF(Evalucion!BL33=Datos!$C$16,Datos!$D$16,IF(Evalucion!BL33=Datos!$C$17,Datos!$D$17,IF(Evalucion!BL33=Datos!$C$18,Datos!$D$18,IF(Evalucion!BL33=Datos!$C$19,Datos!$D$19,"=")))))</f>
        <v>1</v>
      </c>
      <c r="BL35">
        <f>IF(Evalucion!BM33=Datos!$C$15,Datos!$D$15,IF(Evalucion!BM33=Datos!$C$16,Datos!$D$16,IF(Evalucion!BM33=Datos!$C$17,Datos!$D$17,IF(Evalucion!BM33=Datos!$C$18,Datos!$D$18,IF(Evalucion!BM33=Datos!$C$19,Datos!$D$19,"=")))))</f>
        <v>1</v>
      </c>
      <c r="BM35">
        <f>IF(Evalucion!BN33=Datos!$C$15,Datos!$D$15,IF(Evalucion!BN33=Datos!$C$16,Datos!$D$16,IF(Evalucion!BN33=Datos!$C$17,Datos!$D$17,IF(Evalucion!BN33=Datos!$C$18,Datos!$D$18,IF(Evalucion!BN33=Datos!$C$19,Datos!$D$19,"=")))))</f>
        <v>1</v>
      </c>
      <c r="BN35">
        <f>IF(Evalucion!BO33=Datos!$C$15,Datos!$D$15,IF(Evalucion!BO33=Datos!$C$16,Datos!$D$16,IF(Evalucion!BO33=Datos!$C$17,Datos!$D$17,IF(Evalucion!BO33=Datos!$C$18,Datos!$D$18,IF(Evalucion!BO33=Datos!$C$19,Datos!$D$19,"=")))))</f>
        <v>5</v>
      </c>
      <c r="BO35">
        <f>IF(Evalucion!BP33=Datos!$C$15,Datos!$D$15,IF(Evalucion!BP33=Datos!$C$16,Datos!$D$16,IF(Evalucion!BP33=Datos!$C$17,Datos!$D$17,IF(Evalucion!BP33=Datos!$C$18,Datos!$D$18,IF(Evalucion!BP33=Datos!$C$19,Datos!$D$19,"=")))))</f>
        <v>5</v>
      </c>
      <c r="BP35">
        <f>IF(Evalucion!BQ33=Datos!$C$15,Datos!$D$15,IF(Evalucion!BQ33=Datos!$C$16,Datos!$D$16,IF(Evalucion!BQ33=Datos!$C$17,Datos!$D$17,IF(Evalucion!BQ33=Datos!$C$18,Datos!$D$18,IF(Evalucion!BQ33=Datos!$C$19,Datos!$D$19,"=")))))</f>
        <v>1</v>
      </c>
      <c r="BQ35">
        <f>IF(Evalucion!BR33=Datos!$C$15,Datos!$D$15,IF(Evalucion!BR33=Datos!$C$16,Datos!$D$16,IF(Evalucion!BR33=Datos!$C$17,Datos!$D$17,IF(Evalucion!BR33=Datos!$C$18,Datos!$D$18,IF(Evalucion!BR33=Datos!$C$19,Datos!$D$19,"=")))))</f>
        <v>1</v>
      </c>
      <c r="BR35">
        <f>IF(Evalucion!BS33=Datos!$C$15,Datos!$D$15,IF(Evalucion!BS33=Datos!$C$16,Datos!$D$16,IF(Evalucion!BS33=Datos!$C$17,Datos!$D$17,IF(Evalucion!BS33=Datos!$C$18,Datos!$D$18,IF(Evalucion!BS33=Datos!$C$19,Datos!$D$19,"=")))))</f>
        <v>1</v>
      </c>
      <c r="BS35">
        <f>IF(Evalucion!BT33=Datos!$C$15,Datos!$D$15,IF(Evalucion!BT33=Datos!$C$16,Datos!$D$16,IF(Evalucion!BT33=Datos!$C$17,Datos!$D$17,IF(Evalucion!BT33=Datos!$C$18,Datos!$D$18,IF(Evalucion!BT33=Datos!$C$19,Datos!$D$19,"=")))))</f>
        <v>1</v>
      </c>
      <c r="BT35">
        <f>IF(Evalucion!BU33=Datos!$C$15,Datos!$D$15,IF(Evalucion!BU33=Datos!$C$16,Datos!$D$16,IF(Evalucion!BU33=Datos!$C$17,Datos!$D$17,IF(Evalucion!BU33=Datos!$C$18,Datos!$D$18,IF(Evalucion!BU33=Datos!$C$19,Datos!$D$19,"=")))))</f>
        <v>1</v>
      </c>
      <c r="BU35">
        <f>IF(Evalucion!BV33=Datos!$C$15,Datos!$D$15,IF(Evalucion!BV33=Datos!$C$16,Datos!$D$16,IF(Evalucion!BV33=Datos!$C$17,Datos!$D$17,IF(Evalucion!BV33=Datos!$C$18,Datos!$D$18,IF(Evalucion!BV33=Datos!$C$19,Datos!$D$19,"=")))))</f>
        <v>1</v>
      </c>
      <c r="BV35">
        <f>IF(Evalucion!BW33=Datos!$C$15,Datos!$D$15,IF(Evalucion!BW33=Datos!$C$16,Datos!$D$16,IF(Evalucion!BW33=Datos!$C$17,Datos!$D$17,IF(Evalucion!BW33=Datos!$C$18,Datos!$D$18,IF(Evalucion!BW33=Datos!$C$19,Datos!$D$19,"=")))))</f>
        <v>5</v>
      </c>
      <c r="BW35">
        <f>IF(Evalucion!BX33=Datos!$C$15,Datos!$D$15,IF(Evalucion!BX33=Datos!$C$16,Datos!$D$16,IF(Evalucion!BX33=Datos!$C$17,Datos!$D$17,IF(Evalucion!BX33=Datos!$C$18,Datos!$D$18,IF(Evalucion!BX33=Datos!$C$19,Datos!$D$19,"=")))))</f>
        <v>5</v>
      </c>
      <c r="BX35">
        <f>IF(Evalucion!BY33=Datos!$C$15,Datos!$D$15,IF(Evalucion!BY33=Datos!$C$16,Datos!$D$16,IF(Evalucion!BY33=Datos!$C$17,Datos!$D$17,IF(Evalucion!BY33=Datos!$C$18,Datos!$D$18,IF(Evalucion!BY33=Datos!$C$19,Datos!$D$19,"=")))))</f>
        <v>1</v>
      </c>
      <c r="BY35">
        <f>IF(Evalucion!BZ33=Datos!$C$15,Datos!$D$15,IF(Evalucion!BZ33=Datos!$C$16,Datos!$D$16,IF(Evalucion!BZ33=Datos!$C$17,Datos!$D$17,IF(Evalucion!BZ33=Datos!$C$18,Datos!$D$18,IF(Evalucion!BZ33=Datos!$C$19,Datos!$D$19,"=")))))</f>
        <v>1</v>
      </c>
      <c r="BZ35">
        <f>IF(Evalucion!CA33=Datos!$C$15,Datos!$D$15,IF(Evalucion!CA33=Datos!$C$16,Datos!$D$16,IF(Evalucion!CA33=Datos!$C$17,Datos!$D$17,IF(Evalucion!CA33=Datos!$C$18,Datos!$D$18,IF(Evalucion!CA33=Datos!$C$19,Datos!$D$19,"=")))))</f>
        <v>1</v>
      </c>
      <c r="CA35">
        <f>IF(Evalucion!CB33=Datos!$C$15,Datos!$D$15,IF(Evalucion!CB33=Datos!$C$16,Datos!$D$16,IF(Evalucion!CB33=Datos!$C$17,Datos!$D$17,IF(Evalucion!CB33=Datos!$C$18,Datos!$D$18,IF(Evalucion!CB33=Datos!$C$19,Datos!$D$19,"=")))))</f>
        <v>1</v>
      </c>
      <c r="CB35">
        <f>IF(Evalucion!CC33=Datos!$C$15,Datos!$D$15,IF(Evalucion!CC33=Datos!$C$16,Datos!$D$16,IF(Evalucion!CC33=Datos!$C$17,Datos!$D$17,IF(Evalucion!CC33=Datos!$C$18,Datos!$D$18,IF(Evalucion!CC33=Datos!$C$19,Datos!$D$19,"=")))))</f>
        <v>5</v>
      </c>
      <c r="CC35">
        <f>IF(Evalucion!CD33=Datos!$C$15,Datos!$D$15,IF(Evalucion!CD33=Datos!$C$16,Datos!$D$16,IF(Evalucion!CD33=Datos!$C$17,Datos!$D$17,IF(Evalucion!CD33=Datos!$C$18,Datos!$D$18,IF(Evalucion!CD33=Datos!$C$19,Datos!$D$19,"=")))))</f>
        <v>5</v>
      </c>
      <c r="CD35">
        <f>IF(Evalucion!CE33=Datos!$C$15,Datos!$D$15,IF(Evalucion!CE33=Datos!$C$16,Datos!$D$16,IF(Evalucion!CE33=Datos!$C$17,Datos!$D$17,IF(Evalucion!CE33=Datos!$C$18,Datos!$D$18,IF(Evalucion!CE33=Datos!$C$19,Datos!$D$19,"=")))))</f>
        <v>5</v>
      </c>
      <c r="CE35">
        <f>IF(Evalucion!CF33=Datos!$C$15,Datos!$D$15,IF(Evalucion!CF33=Datos!$C$16,Datos!$D$16,IF(Evalucion!CF33=Datos!$C$17,Datos!$D$17,IF(Evalucion!CF33=Datos!$C$18,Datos!$D$18,IF(Evalucion!CF33=Datos!$C$19,Datos!$D$19,"=")))))</f>
        <v>1</v>
      </c>
      <c r="CF35">
        <f>IF(Evalucion!CG33=Datos!$C$15,Datos!$D$15,IF(Evalucion!CG33=Datos!$C$16,Datos!$D$16,IF(Evalucion!CG33=Datos!$C$17,Datos!$D$17,IF(Evalucion!CG33=Datos!$C$18,Datos!$D$18,IF(Evalucion!CG33=Datos!$C$19,Datos!$D$19,"=")))))</f>
        <v>1</v>
      </c>
      <c r="CG35">
        <f>IF(Evalucion!CH33=Datos!$C$15,Datos!$D$15,IF(Evalucion!CH33=Datos!$C$16,Datos!$D$16,IF(Evalucion!CH33=Datos!$C$17,Datos!$D$17,IF(Evalucion!CH33=Datos!$C$18,Datos!$D$18,IF(Evalucion!CH33=Datos!$C$19,Datos!$D$19,"=")))))</f>
        <v>1</v>
      </c>
      <c r="CH35">
        <f>IF(Evalucion!CI33=Datos!$C$15,Datos!$D$15,IF(Evalucion!CI33=Datos!$C$16,Datos!$D$16,IF(Evalucion!CI33=Datos!$C$17,Datos!$D$17,IF(Evalucion!CI33=Datos!$C$18,Datos!$D$18,IF(Evalucion!CI33=Datos!$C$19,Datos!$D$19,"=")))))</f>
        <v>1</v>
      </c>
      <c r="CI35">
        <f>IF(Evalucion!CJ33=Datos!$C$15,Datos!$D$15,IF(Evalucion!CJ33=Datos!$C$16,Datos!$D$16,IF(Evalucion!CJ33=Datos!$C$17,Datos!$D$17,IF(Evalucion!CJ33=Datos!$C$18,Datos!$D$18,IF(Evalucion!CJ33=Datos!$C$19,Datos!$D$19,"=")))))</f>
        <v>1</v>
      </c>
      <c r="CJ35">
        <f>IF(Evalucion!CK33=Datos!$C$15,Datos!$D$15,IF(Evalucion!CK33=Datos!$C$16,Datos!$D$16,IF(Evalucion!CK33=Datos!$C$17,Datos!$D$17,IF(Evalucion!CK33=Datos!$C$18,Datos!$D$18,IF(Evalucion!CK33=Datos!$C$19,Datos!$D$19,"=")))))</f>
        <v>5</v>
      </c>
      <c r="CK35">
        <f>IF(Evalucion!CL33=Datos!$C$15,Datos!$D$15,IF(Evalucion!CL33=Datos!$C$16,Datos!$D$16,IF(Evalucion!CL33=Datos!$C$17,Datos!$D$17,IF(Evalucion!CL33=Datos!$C$18,Datos!$D$18,IF(Evalucion!CL33=Datos!$C$19,Datos!$D$19,"=")))))</f>
        <v>5</v>
      </c>
      <c r="CL35">
        <f>IF(Evalucion!CM33=Datos!$C$15,Datos!$D$15,IF(Evalucion!CM33=Datos!$C$16,Datos!$D$16,IF(Evalucion!CM33=Datos!$C$17,Datos!$D$17,IF(Evalucion!CM33=Datos!$C$18,Datos!$D$18,IF(Evalucion!CM33=Datos!$C$19,Datos!$D$19,"=")))))</f>
        <v>5</v>
      </c>
      <c r="CM35">
        <f>IF(Evalucion!CN33=Datos!$C$15,Datos!$D$15,IF(Evalucion!CN33=Datos!$C$16,Datos!$D$16,IF(Evalucion!CN33=Datos!$C$17,Datos!$D$17,IF(Evalucion!CN33=Datos!$C$18,Datos!$D$18,IF(Evalucion!CN33=Datos!$C$19,Datos!$D$19,"=")))))</f>
        <v>3</v>
      </c>
      <c r="CN35">
        <f>IF(Evalucion!CO33=Datos!$C$15,Datos!$D$15,IF(Evalucion!CO33=Datos!$C$16,Datos!$D$16,IF(Evalucion!CO33=Datos!$C$17,Datos!$D$17,IF(Evalucion!CO33=Datos!$C$18,Datos!$D$18,IF(Evalucion!CO33=Datos!$C$19,Datos!$D$19,"=")))))</f>
        <v>5</v>
      </c>
      <c r="CO35">
        <f>IF(Evalucion!CP33=Datos!$C$15,Datos!$D$15,IF(Evalucion!CP33=Datos!$C$16,Datos!$D$16,IF(Evalucion!CP33=Datos!$C$17,Datos!$D$17,IF(Evalucion!CP33=Datos!$C$18,Datos!$D$18,IF(Evalucion!CP33=Datos!$C$19,Datos!$D$19,"=")))))</f>
        <v>5</v>
      </c>
      <c r="CP35">
        <f>IF(Evalucion!CQ33=Datos!$C$15,Datos!$D$15,IF(Evalucion!CQ33=Datos!$C$16,Datos!$D$16,IF(Evalucion!CQ33=Datos!$C$17,Datos!$D$17,IF(Evalucion!CQ33=Datos!$C$18,Datos!$D$18,IF(Evalucion!CQ33=Datos!$C$19,Datos!$D$19,"=")))))</f>
        <v>1</v>
      </c>
      <c r="CQ35">
        <f>IF(Evalucion!CR33=Datos!$C$15,Datos!$D$15,IF(Evalucion!CR33=Datos!$C$16,Datos!$D$16,IF(Evalucion!CR33=Datos!$C$17,Datos!$D$17,IF(Evalucion!CR33=Datos!$C$18,Datos!$D$18,IF(Evalucion!CR33=Datos!$C$19,Datos!$D$19,"=")))))</f>
        <v>1</v>
      </c>
      <c r="CR35">
        <f>IF(Evalucion!CS33=Datos!$C$15,Datos!$D$15,IF(Evalucion!CS33=Datos!$C$16,Datos!$D$16,IF(Evalucion!CS33=Datos!$C$17,Datos!$D$17,IF(Evalucion!CS33=Datos!$C$18,Datos!$D$18,IF(Evalucion!CS33=Datos!$C$19,Datos!$D$19,"=")))))</f>
        <v>1</v>
      </c>
      <c r="CS35">
        <f>IF(Evalucion!CT33=Datos!$C$15,Datos!$D$15,IF(Evalucion!CT33=Datos!$C$16,Datos!$D$16,IF(Evalucion!CT33=Datos!$C$17,Datos!$D$17,IF(Evalucion!CT33=Datos!$C$18,Datos!$D$18,IF(Evalucion!CT33=Datos!$C$19,Datos!$D$19,"=")))))</f>
        <v>1</v>
      </c>
      <c r="CT35">
        <f>IF(Evalucion!CU33=Datos!$C$15,Datos!$D$15,IF(Evalucion!CU33=Datos!$C$16,Datos!$D$16,IF(Evalucion!CU33=Datos!$C$17,Datos!$D$17,IF(Evalucion!CU33=Datos!$C$18,Datos!$D$18,IF(Evalucion!CU33=Datos!$C$19,Datos!$D$19,"=")))))</f>
        <v>1</v>
      </c>
      <c r="CU35">
        <f>IF(Evalucion!CV33=Datos!$C$15,Datos!$D$15,IF(Evalucion!CV33=Datos!$C$16,Datos!$D$16,IF(Evalucion!CV33=Datos!$C$17,Datos!$D$17,IF(Evalucion!CV33=Datos!$C$18,Datos!$D$18,IF(Evalucion!CV33=Datos!$C$19,Datos!$D$19,"=")))))</f>
        <v>1</v>
      </c>
      <c r="CV35">
        <f>IF(Evalucion!CW33=Datos!$C$15,Datos!$D$15,IF(Evalucion!CW33=Datos!$C$16,Datos!$D$16,IF(Evalucion!CW33=Datos!$C$17,Datos!$D$17,IF(Evalucion!CW33=Datos!$C$18,Datos!$D$18,IF(Evalucion!CW33=Datos!$C$19,Datos!$D$19,"=")))))</f>
        <v>5</v>
      </c>
      <c r="CW35">
        <f>IF(Evalucion!CX33=Datos!$C$15,Datos!$D$15,IF(Evalucion!CX33=Datos!$C$16,Datos!$D$16,IF(Evalucion!CX33=Datos!$C$17,Datos!$D$17,IF(Evalucion!CX33=Datos!$C$18,Datos!$D$18,IF(Evalucion!CX33=Datos!$C$19,Datos!$D$19,"=")))))</f>
        <v>3</v>
      </c>
      <c r="CX35">
        <f>IF(Evalucion!CY33=Datos!$C$15,Datos!$D$15,IF(Evalucion!CY33=Datos!$C$16,Datos!$D$16,IF(Evalucion!CY33=Datos!$C$17,Datos!$D$17,IF(Evalucion!CY33=Datos!$C$18,Datos!$D$18,IF(Evalucion!CY33=Datos!$C$19,Datos!$D$19,"=")))))</f>
        <v>5</v>
      </c>
      <c r="CY35">
        <f>IF(Evalucion!CZ33=Datos!$C$15,Datos!$D$15,IF(Evalucion!CZ33=Datos!$C$16,Datos!$D$16,IF(Evalucion!CZ33=Datos!$C$17,Datos!$D$17,IF(Evalucion!CZ33=Datos!$C$18,Datos!$D$18,IF(Evalucion!CZ33=Datos!$C$19,Datos!$D$19,"=")))))</f>
        <v>3</v>
      </c>
      <c r="CZ35">
        <f>IF(Evalucion!DA33=Datos!$C$15,Datos!$D$15,IF(Evalucion!DA33=Datos!$C$16,Datos!$D$16,IF(Evalucion!DA33=Datos!$C$17,Datos!$D$17,IF(Evalucion!DA33=Datos!$C$18,Datos!$D$18,IF(Evalucion!DA33=Datos!$C$19,Datos!$D$19,"=")))))</f>
        <v>5</v>
      </c>
      <c r="DA35">
        <f>IF(Evalucion!DB33=Datos!$C$15,Datos!$D$15,IF(Evalucion!DB33=Datos!$C$16,Datos!$D$16,IF(Evalucion!DB33=Datos!$C$17,Datos!$D$17,IF(Evalucion!DB33=Datos!$C$18,Datos!$D$18,IF(Evalucion!DB33=Datos!$C$19,Datos!$D$19,"=")))))</f>
        <v>3</v>
      </c>
      <c r="DB35">
        <f>IF(Evalucion!DC33=Datos!$C$15,Datos!$D$15,IF(Evalucion!DC33=Datos!$C$16,Datos!$D$16,IF(Evalucion!DC33=Datos!$C$17,Datos!$D$17,IF(Evalucion!DC33=Datos!$C$18,Datos!$D$18,IF(Evalucion!DC33=Datos!$C$19,Datos!$D$19,"=")))))</f>
        <v>5</v>
      </c>
      <c r="DC35">
        <f>IF(Evalucion!DD33=Datos!$C$15,Datos!$D$15,IF(Evalucion!DD33=Datos!$C$16,Datos!$D$16,IF(Evalucion!DD33=Datos!$C$17,Datos!$D$17,IF(Evalucion!DD33=Datos!$C$18,Datos!$D$18,IF(Evalucion!DD33=Datos!$C$19,Datos!$D$19,"=")))))</f>
        <v>5</v>
      </c>
      <c r="DD35">
        <f>IF(Evalucion!DE33=Datos!$C$15,Datos!$D$15,IF(Evalucion!DE33=Datos!$C$16,Datos!$D$16,IF(Evalucion!DE33=Datos!$C$17,Datos!$D$17,IF(Evalucion!DE33=Datos!$C$18,Datos!$D$18,IF(Evalucion!DE33=Datos!$C$19,Datos!$D$19,"=")))))</f>
        <v>1</v>
      </c>
      <c r="DE35">
        <f>IF(Evalucion!DF33=Datos!$C$15,Datos!$D$15,IF(Evalucion!DF33=Datos!$C$16,Datos!$D$16,IF(Evalucion!DF33=Datos!$C$17,Datos!$D$17,IF(Evalucion!DF33=Datos!$C$18,Datos!$D$18,IF(Evalucion!DF33=Datos!$C$19,Datos!$D$19,"=")))))</f>
        <v>1</v>
      </c>
      <c r="DF35">
        <f>IF(Evalucion!DG33=Datos!$C$15,Datos!$D$15,IF(Evalucion!DG33=Datos!$C$16,Datos!$D$16,IF(Evalucion!DG33=Datos!$C$17,Datos!$D$17,IF(Evalucion!DG33=Datos!$C$18,Datos!$D$18,IF(Evalucion!DG33=Datos!$C$19,Datos!$D$19,"=")))))</f>
        <v>5</v>
      </c>
      <c r="DG35">
        <f>IF(Evalucion!DH33=Datos!$C$15,Datos!$D$15,IF(Evalucion!DH33=Datos!$C$16,Datos!$D$16,IF(Evalucion!DH33=Datos!$C$17,Datos!$D$17,IF(Evalucion!DH33=Datos!$C$18,Datos!$D$18,IF(Evalucion!DH33=Datos!$C$19,Datos!$D$19,"=")))))</f>
        <v>3</v>
      </c>
      <c r="DH35">
        <f>IF(Evalucion!DI33=Datos!$C$15,Datos!$D$15,IF(Evalucion!DI33=Datos!$C$16,Datos!$D$16,IF(Evalucion!DI33=Datos!$C$17,Datos!$D$17,IF(Evalucion!DI33=Datos!$C$18,Datos!$D$18,IF(Evalucion!DI33=Datos!$C$19,Datos!$D$19,"=")))))</f>
        <v>1</v>
      </c>
      <c r="DI35">
        <f>IF(Evalucion!DJ33=Datos!$C$15,Datos!$D$15,IF(Evalucion!DJ33=Datos!$C$16,Datos!$D$16,IF(Evalucion!DJ33=Datos!$C$17,Datos!$D$17,IF(Evalucion!DJ33=Datos!$C$18,Datos!$D$18,IF(Evalucion!DJ33=Datos!$C$19,Datos!$D$19,"=")))))</f>
        <v>1</v>
      </c>
      <c r="DJ35">
        <f>IF(Evalucion!DK33=Datos!$C$15,Datos!$D$15,IF(Evalucion!DK33=Datos!$C$16,Datos!$D$16,IF(Evalucion!DK33=Datos!$C$17,Datos!$D$17,IF(Evalucion!DK33=Datos!$C$18,Datos!$D$18,IF(Evalucion!DK33=Datos!$C$19,Datos!$D$19,"=")))))</f>
        <v>1</v>
      </c>
      <c r="DK35">
        <f>IF(Evalucion!DL33=Datos!$C$15,Datos!$D$15,IF(Evalucion!DL33=Datos!$C$16,Datos!$D$16,IF(Evalucion!DL33=Datos!$C$17,Datos!$D$17,IF(Evalucion!DL33=Datos!$C$18,Datos!$D$18,IF(Evalucion!DL33=Datos!$C$19,Datos!$D$19,"=")))))</f>
        <v>1</v>
      </c>
      <c r="DL35">
        <f>IF(Evalucion!DM33=Datos!$C$15,Datos!$D$15,IF(Evalucion!DM33=Datos!$C$16,Datos!$D$16,IF(Evalucion!DM33=Datos!$C$17,Datos!$D$17,IF(Evalucion!DM33=Datos!$C$18,Datos!$D$18,IF(Evalucion!DM33=Datos!$C$19,Datos!$D$19,"=")))))</f>
        <v>1</v>
      </c>
      <c r="DM35">
        <f>IF(Evalucion!DN33=Datos!$C$15,Datos!$D$15,IF(Evalucion!DN33=Datos!$C$16,Datos!$D$16,IF(Evalucion!DN33=Datos!$C$17,Datos!$D$17,IF(Evalucion!DN33=Datos!$C$18,Datos!$D$18,IF(Evalucion!DN33=Datos!$C$19,Datos!$D$19,"=")))))</f>
        <v>1</v>
      </c>
      <c r="DN35">
        <f>IF(Evalucion!DO33=Datos!$C$15,Datos!$D$15,IF(Evalucion!DO33=Datos!$C$16,Datos!$D$16,IF(Evalucion!DO33=Datos!$C$17,Datos!$D$17,IF(Evalucion!DO33=Datos!$C$18,Datos!$D$18,IF(Evalucion!DO33=Datos!$C$19,Datos!$D$19,"=")))))</f>
        <v>5</v>
      </c>
      <c r="DO35">
        <f>IF(Evalucion!DP33=Datos!$C$15,Datos!$D$15,IF(Evalucion!DP33=Datos!$C$16,Datos!$D$16,IF(Evalucion!DP33=Datos!$C$17,Datos!$D$17,IF(Evalucion!DP33=Datos!$C$18,Datos!$D$18,IF(Evalucion!DP33=Datos!$C$19,Datos!$D$19,"=")))))</f>
        <v>1</v>
      </c>
      <c r="DP35">
        <f>IF(Evalucion!DQ33=Datos!$C$15,Datos!$D$15,IF(Evalucion!DQ33=Datos!$C$16,Datos!$D$16,IF(Evalucion!DQ33=Datos!$C$17,Datos!$D$17,IF(Evalucion!DQ33=Datos!$C$18,Datos!$D$18,IF(Evalucion!DQ33=Datos!$C$19,Datos!$D$19,"=")))))</f>
        <v>5</v>
      </c>
      <c r="DQ35">
        <f>IF(Evalucion!DR33=Datos!$C$15,Datos!$D$15,IF(Evalucion!DR33=Datos!$C$16,Datos!$D$16,IF(Evalucion!DR33=Datos!$C$17,Datos!$D$17,IF(Evalucion!DR33=Datos!$C$18,Datos!$D$18,IF(Evalucion!DR33=Datos!$C$19,Datos!$D$19,"=")))))</f>
        <v>3</v>
      </c>
      <c r="DR35">
        <f>IF(Evalucion!DS33=Datos!$C$15,Datos!$D$15,IF(Evalucion!DS33=Datos!$C$16,Datos!$D$16,IF(Evalucion!DS33=Datos!$C$17,Datos!$D$17,IF(Evalucion!DS33=Datos!$C$18,Datos!$D$18,IF(Evalucion!DS33=Datos!$C$19,Datos!$D$19,"=")))))</f>
        <v>1</v>
      </c>
      <c r="DS35">
        <f>IF(Evalucion!DT33=Datos!$C$15,Datos!$D$15,IF(Evalucion!DT33=Datos!$C$16,Datos!$D$16,IF(Evalucion!DT33=Datos!$C$17,Datos!$D$17,IF(Evalucion!DT33=Datos!$C$18,Datos!$D$18,IF(Evalucion!DT33=Datos!$C$19,Datos!$D$19,"=")))))</f>
        <v>1</v>
      </c>
      <c r="DT35">
        <f>IF(Evalucion!DU33=Datos!$C$15,Datos!$D$15,IF(Evalucion!DU33=Datos!$C$16,Datos!$D$16,IF(Evalucion!DU33=Datos!$C$17,Datos!$D$17,IF(Evalucion!DU33=Datos!$C$18,Datos!$D$18,IF(Evalucion!DU33=Datos!$C$19,Datos!$D$19,"=")))))</f>
        <v>5</v>
      </c>
      <c r="DU35">
        <f>IF(Evalucion!DV33=Datos!$C$15,Datos!$D$15,IF(Evalucion!DV33=Datos!$C$16,Datos!$D$16,IF(Evalucion!DV33=Datos!$C$17,Datos!$D$17,IF(Evalucion!DV33=Datos!$C$18,Datos!$D$18,IF(Evalucion!DV33=Datos!$C$19,Datos!$D$19,"=")))))</f>
        <v>3</v>
      </c>
      <c r="DV35">
        <f>IF(Evalucion!DW33=Datos!$C$15,Datos!$D$15,IF(Evalucion!DW33=Datos!$C$16,Datos!$D$16,IF(Evalucion!DW33=Datos!$C$17,Datos!$D$17,IF(Evalucion!DW33=Datos!$C$18,Datos!$D$18,IF(Evalucion!DW33=Datos!$C$19,Datos!$D$19,"=")))))</f>
        <v>1</v>
      </c>
      <c r="DW35">
        <f>IF(Evalucion!DX33=Datos!$C$15,Datos!$D$15,IF(Evalucion!DX33=Datos!$C$16,Datos!$D$16,IF(Evalucion!DX33=Datos!$C$17,Datos!$D$17,IF(Evalucion!DX33=Datos!$C$18,Datos!$D$18,IF(Evalucion!DX33=Datos!$C$19,Datos!$D$19,"=")))))</f>
        <v>1</v>
      </c>
      <c r="DX35">
        <f>IF(Evalucion!DY33=Datos!$C$15,Datos!$D$15,IF(Evalucion!DY33=Datos!$C$16,Datos!$D$16,IF(Evalucion!DY33=Datos!$C$17,Datos!$D$17,IF(Evalucion!DY33=Datos!$C$18,Datos!$D$18,IF(Evalucion!DY33=Datos!$C$19,Datos!$D$19,"=")))))</f>
        <v>1</v>
      </c>
      <c r="DY35">
        <f>IF(Evalucion!DZ33=Datos!$C$15,Datos!$D$15,IF(Evalucion!DZ33=Datos!$C$16,Datos!$D$16,IF(Evalucion!DZ33=Datos!$C$17,Datos!$D$17,IF(Evalucion!DZ33=Datos!$C$18,Datos!$D$18,IF(Evalucion!DZ33=Datos!$C$19,Datos!$D$19,"=")))))</f>
        <v>1</v>
      </c>
      <c r="DZ35">
        <f>IF(Evalucion!EA33=Datos!$C$15,Datos!$D$15,IF(Evalucion!EA33=Datos!$C$16,Datos!$D$16,IF(Evalucion!EA33=Datos!$C$17,Datos!$D$17,IF(Evalucion!EA33=Datos!$C$18,Datos!$D$18,IF(Evalucion!EA33=Datos!$C$19,Datos!$D$19,"=")))))</f>
        <v>5</v>
      </c>
      <c r="EA35">
        <f>IF(Evalucion!EB33=Datos!$C$15,Datos!$D$15,IF(Evalucion!EB33=Datos!$C$16,Datos!$D$16,IF(Evalucion!EB33=Datos!$C$17,Datos!$D$17,IF(Evalucion!EB33=Datos!$C$18,Datos!$D$18,IF(Evalucion!EB33=Datos!$C$19,Datos!$D$19,"=")))))</f>
        <v>5</v>
      </c>
      <c r="EB35">
        <f>IF(Evalucion!EC33=Datos!$C$15,Datos!$D$15,IF(Evalucion!EC33=Datos!$C$16,Datos!$D$16,IF(Evalucion!EC33=Datos!$C$17,Datos!$D$17,IF(Evalucion!EC33=Datos!$C$18,Datos!$D$18,IF(Evalucion!EC33=Datos!$C$19,Datos!$D$19,"=")))))</f>
        <v>5</v>
      </c>
      <c r="EC35">
        <f>IF(Evalucion!ED33=Datos!$C$15,Datos!$D$15,IF(Evalucion!ED33=Datos!$C$16,Datos!$D$16,IF(Evalucion!ED33=Datos!$C$17,Datos!$D$17,IF(Evalucion!ED33=Datos!$C$18,Datos!$D$18,IF(Evalucion!ED33=Datos!$C$19,Datos!$D$19,"=")))))</f>
        <v>3</v>
      </c>
      <c r="ED35">
        <f>IF(Evalucion!EE33=Datos!$C$15,Datos!$D$15,IF(Evalucion!EE33=Datos!$C$16,Datos!$D$16,IF(Evalucion!EE33=Datos!$C$17,Datos!$D$17,IF(Evalucion!EE33=Datos!$C$18,Datos!$D$18,IF(Evalucion!EE33=Datos!$C$19,Datos!$D$19,"=")))))</f>
        <v>5</v>
      </c>
      <c r="EE35">
        <f>IF(Evalucion!EF33=Datos!$C$15,Datos!$D$15,IF(Evalucion!EF33=Datos!$C$16,Datos!$D$16,IF(Evalucion!EF33=Datos!$C$17,Datos!$D$17,IF(Evalucion!EF33=Datos!$C$18,Datos!$D$18,IF(Evalucion!EF33=Datos!$C$19,Datos!$D$19,"=")))))</f>
        <v>1</v>
      </c>
      <c r="EF35">
        <f>IF(Evalucion!EG33=Datos!$C$15,Datos!$D$15,IF(Evalucion!EG33=Datos!$C$16,Datos!$D$16,IF(Evalucion!EG33=Datos!$C$17,Datos!$D$17,IF(Evalucion!EG33=Datos!$C$18,Datos!$D$18,IF(Evalucion!EG33=Datos!$C$19,Datos!$D$19,"=")))))</f>
        <v>5</v>
      </c>
      <c r="EG35">
        <f>IF(Evalucion!EH33=Datos!$C$15,Datos!$D$15,IF(Evalucion!EH33=Datos!$C$16,Datos!$D$16,IF(Evalucion!EH33=Datos!$C$17,Datos!$D$17,IF(Evalucion!EH33=Datos!$C$18,Datos!$D$18,IF(Evalucion!EH33=Datos!$C$19,Datos!$D$19,"=")))))</f>
        <v>5</v>
      </c>
      <c r="EH35">
        <f>IF(Evalucion!EI33=Datos!$C$15,Datos!$D$15,IF(Evalucion!EI33=Datos!$C$16,Datos!$D$16,IF(Evalucion!EI33=Datos!$C$17,Datos!$D$17,IF(Evalucion!EI33=Datos!$C$18,Datos!$D$18,IF(Evalucion!EI33=Datos!$C$19,Datos!$D$19,"=")))))</f>
        <v>1</v>
      </c>
      <c r="EI35">
        <f>IF(Evalucion!EJ33=Datos!$C$15,Datos!$D$15,IF(Evalucion!EJ33=Datos!$C$16,Datos!$D$16,IF(Evalucion!EJ33=Datos!$C$17,Datos!$D$17,IF(Evalucion!EJ33=Datos!$C$18,Datos!$D$18,IF(Evalucion!EJ33=Datos!$C$19,Datos!$D$19,"=")))))</f>
        <v>1</v>
      </c>
      <c r="EJ35">
        <f>IF(Evalucion!EK33=Datos!$C$15,Datos!$D$15,IF(Evalucion!EK33=Datos!$C$16,Datos!$D$16,IF(Evalucion!EK33=Datos!$C$17,Datos!$D$17,IF(Evalucion!EK33=Datos!$C$18,Datos!$D$18,IF(Evalucion!EK33=Datos!$C$19,Datos!$D$19,"=")))))</f>
        <v>1</v>
      </c>
      <c r="EK35">
        <f>IF(Evalucion!EL33=Datos!$C$15,Datos!$D$15,IF(Evalucion!EL33=Datos!$C$16,Datos!$D$16,IF(Evalucion!EL33=Datos!$C$17,Datos!$D$17,IF(Evalucion!EL33=Datos!$C$18,Datos!$D$18,IF(Evalucion!EL33=Datos!$C$19,Datos!$D$19,"=")))))</f>
        <v>1</v>
      </c>
      <c r="EL35">
        <f>IF(Evalucion!EM33=Datos!$C$15,Datos!$D$15,IF(Evalucion!EM33=Datos!$C$16,Datos!$D$16,IF(Evalucion!EM33=Datos!$C$17,Datos!$D$17,IF(Evalucion!EM33=Datos!$C$18,Datos!$D$18,IF(Evalucion!EM33=Datos!$C$19,Datos!$D$19,"=")))))</f>
        <v>5</v>
      </c>
      <c r="EM35">
        <f>IF(Evalucion!EN33=Datos!$C$15,Datos!$D$15,IF(Evalucion!EN33=Datos!$C$16,Datos!$D$16,IF(Evalucion!EN33=Datos!$C$17,Datos!$D$17,IF(Evalucion!EN33=Datos!$C$18,Datos!$D$18,IF(Evalucion!EN33=Datos!$C$19,Datos!$D$19,"=")))))</f>
        <v>5</v>
      </c>
      <c r="EN35">
        <f>IF(Evalucion!EO33=Datos!$C$15,Datos!$D$15,IF(Evalucion!EO33=Datos!$C$16,Datos!$D$16,IF(Evalucion!EO33=Datos!$C$17,Datos!$D$17,IF(Evalucion!EO33=Datos!$C$18,Datos!$D$18,IF(Evalucion!EO33=Datos!$C$19,Datos!$D$19,"=")))))</f>
        <v>1</v>
      </c>
      <c r="EO35">
        <f>IF(Evalucion!EP33=Datos!$C$15,Datos!$D$15,IF(Evalucion!EP33=Datos!$C$16,Datos!$D$16,IF(Evalucion!EP33=Datos!$C$17,Datos!$D$17,IF(Evalucion!EP33=Datos!$C$18,Datos!$D$18,IF(Evalucion!EP33=Datos!$C$19,Datos!$D$19,"=")))))</f>
        <v>1</v>
      </c>
      <c r="EP35">
        <f>IF(Evalucion!EQ33=Datos!$C$15,Datos!$D$15,IF(Evalucion!EQ33=Datos!$C$16,Datos!$D$16,IF(Evalucion!EQ33=Datos!$C$17,Datos!$D$17,IF(Evalucion!EQ33=Datos!$C$18,Datos!$D$18,IF(Evalucion!EQ33=Datos!$C$19,Datos!$D$19,"=")))))</f>
        <v>1</v>
      </c>
      <c r="EQ35">
        <f>IF(Evalucion!ER33=Datos!$C$15,Datos!$D$15,IF(Evalucion!ER33=Datos!$C$16,Datos!$D$16,IF(Evalucion!ER33=Datos!$C$17,Datos!$D$17,IF(Evalucion!ER33=Datos!$C$18,Datos!$D$18,IF(Evalucion!ER33=Datos!$C$19,Datos!$D$19,"=")))))</f>
        <v>1</v>
      </c>
      <c r="ER35">
        <f>IF(Evalucion!ES33=Datos!$C$15,Datos!$D$15,IF(Evalucion!ES33=Datos!$C$16,Datos!$D$16,IF(Evalucion!ES33=Datos!$C$17,Datos!$D$17,IF(Evalucion!ES33=Datos!$C$18,Datos!$D$18,IF(Evalucion!ES33=Datos!$C$19,Datos!$D$19,"=")))))</f>
        <v>5</v>
      </c>
      <c r="ES35">
        <f>IF(Evalucion!ET33=Datos!$C$15,Datos!$D$15,IF(Evalucion!ET33=Datos!$C$16,Datos!$D$16,IF(Evalucion!ET33=Datos!$C$17,Datos!$D$17,IF(Evalucion!ET33=Datos!$C$18,Datos!$D$18,IF(Evalucion!ET33=Datos!$C$19,Datos!$D$19,"=")))))</f>
        <v>5</v>
      </c>
      <c r="ET35">
        <f>IF(Evalucion!EU33=Datos!$C$15,Datos!$D$15,IF(Evalucion!EU33=Datos!$C$16,Datos!$D$16,IF(Evalucion!EU33=Datos!$C$17,Datos!$D$17,IF(Evalucion!EU33=Datos!$C$18,Datos!$D$18,IF(Evalucion!EU33=Datos!$C$19,Datos!$D$19,"=")))))</f>
        <v>5</v>
      </c>
      <c r="EU35">
        <f>IF(Evalucion!EV33=Datos!$C$15,Datos!$D$15,IF(Evalucion!EV33=Datos!$C$16,Datos!$D$16,IF(Evalucion!EV33=Datos!$C$17,Datos!$D$17,IF(Evalucion!EV33=Datos!$C$18,Datos!$D$18,IF(Evalucion!EV33=Datos!$C$19,Datos!$D$19,"=")))))</f>
        <v>1</v>
      </c>
      <c r="EV35">
        <f>IF(Evalucion!EW33=Datos!$C$15,Datos!$D$15,IF(Evalucion!EW33=Datos!$C$16,Datos!$D$16,IF(Evalucion!EW33=Datos!$C$17,Datos!$D$17,IF(Evalucion!EW33=Datos!$C$18,Datos!$D$18,IF(Evalucion!EW33=Datos!$C$19,Datos!$D$19,"=")))))</f>
        <v>5</v>
      </c>
      <c r="EW35">
        <f>IF(Evalucion!EX33=Datos!$C$15,Datos!$D$15,IF(Evalucion!EX33=Datos!$C$16,Datos!$D$16,IF(Evalucion!EX33=Datos!$C$17,Datos!$D$17,IF(Evalucion!EX33=Datos!$C$18,Datos!$D$18,IF(Evalucion!EX33=Datos!$C$19,Datos!$D$19,"=")))))</f>
        <v>5</v>
      </c>
      <c r="EX35">
        <f>IF(Evalucion!EY33=Datos!$C$15,Datos!$D$15,IF(Evalucion!EY33=Datos!$C$16,Datos!$D$16,IF(Evalucion!EY33=Datos!$C$17,Datos!$D$17,IF(Evalucion!EY33=Datos!$C$18,Datos!$D$18,IF(Evalucion!EY33=Datos!$C$19,Datos!$D$19,"=")))))</f>
        <v>5</v>
      </c>
      <c r="EY35">
        <f>IF(Evalucion!EZ33=Datos!$C$15,Datos!$D$15,IF(Evalucion!EZ33=Datos!$C$16,Datos!$D$16,IF(Evalucion!EZ33=Datos!$C$17,Datos!$D$17,IF(Evalucion!EZ33=Datos!$C$18,Datos!$D$18,IF(Evalucion!EZ33=Datos!$C$19,Datos!$D$19,"=")))))</f>
        <v>1</v>
      </c>
      <c r="FA35">
        <f t="shared" si="8"/>
        <v>207</v>
      </c>
      <c r="FB35">
        <f t="shared" si="8"/>
        <v>161</v>
      </c>
      <c r="FC35" s="3">
        <f t="shared" si="4"/>
        <v>0.42933333333333334</v>
      </c>
      <c r="FD35" t="str">
        <f t="shared" si="0"/>
        <v>NO_Conf</v>
      </c>
      <c r="FF35">
        <f t="shared" si="5"/>
        <v>368</v>
      </c>
      <c r="FG35">
        <f t="shared" si="6"/>
        <v>0</v>
      </c>
    </row>
    <row r="36" spans="1:163" x14ac:dyDescent="0.2">
      <c r="A36">
        <f t="shared" si="7"/>
        <v>33</v>
      </c>
      <c r="B36" t="s">
        <v>275</v>
      </c>
      <c r="C36" t="s">
        <v>190</v>
      </c>
      <c r="D36" s="1">
        <v>43374</v>
      </c>
      <c r="E36">
        <f>IF(Evalucion!F34=Datos!$C$15,Datos!$D$15,IF(Evalucion!F34=Datos!$C$16,Datos!$D$16,IF(Evalucion!F34=Datos!$C$17,Datos!$D$17,IF(Evalucion!F34=Datos!$C$18,Datos!$D$18,IF(Evalucion!F34=Datos!$C$19,Datos!$D$19,"=")))))</f>
        <v>5</v>
      </c>
      <c r="F36">
        <f>IF(Evalucion!G34=Datos!$C$15,Datos!$D$15,IF(Evalucion!G34=Datos!$C$16,Datos!$D$16,IF(Evalucion!G34=Datos!$C$17,Datos!$D$17,IF(Evalucion!G34=Datos!$C$18,Datos!$D$18,IF(Evalucion!G34=Datos!$C$19,Datos!$D$19,"=")))))</f>
        <v>5</v>
      </c>
      <c r="G36">
        <f>IF(Evalucion!H34=Datos!$C$15,Datos!$D$15,IF(Evalucion!H34=Datos!$C$16,Datos!$D$16,IF(Evalucion!H34=Datos!$C$17,Datos!$D$17,IF(Evalucion!H34=Datos!$C$18,Datos!$D$18,IF(Evalucion!H34=Datos!$C$19,Datos!$D$19,"=")))))</f>
        <v>1</v>
      </c>
      <c r="H36">
        <f>IF(Evalucion!I34=Datos!$C$15,Datos!$D$15,IF(Evalucion!I34=Datos!$C$16,Datos!$D$16,IF(Evalucion!I34=Datos!$C$17,Datos!$D$17,IF(Evalucion!I34=Datos!$C$18,Datos!$D$18,IF(Evalucion!I34=Datos!$C$19,Datos!$D$19,"=")))))</f>
        <v>1</v>
      </c>
      <c r="I36">
        <f>IF(Evalucion!J34=Datos!$C$15,Datos!$D$15,IF(Evalucion!J34=Datos!$C$16,Datos!$D$16,IF(Evalucion!J34=Datos!$C$17,Datos!$D$17,IF(Evalucion!J34=Datos!$C$18,Datos!$D$18,IF(Evalucion!J34=Datos!$C$19,Datos!$D$19,"=")))))</f>
        <v>1</v>
      </c>
      <c r="J36">
        <f>IF(Evalucion!K34=Datos!$C$15,Datos!$D$15,IF(Evalucion!K34=Datos!$C$16,Datos!$D$16,IF(Evalucion!K34=Datos!$C$17,Datos!$D$17,IF(Evalucion!K34=Datos!$C$18,Datos!$D$18,IF(Evalucion!K34=Datos!$C$19,Datos!$D$19,"=")))))</f>
        <v>1</v>
      </c>
      <c r="K36">
        <f>IF(Evalucion!L34=Datos!$C$15,Datos!$D$15,IF(Evalucion!L34=Datos!$C$16,Datos!$D$16,IF(Evalucion!L34=Datos!$C$17,Datos!$D$17,IF(Evalucion!L34=Datos!$C$18,Datos!$D$18,IF(Evalucion!L34=Datos!$C$19,Datos!$D$19,"=")))))</f>
        <v>1</v>
      </c>
      <c r="L36">
        <f>IF(Evalucion!M34=Datos!$C$15,Datos!$D$15,IF(Evalucion!M34=Datos!$C$16,Datos!$D$16,IF(Evalucion!M34=Datos!$C$17,Datos!$D$17,IF(Evalucion!M34=Datos!$C$18,Datos!$D$18,IF(Evalucion!M34=Datos!$C$19,Datos!$D$19,"=")))))</f>
        <v>5</v>
      </c>
      <c r="M36">
        <f>IF(Evalucion!N34=Datos!$C$15,Datos!$D$15,IF(Evalucion!N34=Datos!$C$16,Datos!$D$16,IF(Evalucion!N34=Datos!$C$17,Datos!$D$17,IF(Evalucion!N34=Datos!$C$18,Datos!$D$18,IF(Evalucion!N34=Datos!$C$19,Datos!$D$19,"=")))))</f>
        <v>5</v>
      </c>
      <c r="N36">
        <f>IF(Evalucion!O34=Datos!$C$15,Datos!$D$15,IF(Evalucion!O34=Datos!$C$16,Datos!$D$16,IF(Evalucion!O34=Datos!$C$17,Datos!$D$17,IF(Evalucion!O34=Datos!$C$18,Datos!$D$18,IF(Evalucion!O34=Datos!$C$19,Datos!$D$19,"=")))))</f>
        <v>3</v>
      </c>
      <c r="O36">
        <f>IF(Evalucion!P34=Datos!$C$15,Datos!$D$15,IF(Evalucion!P34=Datos!$C$16,Datos!$D$16,IF(Evalucion!P34=Datos!$C$17,Datos!$D$17,IF(Evalucion!P34=Datos!$C$18,Datos!$D$18,IF(Evalucion!P34=Datos!$C$19,Datos!$D$19,"=")))))</f>
        <v>1</v>
      </c>
      <c r="P36">
        <f>IF(Evalucion!Q34=Datos!$C$15,Datos!$D$15,IF(Evalucion!Q34=Datos!$C$16,Datos!$D$16,IF(Evalucion!Q34=Datos!$C$17,Datos!$D$17,IF(Evalucion!Q34=Datos!$C$18,Datos!$D$18,IF(Evalucion!Q34=Datos!$C$19,Datos!$D$19,"=")))))</f>
        <v>1</v>
      </c>
      <c r="Q36">
        <f>IF(Evalucion!R34=Datos!$C$15,Datos!$D$15,IF(Evalucion!R34=Datos!$C$16,Datos!$D$16,IF(Evalucion!R34=Datos!$C$17,Datos!$D$17,IF(Evalucion!R34=Datos!$C$18,Datos!$D$18,IF(Evalucion!R34=Datos!$C$19,Datos!$D$19,"=")))))</f>
        <v>5</v>
      </c>
      <c r="R36">
        <f>IF(Evalucion!S34=Datos!$C$15,Datos!$D$15,IF(Evalucion!S34=Datos!$C$16,Datos!$D$16,IF(Evalucion!S34=Datos!$C$17,Datos!$D$17,IF(Evalucion!S34=Datos!$C$18,Datos!$D$18,IF(Evalucion!S34=Datos!$C$19,Datos!$D$19,"=")))))</f>
        <v>1</v>
      </c>
      <c r="S36">
        <f>IF(Evalucion!T34=Datos!$C$15,Datos!$D$15,IF(Evalucion!T34=Datos!$C$16,Datos!$D$16,IF(Evalucion!T34=Datos!$C$17,Datos!$D$17,IF(Evalucion!T34=Datos!$C$18,Datos!$D$18,IF(Evalucion!T34=Datos!$C$19,Datos!$D$19,"=")))))</f>
        <v>1</v>
      </c>
      <c r="T36">
        <f>IF(Evalucion!U34=Datos!$C$15,Datos!$D$15,IF(Evalucion!U34=Datos!$C$16,Datos!$D$16,IF(Evalucion!U34=Datos!$C$17,Datos!$D$17,IF(Evalucion!U34=Datos!$C$18,Datos!$D$18,IF(Evalucion!U34=Datos!$C$19,Datos!$D$19,"=")))))</f>
        <v>1</v>
      </c>
      <c r="U36">
        <f>IF(Evalucion!V34=Datos!$C$15,Datos!$D$15,IF(Evalucion!V34=Datos!$C$16,Datos!$D$16,IF(Evalucion!V34=Datos!$C$17,Datos!$D$17,IF(Evalucion!V34=Datos!$C$18,Datos!$D$18,IF(Evalucion!V34=Datos!$C$19,Datos!$D$19,"=")))))</f>
        <v>1</v>
      </c>
      <c r="V36">
        <f>IF(Evalucion!W34=Datos!$C$15,Datos!$D$15,IF(Evalucion!W34=Datos!$C$16,Datos!$D$16,IF(Evalucion!W34=Datos!$C$17,Datos!$D$17,IF(Evalucion!W34=Datos!$C$18,Datos!$D$18,IF(Evalucion!W34=Datos!$C$19,Datos!$D$19,"=")))))</f>
        <v>1</v>
      </c>
      <c r="W36">
        <f>IF(Evalucion!X34=Datos!$C$15,Datos!$D$15,IF(Evalucion!X34=Datos!$C$16,Datos!$D$16,IF(Evalucion!X34=Datos!$C$17,Datos!$D$17,IF(Evalucion!X34=Datos!$C$18,Datos!$D$18,IF(Evalucion!X34=Datos!$C$19,Datos!$D$19,"=")))))</f>
        <v>1</v>
      </c>
      <c r="X36">
        <f>IF(Evalucion!Y34=Datos!$C$15,Datos!$D$15,IF(Evalucion!Y34=Datos!$C$16,Datos!$D$16,IF(Evalucion!Y34=Datos!$C$17,Datos!$D$17,IF(Evalucion!Y34=Datos!$C$18,Datos!$D$18,IF(Evalucion!Y34=Datos!$C$19,Datos!$D$19,"=")))))</f>
        <v>1</v>
      </c>
      <c r="Y36">
        <f>IF(Evalucion!Z34=Datos!$C$15,Datos!$D$15,IF(Evalucion!Z34=Datos!$C$16,Datos!$D$16,IF(Evalucion!Z34=Datos!$C$17,Datos!$D$17,IF(Evalucion!Z34=Datos!$C$18,Datos!$D$18,IF(Evalucion!Z34=Datos!$C$19,Datos!$D$19,"=")))))</f>
        <v>1</v>
      </c>
      <c r="Z36">
        <f>IF(Evalucion!AA34=Datos!$C$15,Datos!$D$15,IF(Evalucion!AA34=Datos!$C$16,Datos!$D$16,IF(Evalucion!AA34=Datos!$C$17,Datos!$D$17,IF(Evalucion!AA34=Datos!$C$18,Datos!$D$18,IF(Evalucion!AA34=Datos!$C$19,Datos!$D$19,"=")))))</f>
        <v>1</v>
      </c>
      <c r="AA36">
        <f>IF(Evalucion!AB34=Datos!$C$15,Datos!$D$15,IF(Evalucion!AB34=Datos!$C$16,Datos!$D$16,IF(Evalucion!AB34=Datos!$C$17,Datos!$D$17,IF(Evalucion!AB34=Datos!$C$18,Datos!$D$18,IF(Evalucion!AB34=Datos!$C$19,Datos!$D$19,"=")))))</f>
        <v>1</v>
      </c>
      <c r="AB36">
        <f>IF(Evalucion!AC34=Datos!$C$15,Datos!$D$15,IF(Evalucion!AC34=Datos!$C$16,Datos!$D$16,IF(Evalucion!AC34=Datos!$C$17,Datos!$D$17,IF(Evalucion!AC34=Datos!$C$18,Datos!$D$18,IF(Evalucion!AC34=Datos!$C$19,Datos!$D$19,"=")))))</f>
        <v>1</v>
      </c>
      <c r="AC36">
        <f>IF(Evalucion!AD34=Datos!$C$15,Datos!$D$15,IF(Evalucion!AD34=Datos!$C$16,Datos!$D$16,IF(Evalucion!AD34=Datos!$C$17,Datos!$D$17,IF(Evalucion!AD34=Datos!$C$18,Datos!$D$18,IF(Evalucion!AD34=Datos!$C$19,Datos!$D$19,"=")))))</f>
        <v>5</v>
      </c>
      <c r="AD36">
        <f>IF(Evalucion!AE34=Datos!$C$15,Datos!$D$15,IF(Evalucion!AE34=Datos!$C$16,Datos!$D$16,IF(Evalucion!AE34=Datos!$C$17,Datos!$D$17,IF(Evalucion!AE34=Datos!$C$18,Datos!$D$18,IF(Evalucion!AE34=Datos!$C$19,Datos!$D$19,"=")))))</f>
        <v>3</v>
      </c>
      <c r="AE36">
        <f>IF(Evalucion!AF34=Datos!$C$15,Datos!$D$15,IF(Evalucion!AF34=Datos!$C$16,Datos!$D$16,IF(Evalucion!AF34=Datos!$C$17,Datos!$D$17,IF(Evalucion!AF34=Datos!$C$18,Datos!$D$18,IF(Evalucion!AF34=Datos!$C$19,Datos!$D$19,"=")))))</f>
        <v>5</v>
      </c>
      <c r="AF36">
        <f>IF(Evalucion!AG34=Datos!$C$15,Datos!$D$15,IF(Evalucion!AG34=Datos!$C$16,Datos!$D$16,IF(Evalucion!AG34=Datos!$C$17,Datos!$D$17,IF(Evalucion!AG34=Datos!$C$18,Datos!$D$18,IF(Evalucion!AG34=Datos!$C$19,Datos!$D$19,"=")))))</f>
        <v>1</v>
      </c>
      <c r="AO36">
        <f>IF(Evalucion!AP34=Datos!$C$15,Datos!$D$15,IF(Evalucion!AP34=Datos!$C$16,Datos!$D$16,IF(Evalucion!AP34=Datos!$C$17,Datos!$D$17,IF(Evalucion!AP34=Datos!$C$18,Datos!$D$18,IF(Evalucion!AP34=Datos!$C$19,Datos!$D$19,"=")))))</f>
        <v>5</v>
      </c>
      <c r="AP36">
        <f>IF(Evalucion!AQ34=Datos!$C$15,Datos!$D$15,IF(Evalucion!AQ34=Datos!$C$16,Datos!$D$16,IF(Evalucion!AQ34=Datos!$C$17,Datos!$D$17,IF(Evalucion!AQ34=Datos!$C$18,Datos!$D$18,IF(Evalucion!AQ34=Datos!$C$19,Datos!$D$19,"=")))))</f>
        <v>3</v>
      </c>
      <c r="AQ36">
        <f>IF(Evalucion!AR34=Datos!$C$15,Datos!$D$15,IF(Evalucion!AR34=Datos!$C$16,Datos!$D$16,IF(Evalucion!AR34=Datos!$C$17,Datos!$D$17,IF(Evalucion!AR34=Datos!$C$18,Datos!$D$18,IF(Evalucion!AR34=Datos!$C$19,Datos!$D$19,"=")))))</f>
        <v>1</v>
      </c>
      <c r="AR36">
        <f>IF(Evalucion!AS34=Datos!$C$15,Datos!$D$15,IF(Evalucion!AS34=Datos!$C$16,Datos!$D$16,IF(Evalucion!AS34=Datos!$C$17,Datos!$D$17,IF(Evalucion!AS34=Datos!$C$18,Datos!$D$18,IF(Evalucion!AS34=Datos!$C$19,Datos!$D$19,"=")))))</f>
        <v>1</v>
      </c>
      <c r="AS36">
        <f>IF(Evalucion!AT34=Datos!$C$15,Datos!$D$15,IF(Evalucion!AT34=Datos!$C$16,Datos!$D$16,IF(Evalucion!AT34=Datos!$C$17,Datos!$D$17,IF(Evalucion!AT34=Datos!$C$18,Datos!$D$18,IF(Evalucion!AT34=Datos!$C$19,Datos!$D$19,"=")))))</f>
        <v>5</v>
      </c>
      <c r="AT36">
        <f>IF(Evalucion!AU34=Datos!$C$15,Datos!$D$15,IF(Evalucion!AU34=Datos!$C$16,Datos!$D$16,IF(Evalucion!AU34=Datos!$C$17,Datos!$D$17,IF(Evalucion!AU34=Datos!$C$18,Datos!$D$18,IF(Evalucion!AU34=Datos!$C$19,Datos!$D$19,"=")))))</f>
        <v>5</v>
      </c>
      <c r="AV36">
        <f>IF(Evalucion!AW34=Datos!$C$15,Datos!$D$15,IF(Evalucion!AW34=Datos!$C$16,Datos!$D$16,IF(Evalucion!AW34=Datos!$C$17,Datos!$D$17,IF(Evalucion!AW34=Datos!$C$18,Datos!$D$18,IF(Evalucion!AW34=Datos!$C$19,Datos!$D$19,"=")))))</f>
        <v>1</v>
      </c>
      <c r="AW36">
        <f>IF(Evalucion!AX34=Datos!$C$15,Datos!$D$15,IF(Evalucion!AX34=Datos!$C$16,Datos!$D$16,IF(Evalucion!AX34=Datos!$C$17,Datos!$D$17,IF(Evalucion!AX34=Datos!$C$18,Datos!$D$18,IF(Evalucion!AX34=Datos!$C$19,Datos!$D$19,"=")))))</f>
        <v>1</v>
      </c>
      <c r="AX36">
        <f>IF(Evalucion!AY34=Datos!$C$15,Datos!$D$15,IF(Evalucion!AY34=Datos!$C$16,Datos!$D$16,IF(Evalucion!AY34=Datos!$C$17,Datos!$D$17,IF(Evalucion!AY34=Datos!$C$18,Datos!$D$18,IF(Evalucion!AY34=Datos!$C$19,Datos!$D$19,"=")))))</f>
        <v>5</v>
      </c>
      <c r="AY36">
        <f>IF(Evalucion!AZ34=Datos!$C$15,Datos!$D$15,IF(Evalucion!AZ34=Datos!$C$16,Datos!$D$16,IF(Evalucion!AZ34=Datos!$C$17,Datos!$D$17,IF(Evalucion!AZ34=Datos!$C$18,Datos!$D$18,IF(Evalucion!AZ34=Datos!$C$19,Datos!$D$19,"=")))))</f>
        <v>5</v>
      </c>
      <c r="AZ36">
        <f>IF(Evalucion!BA34=Datos!$C$15,Datos!$D$15,IF(Evalucion!BA34=Datos!$C$16,Datos!$D$16,IF(Evalucion!BA34=Datos!$C$17,Datos!$D$17,IF(Evalucion!BA34=Datos!$C$18,Datos!$D$18,IF(Evalucion!BA34=Datos!$C$19,Datos!$D$19,"=")))))</f>
        <v>5</v>
      </c>
      <c r="BA36">
        <f>IF(Evalucion!BB34=Datos!$C$15,Datos!$D$15,IF(Evalucion!BB34=Datos!$C$16,Datos!$D$16,IF(Evalucion!BB34=Datos!$C$17,Datos!$D$17,IF(Evalucion!BB34=Datos!$C$18,Datos!$D$18,IF(Evalucion!BB34=Datos!$C$19,Datos!$D$19,"=")))))</f>
        <v>5</v>
      </c>
      <c r="BB36">
        <f>IF(Evalucion!BC34=Datos!$C$15,Datos!$D$15,IF(Evalucion!BC34=Datos!$C$16,Datos!$D$16,IF(Evalucion!BC34=Datos!$C$17,Datos!$D$17,IF(Evalucion!BC34=Datos!$C$18,Datos!$D$18,IF(Evalucion!BC34=Datos!$C$19,Datos!$D$19,"=")))))</f>
        <v>1</v>
      </c>
      <c r="BC36">
        <f>IF(Evalucion!BD34=Datos!$C$15,Datos!$D$15,IF(Evalucion!BD34=Datos!$C$16,Datos!$D$16,IF(Evalucion!BD34=Datos!$C$17,Datos!$D$17,IF(Evalucion!BD34=Datos!$C$18,Datos!$D$18,IF(Evalucion!BD34=Datos!$C$19,Datos!$D$19,"=")))))</f>
        <v>1</v>
      </c>
      <c r="BD36">
        <f>IF(Evalucion!BE34=Datos!$C$15,Datos!$D$15,IF(Evalucion!BE34=Datos!$C$16,Datos!$D$16,IF(Evalucion!BE34=Datos!$C$17,Datos!$D$17,IF(Evalucion!BE34=Datos!$C$18,Datos!$D$18,IF(Evalucion!BE34=Datos!$C$19,Datos!$D$19,"=")))))</f>
        <v>1</v>
      </c>
      <c r="BE36">
        <f>IF(Evalucion!BF34=Datos!$C$15,Datos!$D$15,IF(Evalucion!BF34=Datos!$C$16,Datos!$D$16,IF(Evalucion!BF34=Datos!$C$17,Datos!$D$17,IF(Evalucion!BF34=Datos!$C$18,Datos!$D$18,IF(Evalucion!BF34=Datos!$C$19,Datos!$D$19,"=")))))</f>
        <v>1</v>
      </c>
      <c r="BF36">
        <f>IF(Evalucion!BG34=Datos!$C$15,Datos!$D$15,IF(Evalucion!BG34=Datos!$C$16,Datos!$D$16,IF(Evalucion!BG34=Datos!$C$17,Datos!$D$17,IF(Evalucion!BG34=Datos!$C$18,Datos!$D$18,IF(Evalucion!BG34=Datos!$C$19,Datos!$D$19,"=")))))</f>
        <v>5</v>
      </c>
      <c r="BG36">
        <f>IF(Evalucion!BH34=Datos!$C$15,Datos!$D$15,IF(Evalucion!BH34=Datos!$C$16,Datos!$D$16,IF(Evalucion!BH34=Datos!$C$17,Datos!$D$17,IF(Evalucion!BH34=Datos!$C$18,Datos!$D$18,IF(Evalucion!BH34=Datos!$C$19,Datos!$D$19,"=")))))</f>
        <v>5</v>
      </c>
      <c r="BH36">
        <f>IF(Evalucion!BI34=Datos!$C$15,Datos!$D$15,IF(Evalucion!BI34=Datos!$C$16,Datos!$D$16,IF(Evalucion!BI34=Datos!$C$17,Datos!$D$17,IF(Evalucion!BI34=Datos!$C$18,Datos!$D$18,IF(Evalucion!BI34=Datos!$C$19,Datos!$D$19,"=")))))</f>
        <v>1</v>
      </c>
      <c r="BI36">
        <f>IF(Evalucion!BJ34=Datos!$C$15,Datos!$D$15,IF(Evalucion!BJ34=Datos!$C$16,Datos!$D$16,IF(Evalucion!BJ34=Datos!$C$17,Datos!$D$17,IF(Evalucion!BJ34=Datos!$C$18,Datos!$D$18,IF(Evalucion!BJ34=Datos!$C$19,Datos!$D$19,"=")))))</f>
        <v>1</v>
      </c>
      <c r="BJ36">
        <f>IF(Evalucion!BK34=Datos!$C$15,Datos!$D$15,IF(Evalucion!BK34=Datos!$C$16,Datos!$D$16,IF(Evalucion!BK34=Datos!$C$17,Datos!$D$17,IF(Evalucion!BK34=Datos!$C$18,Datos!$D$18,IF(Evalucion!BK34=Datos!$C$19,Datos!$D$19,"=")))))</f>
        <v>1</v>
      </c>
      <c r="BK36">
        <f>IF(Evalucion!BL34=Datos!$C$15,Datos!$D$15,IF(Evalucion!BL34=Datos!$C$16,Datos!$D$16,IF(Evalucion!BL34=Datos!$C$17,Datos!$D$17,IF(Evalucion!BL34=Datos!$C$18,Datos!$D$18,IF(Evalucion!BL34=Datos!$C$19,Datos!$D$19,"=")))))</f>
        <v>1</v>
      </c>
      <c r="BL36">
        <f>IF(Evalucion!BM34=Datos!$C$15,Datos!$D$15,IF(Evalucion!BM34=Datos!$C$16,Datos!$D$16,IF(Evalucion!BM34=Datos!$C$17,Datos!$D$17,IF(Evalucion!BM34=Datos!$C$18,Datos!$D$18,IF(Evalucion!BM34=Datos!$C$19,Datos!$D$19,"=")))))</f>
        <v>1</v>
      </c>
      <c r="BM36">
        <f>IF(Evalucion!BN34=Datos!$C$15,Datos!$D$15,IF(Evalucion!BN34=Datos!$C$16,Datos!$D$16,IF(Evalucion!BN34=Datos!$C$17,Datos!$D$17,IF(Evalucion!BN34=Datos!$C$18,Datos!$D$18,IF(Evalucion!BN34=Datos!$C$19,Datos!$D$19,"=")))))</f>
        <v>1</v>
      </c>
      <c r="BN36">
        <f>IF(Evalucion!BO34=Datos!$C$15,Datos!$D$15,IF(Evalucion!BO34=Datos!$C$16,Datos!$D$16,IF(Evalucion!BO34=Datos!$C$17,Datos!$D$17,IF(Evalucion!BO34=Datos!$C$18,Datos!$D$18,IF(Evalucion!BO34=Datos!$C$19,Datos!$D$19,"=")))))</f>
        <v>5</v>
      </c>
      <c r="BO36">
        <f>IF(Evalucion!BP34=Datos!$C$15,Datos!$D$15,IF(Evalucion!BP34=Datos!$C$16,Datos!$D$16,IF(Evalucion!BP34=Datos!$C$17,Datos!$D$17,IF(Evalucion!BP34=Datos!$C$18,Datos!$D$18,IF(Evalucion!BP34=Datos!$C$19,Datos!$D$19,"=")))))</f>
        <v>5</v>
      </c>
      <c r="BP36">
        <f>IF(Evalucion!BQ34=Datos!$C$15,Datos!$D$15,IF(Evalucion!BQ34=Datos!$C$16,Datos!$D$16,IF(Evalucion!BQ34=Datos!$C$17,Datos!$D$17,IF(Evalucion!BQ34=Datos!$C$18,Datos!$D$18,IF(Evalucion!BQ34=Datos!$C$19,Datos!$D$19,"=")))))</f>
        <v>1</v>
      </c>
      <c r="BQ36">
        <f>IF(Evalucion!BR34=Datos!$C$15,Datos!$D$15,IF(Evalucion!BR34=Datos!$C$16,Datos!$D$16,IF(Evalucion!BR34=Datos!$C$17,Datos!$D$17,IF(Evalucion!BR34=Datos!$C$18,Datos!$D$18,IF(Evalucion!BR34=Datos!$C$19,Datos!$D$19,"=")))))</f>
        <v>1</v>
      </c>
      <c r="BR36">
        <f>IF(Evalucion!BS34=Datos!$C$15,Datos!$D$15,IF(Evalucion!BS34=Datos!$C$16,Datos!$D$16,IF(Evalucion!BS34=Datos!$C$17,Datos!$D$17,IF(Evalucion!BS34=Datos!$C$18,Datos!$D$18,IF(Evalucion!BS34=Datos!$C$19,Datos!$D$19,"=")))))</f>
        <v>1</v>
      </c>
      <c r="BS36">
        <f>IF(Evalucion!BT34=Datos!$C$15,Datos!$D$15,IF(Evalucion!BT34=Datos!$C$16,Datos!$D$16,IF(Evalucion!BT34=Datos!$C$17,Datos!$D$17,IF(Evalucion!BT34=Datos!$C$18,Datos!$D$18,IF(Evalucion!BT34=Datos!$C$19,Datos!$D$19,"=")))))</f>
        <v>1</v>
      </c>
      <c r="BT36">
        <f>IF(Evalucion!BU34=Datos!$C$15,Datos!$D$15,IF(Evalucion!BU34=Datos!$C$16,Datos!$D$16,IF(Evalucion!BU34=Datos!$C$17,Datos!$D$17,IF(Evalucion!BU34=Datos!$C$18,Datos!$D$18,IF(Evalucion!BU34=Datos!$C$19,Datos!$D$19,"=")))))</f>
        <v>1</v>
      </c>
      <c r="BU36">
        <f>IF(Evalucion!BV34=Datos!$C$15,Datos!$D$15,IF(Evalucion!BV34=Datos!$C$16,Datos!$D$16,IF(Evalucion!BV34=Datos!$C$17,Datos!$D$17,IF(Evalucion!BV34=Datos!$C$18,Datos!$D$18,IF(Evalucion!BV34=Datos!$C$19,Datos!$D$19,"=")))))</f>
        <v>1</v>
      </c>
      <c r="BV36">
        <f>IF(Evalucion!BW34=Datos!$C$15,Datos!$D$15,IF(Evalucion!BW34=Datos!$C$16,Datos!$D$16,IF(Evalucion!BW34=Datos!$C$17,Datos!$D$17,IF(Evalucion!BW34=Datos!$C$18,Datos!$D$18,IF(Evalucion!BW34=Datos!$C$19,Datos!$D$19,"=")))))</f>
        <v>5</v>
      </c>
      <c r="BW36">
        <f>IF(Evalucion!BX34=Datos!$C$15,Datos!$D$15,IF(Evalucion!BX34=Datos!$C$16,Datos!$D$16,IF(Evalucion!BX34=Datos!$C$17,Datos!$D$17,IF(Evalucion!BX34=Datos!$C$18,Datos!$D$18,IF(Evalucion!BX34=Datos!$C$19,Datos!$D$19,"=")))))</f>
        <v>5</v>
      </c>
      <c r="BX36">
        <f>IF(Evalucion!BY34=Datos!$C$15,Datos!$D$15,IF(Evalucion!BY34=Datos!$C$16,Datos!$D$16,IF(Evalucion!BY34=Datos!$C$17,Datos!$D$17,IF(Evalucion!BY34=Datos!$C$18,Datos!$D$18,IF(Evalucion!BY34=Datos!$C$19,Datos!$D$19,"=")))))</f>
        <v>1</v>
      </c>
      <c r="BY36">
        <f>IF(Evalucion!BZ34=Datos!$C$15,Datos!$D$15,IF(Evalucion!BZ34=Datos!$C$16,Datos!$D$16,IF(Evalucion!BZ34=Datos!$C$17,Datos!$D$17,IF(Evalucion!BZ34=Datos!$C$18,Datos!$D$18,IF(Evalucion!BZ34=Datos!$C$19,Datos!$D$19,"=")))))</f>
        <v>1</v>
      </c>
      <c r="BZ36">
        <f>IF(Evalucion!CA34=Datos!$C$15,Datos!$D$15,IF(Evalucion!CA34=Datos!$C$16,Datos!$D$16,IF(Evalucion!CA34=Datos!$C$17,Datos!$D$17,IF(Evalucion!CA34=Datos!$C$18,Datos!$D$18,IF(Evalucion!CA34=Datos!$C$19,Datos!$D$19,"=")))))</f>
        <v>1</v>
      </c>
      <c r="CA36">
        <f>IF(Evalucion!CB34=Datos!$C$15,Datos!$D$15,IF(Evalucion!CB34=Datos!$C$16,Datos!$D$16,IF(Evalucion!CB34=Datos!$C$17,Datos!$D$17,IF(Evalucion!CB34=Datos!$C$18,Datos!$D$18,IF(Evalucion!CB34=Datos!$C$19,Datos!$D$19,"=")))))</f>
        <v>1</v>
      </c>
      <c r="CB36">
        <f>IF(Evalucion!CC34=Datos!$C$15,Datos!$D$15,IF(Evalucion!CC34=Datos!$C$16,Datos!$D$16,IF(Evalucion!CC34=Datos!$C$17,Datos!$D$17,IF(Evalucion!CC34=Datos!$C$18,Datos!$D$18,IF(Evalucion!CC34=Datos!$C$19,Datos!$D$19,"=")))))</f>
        <v>5</v>
      </c>
      <c r="CC36">
        <f>IF(Evalucion!CD34=Datos!$C$15,Datos!$D$15,IF(Evalucion!CD34=Datos!$C$16,Datos!$D$16,IF(Evalucion!CD34=Datos!$C$17,Datos!$D$17,IF(Evalucion!CD34=Datos!$C$18,Datos!$D$18,IF(Evalucion!CD34=Datos!$C$19,Datos!$D$19,"=")))))</f>
        <v>5</v>
      </c>
      <c r="CD36">
        <f>IF(Evalucion!CE34=Datos!$C$15,Datos!$D$15,IF(Evalucion!CE34=Datos!$C$16,Datos!$D$16,IF(Evalucion!CE34=Datos!$C$17,Datos!$D$17,IF(Evalucion!CE34=Datos!$C$18,Datos!$D$18,IF(Evalucion!CE34=Datos!$C$19,Datos!$D$19,"=")))))</f>
        <v>5</v>
      </c>
      <c r="CE36">
        <f>IF(Evalucion!CF34=Datos!$C$15,Datos!$D$15,IF(Evalucion!CF34=Datos!$C$16,Datos!$D$16,IF(Evalucion!CF34=Datos!$C$17,Datos!$D$17,IF(Evalucion!CF34=Datos!$C$18,Datos!$D$18,IF(Evalucion!CF34=Datos!$C$19,Datos!$D$19,"=")))))</f>
        <v>1</v>
      </c>
      <c r="CF36">
        <f>IF(Evalucion!CG34=Datos!$C$15,Datos!$D$15,IF(Evalucion!CG34=Datos!$C$16,Datos!$D$16,IF(Evalucion!CG34=Datos!$C$17,Datos!$D$17,IF(Evalucion!CG34=Datos!$C$18,Datos!$D$18,IF(Evalucion!CG34=Datos!$C$19,Datos!$D$19,"=")))))</f>
        <v>1</v>
      </c>
      <c r="CG36">
        <f>IF(Evalucion!CH34=Datos!$C$15,Datos!$D$15,IF(Evalucion!CH34=Datos!$C$16,Datos!$D$16,IF(Evalucion!CH34=Datos!$C$17,Datos!$D$17,IF(Evalucion!CH34=Datos!$C$18,Datos!$D$18,IF(Evalucion!CH34=Datos!$C$19,Datos!$D$19,"=")))))</f>
        <v>1</v>
      </c>
      <c r="CH36">
        <f>IF(Evalucion!CI34=Datos!$C$15,Datos!$D$15,IF(Evalucion!CI34=Datos!$C$16,Datos!$D$16,IF(Evalucion!CI34=Datos!$C$17,Datos!$D$17,IF(Evalucion!CI34=Datos!$C$18,Datos!$D$18,IF(Evalucion!CI34=Datos!$C$19,Datos!$D$19,"=")))))</f>
        <v>1</v>
      </c>
      <c r="CI36">
        <f>IF(Evalucion!CJ34=Datos!$C$15,Datos!$D$15,IF(Evalucion!CJ34=Datos!$C$16,Datos!$D$16,IF(Evalucion!CJ34=Datos!$C$17,Datos!$D$17,IF(Evalucion!CJ34=Datos!$C$18,Datos!$D$18,IF(Evalucion!CJ34=Datos!$C$19,Datos!$D$19,"=")))))</f>
        <v>1</v>
      </c>
      <c r="CJ36">
        <f>IF(Evalucion!CK34=Datos!$C$15,Datos!$D$15,IF(Evalucion!CK34=Datos!$C$16,Datos!$D$16,IF(Evalucion!CK34=Datos!$C$17,Datos!$D$17,IF(Evalucion!CK34=Datos!$C$18,Datos!$D$18,IF(Evalucion!CK34=Datos!$C$19,Datos!$D$19,"=")))))</f>
        <v>5</v>
      </c>
      <c r="CK36">
        <f>IF(Evalucion!CL34=Datos!$C$15,Datos!$D$15,IF(Evalucion!CL34=Datos!$C$16,Datos!$D$16,IF(Evalucion!CL34=Datos!$C$17,Datos!$D$17,IF(Evalucion!CL34=Datos!$C$18,Datos!$D$18,IF(Evalucion!CL34=Datos!$C$19,Datos!$D$19,"=")))))</f>
        <v>5</v>
      </c>
      <c r="CL36">
        <f>IF(Evalucion!CM34=Datos!$C$15,Datos!$D$15,IF(Evalucion!CM34=Datos!$C$16,Datos!$D$16,IF(Evalucion!CM34=Datos!$C$17,Datos!$D$17,IF(Evalucion!CM34=Datos!$C$18,Datos!$D$18,IF(Evalucion!CM34=Datos!$C$19,Datos!$D$19,"=")))))</f>
        <v>5</v>
      </c>
      <c r="CM36">
        <f>IF(Evalucion!CN34=Datos!$C$15,Datos!$D$15,IF(Evalucion!CN34=Datos!$C$16,Datos!$D$16,IF(Evalucion!CN34=Datos!$C$17,Datos!$D$17,IF(Evalucion!CN34=Datos!$C$18,Datos!$D$18,IF(Evalucion!CN34=Datos!$C$19,Datos!$D$19,"=")))))</f>
        <v>3</v>
      </c>
      <c r="CN36">
        <f>IF(Evalucion!CO34=Datos!$C$15,Datos!$D$15,IF(Evalucion!CO34=Datos!$C$16,Datos!$D$16,IF(Evalucion!CO34=Datos!$C$17,Datos!$D$17,IF(Evalucion!CO34=Datos!$C$18,Datos!$D$18,IF(Evalucion!CO34=Datos!$C$19,Datos!$D$19,"=")))))</f>
        <v>5</v>
      </c>
      <c r="CO36">
        <f>IF(Evalucion!CP34=Datos!$C$15,Datos!$D$15,IF(Evalucion!CP34=Datos!$C$16,Datos!$D$16,IF(Evalucion!CP34=Datos!$C$17,Datos!$D$17,IF(Evalucion!CP34=Datos!$C$18,Datos!$D$18,IF(Evalucion!CP34=Datos!$C$19,Datos!$D$19,"=")))))</f>
        <v>5</v>
      </c>
      <c r="CP36">
        <f>IF(Evalucion!CQ34=Datos!$C$15,Datos!$D$15,IF(Evalucion!CQ34=Datos!$C$16,Datos!$D$16,IF(Evalucion!CQ34=Datos!$C$17,Datos!$D$17,IF(Evalucion!CQ34=Datos!$C$18,Datos!$D$18,IF(Evalucion!CQ34=Datos!$C$19,Datos!$D$19,"=")))))</f>
        <v>1</v>
      </c>
      <c r="CQ36">
        <f>IF(Evalucion!CR34=Datos!$C$15,Datos!$D$15,IF(Evalucion!CR34=Datos!$C$16,Datos!$D$16,IF(Evalucion!CR34=Datos!$C$17,Datos!$D$17,IF(Evalucion!CR34=Datos!$C$18,Datos!$D$18,IF(Evalucion!CR34=Datos!$C$19,Datos!$D$19,"=")))))</f>
        <v>1</v>
      </c>
      <c r="CR36">
        <f>IF(Evalucion!CS34=Datos!$C$15,Datos!$D$15,IF(Evalucion!CS34=Datos!$C$16,Datos!$D$16,IF(Evalucion!CS34=Datos!$C$17,Datos!$D$17,IF(Evalucion!CS34=Datos!$C$18,Datos!$D$18,IF(Evalucion!CS34=Datos!$C$19,Datos!$D$19,"=")))))</f>
        <v>1</v>
      </c>
      <c r="CS36">
        <f>IF(Evalucion!CT34=Datos!$C$15,Datos!$D$15,IF(Evalucion!CT34=Datos!$C$16,Datos!$D$16,IF(Evalucion!CT34=Datos!$C$17,Datos!$D$17,IF(Evalucion!CT34=Datos!$C$18,Datos!$D$18,IF(Evalucion!CT34=Datos!$C$19,Datos!$D$19,"=")))))</f>
        <v>1</v>
      </c>
      <c r="CT36">
        <f>IF(Evalucion!CU34=Datos!$C$15,Datos!$D$15,IF(Evalucion!CU34=Datos!$C$16,Datos!$D$16,IF(Evalucion!CU34=Datos!$C$17,Datos!$D$17,IF(Evalucion!CU34=Datos!$C$18,Datos!$D$18,IF(Evalucion!CU34=Datos!$C$19,Datos!$D$19,"=")))))</f>
        <v>1</v>
      </c>
      <c r="CU36">
        <f>IF(Evalucion!CV34=Datos!$C$15,Datos!$D$15,IF(Evalucion!CV34=Datos!$C$16,Datos!$D$16,IF(Evalucion!CV34=Datos!$C$17,Datos!$D$17,IF(Evalucion!CV34=Datos!$C$18,Datos!$D$18,IF(Evalucion!CV34=Datos!$C$19,Datos!$D$19,"=")))))</f>
        <v>1</v>
      </c>
      <c r="CV36">
        <f>IF(Evalucion!CW34=Datos!$C$15,Datos!$D$15,IF(Evalucion!CW34=Datos!$C$16,Datos!$D$16,IF(Evalucion!CW34=Datos!$C$17,Datos!$D$17,IF(Evalucion!CW34=Datos!$C$18,Datos!$D$18,IF(Evalucion!CW34=Datos!$C$19,Datos!$D$19,"=")))))</f>
        <v>5</v>
      </c>
      <c r="CW36">
        <f>IF(Evalucion!CX34=Datos!$C$15,Datos!$D$15,IF(Evalucion!CX34=Datos!$C$16,Datos!$D$16,IF(Evalucion!CX34=Datos!$C$17,Datos!$D$17,IF(Evalucion!CX34=Datos!$C$18,Datos!$D$18,IF(Evalucion!CX34=Datos!$C$19,Datos!$D$19,"=")))))</f>
        <v>3</v>
      </c>
      <c r="CX36">
        <f>IF(Evalucion!CY34=Datos!$C$15,Datos!$D$15,IF(Evalucion!CY34=Datos!$C$16,Datos!$D$16,IF(Evalucion!CY34=Datos!$C$17,Datos!$D$17,IF(Evalucion!CY34=Datos!$C$18,Datos!$D$18,IF(Evalucion!CY34=Datos!$C$19,Datos!$D$19,"=")))))</f>
        <v>5</v>
      </c>
      <c r="CY36">
        <f>IF(Evalucion!CZ34=Datos!$C$15,Datos!$D$15,IF(Evalucion!CZ34=Datos!$C$16,Datos!$D$16,IF(Evalucion!CZ34=Datos!$C$17,Datos!$D$17,IF(Evalucion!CZ34=Datos!$C$18,Datos!$D$18,IF(Evalucion!CZ34=Datos!$C$19,Datos!$D$19,"=")))))</f>
        <v>3</v>
      </c>
      <c r="CZ36">
        <f>IF(Evalucion!DA34=Datos!$C$15,Datos!$D$15,IF(Evalucion!DA34=Datos!$C$16,Datos!$D$16,IF(Evalucion!DA34=Datos!$C$17,Datos!$D$17,IF(Evalucion!DA34=Datos!$C$18,Datos!$D$18,IF(Evalucion!DA34=Datos!$C$19,Datos!$D$19,"=")))))</f>
        <v>5</v>
      </c>
      <c r="DA36">
        <f>IF(Evalucion!DB34=Datos!$C$15,Datos!$D$15,IF(Evalucion!DB34=Datos!$C$16,Datos!$D$16,IF(Evalucion!DB34=Datos!$C$17,Datos!$D$17,IF(Evalucion!DB34=Datos!$C$18,Datos!$D$18,IF(Evalucion!DB34=Datos!$C$19,Datos!$D$19,"=")))))</f>
        <v>3</v>
      </c>
      <c r="DB36">
        <f>IF(Evalucion!DC34=Datos!$C$15,Datos!$D$15,IF(Evalucion!DC34=Datos!$C$16,Datos!$D$16,IF(Evalucion!DC34=Datos!$C$17,Datos!$D$17,IF(Evalucion!DC34=Datos!$C$18,Datos!$D$18,IF(Evalucion!DC34=Datos!$C$19,Datos!$D$19,"=")))))</f>
        <v>5</v>
      </c>
      <c r="DC36">
        <f>IF(Evalucion!DD34=Datos!$C$15,Datos!$D$15,IF(Evalucion!DD34=Datos!$C$16,Datos!$D$16,IF(Evalucion!DD34=Datos!$C$17,Datos!$D$17,IF(Evalucion!DD34=Datos!$C$18,Datos!$D$18,IF(Evalucion!DD34=Datos!$C$19,Datos!$D$19,"=")))))</f>
        <v>5</v>
      </c>
      <c r="DD36">
        <f>IF(Evalucion!DE34=Datos!$C$15,Datos!$D$15,IF(Evalucion!DE34=Datos!$C$16,Datos!$D$16,IF(Evalucion!DE34=Datos!$C$17,Datos!$D$17,IF(Evalucion!DE34=Datos!$C$18,Datos!$D$18,IF(Evalucion!DE34=Datos!$C$19,Datos!$D$19,"=")))))</f>
        <v>1</v>
      </c>
      <c r="DE36">
        <f>IF(Evalucion!DF34=Datos!$C$15,Datos!$D$15,IF(Evalucion!DF34=Datos!$C$16,Datos!$D$16,IF(Evalucion!DF34=Datos!$C$17,Datos!$D$17,IF(Evalucion!DF34=Datos!$C$18,Datos!$D$18,IF(Evalucion!DF34=Datos!$C$19,Datos!$D$19,"=")))))</f>
        <v>1</v>
      </c>
      <c r="DF36">
        <f>IF(Evalucion!DG34=Datos!$C$15,Datos!$D$15,IF(Evalucion!DG34=Datos!$C$16,Datos!$D$16,IF(Evalucion!DG34=Datos!$C$17,Datos!$D$17,IF(Evalucion!DG34=Datos!$C$18,Datos!$D$18,IF(Evalucion!DG34=Datos!$C$19,Datos!$D$19,"=")))))</f>
        <v>5</v>
      </c>
      <c r="DG36">
        <f>IF(Evalucion!DH34=Datos!$C$15,Datos!$D$15,IF(Evalucion!DH34=Datos!$C$16,Datos!$D$16,IF(Evalucion!DH34=Datos!$C$17,Datos!$D$17,IF(Evalucion!DH34=Datos!$C$18,Datos!$D$18,IF(Evalucion!DH34=Datos!$C$19,Datos!$D$19,"=")))))</f>
        <v>3</v>
      </c>
      <c r="DH36">
        <f>IF(Evalucion!DI34=Datos!$C$15,Datos!$D$15,IF(Evalucion!DI34=Datos!$C$16,Datos!$D$16,IF(Evalucion!DI34=Datos!$C$17,Datos!$D$17,IF(Evalucion!DI34=Datos!$C$18,Datos!$D$18,IF(Evalucion!DI34=Datos!$C$19,Datos!$D$19,"=")))))</f>
        <v>1</v>
      </c>
      <c r="DI36">
        <f>IF(Evalucion!DJ34=Datos!$C$15,Datos!$D$15,IF(Evalucion!DJ34=Datos!$C$16,Datos!$D$16,IF(Evalucion!DJ34=Datos!$C$17,Datos!$D$17,IF(Evalucion!DJ34=Datos!$C$18,Datos!$D$18,IF(Evalucion!DJ34=Datos!$C$19,Datos!$D$19,"=")))))</f>
        <v>1</v>
      </c>
      <c r="DJ36">
        <f>IF(Evalucion!DK34=Datos!$C$15,Datos!$D$15,IF(Evalucion!DK34=Datos!$C$16,Datos!$D$16,IF(Evalucion!DK34=Datos!$C$17,Datos!$D$17,IF(Evalucion!DK34=Datos!$C$18,Datos!$D$18,IF(Evalucion!DK34=Datos!$C$19,Datos!$D$19,"=")))))</f>
        <v>1</v>
      </c>
      <c r="DK36">
        <f>IF(Evalucion!DL34=Datos!$C$15,Datos!$D$15,IF(Evalucion!DL34=Datos!$C$16,Datos!$D$16,IF(Evalucion!DL34=Datos!$C$17,Datos!$D$17,IF(Evalucion!DL34=Datos!$C$18,Datos!$D$18,IF(Evalucion!DL34=Datos!$C$19,Datos!$D$19,"=")))))</f>
        <v>1</v>
      </c>
      <c r="DL36">
        <f>IF(Evalucion!DM34=Datos!$C$15,Datos!$D$15,IF(Evalucion!DM34=Datos!$C$16,Datos!$D$16,IF(Evalucion!DM34=Datos!$C$17,Datos!$D$17,IF(Evalucion!DM34=Datos!$C$18,Datos!$D$18,IF(Evalucion!DM34=Datos!$C$19,Datos!$D$19,"=")))))</f>
        <v>1</v>
      </c>
      <c r="DM36">
        <f>IF(Evalucion!DN34=Datos!$C$15,Datos!$D$15,IF(Evalucion!DN34=Datos!$C$16,Datos!$D$16,IF(Evalucion!DN34=Datos!$C$17,Datos!$D$17,IF(Evalucion!DN34=Datos!$C$18,Datos!$D$18,IF(Evalucion!DN34=Datos!$C$19,Datos!$D$19,"=")))))</f>
        <v>1</v>
      </c>
      <c r="DN36">
        <f>IF(Evalucion!DO34=Datos!$C$15,Datos!$D$15,IF(Evalucion!DO34=Datos!$C$16,Datos!$D$16,IF(Evalucion!DO34=Datos!$C$17,Datos!$D$17,IF(Evalucion!DO34=Datos!$C$18,Datos!$D$18,IF(Evalucion!DO34=Datos!$C$19,Datos!$D$19,"=")))))</f>
        <v>5</v>
      </c>
      <c r="DO36">
        <f>IF(Evalucion!DP34=Datos!$C$15,Datos!$D$15,IF(Evalucion!DP34=Datos!$C$16,Datos!$D$16,IF(Evalucion!DP34=Datos!$C$17,Datos!$D$17,IF(Evalucion!DP34=Datos!$C$18,Datos!$D$18,IF(Evalucion!DP34=Datos!$C$19,Datos!$D$19,"=")))))</f>
        <v>1</v>
      </c>
      <c r="DP36">
        <f>IF(Evalucion!DQ34=Datos!$C$15,Datos!$D$15,IF(Evalucion!DQ34=Datos!$C$16,Datos!$D$16,IF(Evalucion!DQ34=Datos!$C$17,Datos!$D$17,IF(Evalucion!DQ34=Datos!$C$18,Datos!$D$18,IF(Evalucion!DQ34=Datos!$C$19,Datos!$D$19,"=")))))</f>
        <v>5</v>
      </c>
      <c r="DQ36">
        <f>IF(Evalucion!DR34=Datos!$C$15,Datos!$D$15,IF(Evalucion!DR34=Datos!$C$16,Datos!$D$16,IF(Evalucion!DR34=Datos!$C$17,Datos!$D$17,IF(Evalucion!DR34=Datos!$C$18,Datos!$D$18,IF(Evalucion!DR34=Datos!$C$19,Datos!$D$19,"=")))))</f>
        <v>3</v>
      </c>
      <c r="DR36">
        <f>IF(Evalucion!DS34=Datos!$C$15,Datos!$D$15,IF(Evalucion!DS34=Datos!$C$16,Datos!$D$16,IF(Evalucion!DS34=Datos!$C$17,Datos!$D$17,IF(Evalucion!DS34=Datos!$C$18,Datos!$D$18,IF(Evalucion!DS34=Datos!$C$19,Datos!$D$19,"=")))))</f>
        <v>1</v>
      </c>
      <c r="DS36">
        <f>IF(Evalucion!DT34=Datos!$C$15,Datos!$D$15,IF(Evalucion!DT34=Datos!$C$16,Datos!$D$16,IF(Evalucion!DT34=Datos!$C$17,Datos!$D$17,IF(Evalucion!DT34=Datos!$C$18,Datos!$D$18,IF(Evalucion!DT34=Datos!$C$19,Datos!$D$19,"=")))))</f>
        <v>1</v>
      </c>
      <c r="DT36">
        <f>IF(Evalucion!DU34=Datos!$C$15,Datos!$D$15,IF(Evalucion!DU34=Datos!$C$16,Datos!$D$16,IF(Evalucion!DU34=Datos!$C$17,Datos!$D$17,IF(Evalucion!DU34=Datos!$C$18,Datos!$D$18,IF(Evalucion!DU34=Datos!$C$19,Datos!$D$19,"=")))))</f>
        <v>5</v>
      </c>
      <c r="DU36">
        <f>IF(Evalucion!DV34=Datos!$C$15,Datos!$D$15,IF(Evalucion!DV34=Datos!$C$16,Datos!$D$16,IF(Evalucion!DV34=Datos!$C$17,Datos!$D$17,IF(Evalucion!DV34=Datos!$C$18,Datos!$D$18,IF(Evalucion!DV34=Datos!$C$19,Datos!$D$19,"=")))))</f>
        <v>3</v>
      </c>
      <c r="DV36">
        <f>IF(Evalucion!DW34=Datos!$C$15,Datos!$D$15,IF(Evalucion!DW34=Datos!$C$16,Datos!$D$16,IF(Evalucion!DW34=Datos!$C$17,Datos!$D$17,IF(Evalucion!DW34=Datos!$C$18,Datos!$D$18,IF(Evalucion!DW34=Datos!$C$19,Datos!$D$19,"=")))))</f>
        <v>1</v>
      </c>
      <c r="DW36">
        <f>IF(Evalucion!DX34=Datos!$C$15,Datos!$D$15,IF(Evalucion!DX34=Datos!$C$16,Datos!$D$16,IF(Evalucion!DX34=Datos!$C$17,Datos!$D$17,IF(Evalucion!DX34=Datos!$C$18,Datos!$D$18,IF(Evalucion!DX34=Datos!$C$19,Datos!$D$19,"=")))))</f>
        <v>1</v>
      </c>
      <c r="DX36">
        <f>IF(Evalucion!DY34=Datos!$C$15,Datos!$D$15,IF(Evalucion!DY34=Datos!$C$16,Datos!$D$16,IF(Evalucion!DY34=Datos!$C$17,Datos!$D$17,IF(Evalucion!DY34=Datos!$C$18,Datos!$D$18,IF(Evalucion!DY34=Datos!$C$19,Datos!$D$19,"=")))))</f>
        <v>1</v>
      </c>
      <c r="DY36">
        <f>IF(Evalucion!DZ34=Datos!$C$15,Datos!$D$15,IF(Evalucion!DZ34=Datos!$C$16,Datos!$D$16,IF(Evalucion!DZ34=Datos!$C$17,Datos!$D$17,IF(Evalucion!DZ34=Datos!$C$18,Datos!$D$18,IF(Evalucion!DZ34=Datos!$C$19,Datos!$D$19,"=")))))</f>
        <v>1</v>
      </c>
      <c r="DZ36">
        <f>IF(Evalucion!EA34=Datos!$C$15,Datos!$D$15,IF(Evalucion!EA34=Datos!$C$16,Datos!$D$16,IF(Evalucion!EA34=Datos!$C$17,Datos!$D$17,IF(Evalucion!EA34=Datos!$C$18,Datos!$D$18,IF(Evalucion!EA34=Datos!$C$19,Datos!$D$19,"=")))))</f>
        <v>5</v>
      </c>
      <c r="EA36">
        <f>IF(Evalucion!EB34=Datos!$C$15,Datos!$D$15,IF(Evalucion!EB34=Datos!$C$16,Datos!$D$16,IF(Evalucion!EB34=Datos!$C$17,Datos!$D$17,IF(Evalucion!EB34=Datos!$C$18,Datos!$D$18,IF(Evalucion!EB34=Datos!$C$19,Datos!$D$19,"=")))))</f>
        <v>5</v>
      </c>
      <c r="EB36">
        <f>IF(Evalucion!EC34=Datos!$C$15,Datos!$D$15,IF(Evalucion!EC34=Datos!$C$16,Datos!$D$16,IF(Evalucion!EC34=Datos!$C$17,Datos!$D$17,IF(Evalucion!EC34=Datos!$C$18,Datos!$D$18,IF(Evalucion!EC34=Datos!$C$19,Datos!$D$19,"=")))))</f>
        <v>5</v>
      </c>
      <c r="EC36">
        <f>IF(Evalucion!ED34=Datos!$C$15,Datos!$D$15,IF(Evalucion!ED34=Datos!$C$16,Datos!$D$16,IF(Evalucion!ED34=Datos!$C$17,Datos!$D$17,IF(Evalucion!ED34=Datos!$C$18,Datos!$D$18,IF(Evalucion!ED34=Datos!$C$19,Datos!$D$19,"=")))))</f>
        <v>3</v>
      </c>
      <c r="ED36">
        <f>IF(Evalucion!EE34=Datos!$C$15,Datos!$D$15,IF(Evalucion!EE34=Datos!$C$16,Datos!$D$16,IF(Evalucion!EE34=Datos!$C$17,Datos!$D$17,IF(Evalucion!EE34=Datos!$C$18,Datos!$D$18,IF(Evalucion!EE34=Datos!$C$19,Datos!$D$19,"=")))))</f>
        <v>5</v>
      </c>
      <c r="EE36">
        <f>IF(Evalucion!EF34=Datos!$C$15,Datos!$D$15,IF(Evalucion!EF34=Datos!$C$16,Datos!$D$16,IF(Evalucion!EF34=Datos!$C$17,Datos!$D$17,IF(Evalucion!EF34=Datos!$C$18,Datos!$D$18,IF(Evalucion!EF34=Datos!$C$19,Datos!$D$19,"=")))))</f>
        <v>1</v>
      </c>
      <c r="EF36">
        <f>IF(Evalucion!EG34=Datos!$C$15,Datos!$D$15,IF(Evalucion!EG34=Datos!$C$16,Datos!$D$16,IF(Evalucion!EG34=Datos!$C$17,Datos!$D$17,IF(Evalucion!EG34=Datos!$C$18,Datos!$D$18,IF(Evalucion!EG34=Datos!$C$19,Datos!$D$19,"=")))))</f>
        <v>5</v>
      </c>
      <c r="EG36">
        <f>IF(Evalucion!EH34=Datos!$C$15,Datos!$D$15,IF(Evalucion!EH34=Datos!$C$16,Datos!$D$16,IF(Evalucion!EH34=Datos!$C$17,Datos!$D$17,IF(Evalucion!EH34=Datos!$C$18,Datos!$D$18,IF(Evalucion!EH34=Datos!$C$19,Datos!$D$19,"=")))))</f>
        <v>5</v>
      </c>
      <c r="EH36">
        <f>IF(Evalucion!EI34=Datos!$C$15,Datos!$D$15,IF(Evalucion!EI34=Datos!$C$16,Datos!$D$16,IF(Evalucion!EI34=Datos!$C$17,Datos!$D$17,IF(Evalucion!EI34=Datos!$C$18,Datos!$D$18,IF(Evalucion!EI34=Datos!$C$19,Datos!$D$19,"=")))))</f>
        <v>1</v>
      </c>
      <c r="EI36">
        <f>IF(Evalucion!EJ34=Datos!$C$15,Datos!$D$15,IF(Evalucion!EJ34=Datos!$C$16,Datos!$D$16,IF(Evalucion!EJ34=Datos!$C$17,Datos!$D$17,IF(Evalucion!EJ34=Datos!$C$18,Datos!$D$18,IF(Evalucion!EJ34=Datos!$C$19,Datos!$D$19,"=")))))</f>
        <v>1</v>
      </c>
      <c r="EJ36">
        <f>IF(Evalucion!EK34=Datos!$C$15,Datos!$D$15,IF(Evalucion!EK34=Datos!$C$16,Datos!$D$16,IF(Evalucion!EK34=Datos!$C$17,Datos!$D$17,IF(Evalucion!EK34=Datos!$C$18,Datos!$D$18,IF(Evalucion!EK34=Datos!$C$19,Datos!$D$19,"=")))))</f>
        <v>1</v>
      </c>
      <c r="EK36">
        <f>IF(Evalucion!EL34=Datos!$C$15,Datos!$D$15,IF(Evalucion!EL34=Datos!$C$16,Datos!$D$16,IF(Evalucion!EL34=Datos!$C$17,Datos!$D$17,IF(Evalucion!EL34=Datos!$C$18,Datos!$D$18,IF(Evalucion!EL34=Datos!$C$19,Datos!$D$19,"=")))))</f>
        <v>1</v>
      </c>
      <c r="EL36">
        <f>IF(Evalucion!EM34=Datos!$C$15,Datos!$D$15,IF(Evalucion!EM34=Datos!$C$16,Datos!$D$16,IF(Evalucion!EM34=Datos!$C$17,Datos!$D$17,IF(Evalucion!EM34=Datos!$C$18,Datos!$D$18,IF(Evalucion!EM34=Datos!$C$19,Datos!$D$19,"=")))))</f>
        <v>5</v>
      </c>
      <c r="EM36">
        <f>IF(Evalucion!EN34=Datos!$C$15,Datos!$D$15,IF(Evalucion!EN34=Datos!$C$16,Datos!$D$16,IF(Evalucion!EN34=Datos!$C$17,Datos!$D$17,IF(Evalucion!EN34=Datos!$C$18,Datos!$D$18,IF(Evalucion!EN34=Datos!$C$19,Datos!$D$19,"=")))))</f>
        <v>5</v>
      </c>
      <c r="EN36">
        <f>IF(Evalucion!EO34=Datos!$C$15,Datos!$D$15,IF(Evalucion!EO34=Datos!$C$16,Datos!$D$16,IF(Evalucion!EO34=Datos!$C$17,Datos!$D$17,IF(Evalucion!EO34=Datos!$C$18,Datos!$D$18,IF(Evalucion!EO34=Datos!$C$19,Datos!$D$19,"=")))))</f>
        <v>1</v>
      </c>
      <c r="EO36">
        <f>IF(Evalucion!EP34=Datos!$C$15,Datos!$D$15,IF(Evalucion!EP34=Datos!$C$16,Datos!$D$16,IF(Evalucion!EP34=Datos!$C$17,Datos!$D$17,IF(Evalucion!EP34=Datos!$C$18,Datos!$D$18,IF(Evalucion!EP34=Datos!$C$19,Datos!$D$19,"=")))))</f>
        <v>1</v>
      </c>
      <c r="EP36">
        <f>IF(Evalucion!EQ34=Datos!$C$15,Datos!$D$15,IF(Evalucion!EQ34=Datos!$C$16,Datos!$D$16,IF(Evalucion!EQ34=Datos!$C$17,Datos!$D$17,IF(Evalucion!EQ34=Datos!$C$18,Datos!$D$18,IF(Evalucion!EQ34=Datos!$C$19,Datos!$D$19,"=")))))</f>
        <v>1</v>
      </c>
      <c r="EQ36">
        <f>IF(Evalucion!ER34=Datos!$C$15,Datos!$D$15,IF(Evalucion!ER34=Datos!$C$16,Datos!$D$16,IF(Evalucion!ER34=Datos!$C$17,Datos!$D$17,IF(Evalucion!ER34=Datos!$C$18,Datos!$D$18,IF(Evalucion!ER34=Datos!$C$19,Datos!$D$19,"=")))))</f>
        <v>1</v>
      </c>
      <c r="ER36">
        <f>IF(Evalucion!ES34=Datos!$C$15,Datos!$D$15,IF(Evalucion!ES34=Datos!$C$16,Datos!$D$16,IF(Evalucion!ES34=Datos!$C$17,Datos!$D$17,IF(Evalucion!ES34=Datos!$C$18,Datos!$D$18,IF(Evalucion!ES34=Datos!$C$19,Datos!$D$19,"=")))))</f>
        <v>5</v>
      </c>
      <c r="ES36">
        <f>IF(Evalucion!ET34=Datos!$C$15,Datos!$D$15,IF(Evalucion!ET34=Datos!$C$16,Datos!$D$16,IF(Evalucion!ET34=Datos!$C$17,Datos!$D$17,IF(Evalucion!ET34=Datos!$C$18,Datos!$D$18,IF(Evalucion!ET34=Datos!$C$19,Datos!$D$19,"=")))))</f>
        <v>5</v>
      </c>
      <c r="ET36">
        <f>IF(Evalucion!EU34=Datos!$C$15,Datos!$D$15,IF(Evalucion!EU34=Datos!$C$16,Datos!$D$16,IF(Evalucion!EU34=Datos!$C$17,Datos!$D$17,IF(Evalucion!EU34=Datos!$C$18,Datos!$D$18,IF(Evalucion!EU34=Datos!$C$19,Datos!$D$19,"=")))))</f>
        <v>5</v>
      </c>
      <c r="EU36">
        <f>IF(Evalucion!EV34=Datos!$C$15,Datos!$D$15,IF(Evalucion!EV34=Datos!$C$16,Datos!$D$16,IF(Evalucion!EV34=Datos!$C$17,Datos!$D$17,IF(Evalucion!EV34=Datos!$C$18,Datos!$D$18,IF(Evalucion!EV34=Datos!$C$19,Datos!$D$19,"=")))))</f>
        <v>1</v>
      </c>
      <c r="EV36">
        <f>IF(Evalucion!EW34=Datos!$C$15,Datos!$D$15,IF(Evalucion!EW34=Datos!$C$16,Datos!$D$16,IF(Evalucion!EW34=Datos!$C$17,Datos!$D$17,IF(Evalucion!EW34=Datos!$C$18,Datos!$D$18,IF(Evalucion!EW34=Datos!$C$19,Datos!$D$19,"=")))))</f>
        <v>5</v>
      </c>
      <c r="EW36">
        <f>IF(Evalucion!EX34=Datos!$C$15,Datos!$D$15,IF(Evalucion!EX34=Datos!$C$16,Datos!$D$16,IF(Evalucion!EX34=Datos!$C$17,Datos!$D$17,IF(Evalucion!EX34=Datos!$C$18,Datos!$D$18,IF(Evalucion!EX34=Datos!$C$19,Datos!$D$19,"=")))))</f>
        <v>5</v>
      </c>
      <c r="EX36">
        <f>IF(Evalucion!EY34=Datos!$C$15,Datos!$D$15,IF(Evalucion!EY34=Datos!$C$16,Datos!$D$16,IF(Evalucion!EY34=Datos!$C$17,Datos!$D$17,IF(Evalucion!EY34=Datos!$C$18,Datos!$D$18,IF(Evalucion!EY34=Datos!$C$19,Datos!$D$19,"=")))))</f>
        <v>5</v>
      </c>
      <c r="EY36">
        <f>IF(Evalucion!EZ34=Datos!$C$15,Datos!$D$15,IF(Evalucion!EZ34=Datos!$C$16,Datos!$D$16,IF(Evalucion!EZ34=Datos!$C$17,Datos!$D$17,IF(Evalucion!EZ34=Datos!$C$18,Datos!$D$18,IF(Evalucion!EZ34=Datos!$C$19,Datos!$D$19,"=")))))</f>
        <v>1</v>
      </c>
      <c r="FA36">
        <f t="shared" si="8"/>
        <v>207</v>
      </c>
      <c r="FB36">
        <f t="shared" si="8"/>
        <v>161</v>
      </c>
      <c r="FC36" s="3">
        <f t="shared" si="4"/>
        <v>0.42933333333333334</v>
      </c>
      <c r="FD36" t="str">
        <f t="shared" ref="FD36:FD53" si="9">IF(FC36&gt;0.899,$FI$4,IF(FC36&gt;0.499,$FI$5,$FI$6))</f>
        <v>NO_Conf</v>
      </c>
      <c r="FF36">
        <f t="shared" si="5"/>
        <v>368</v>
      </c>
      <c r="FG36">
        <f t="shared" si="6"/>
        <v>0</v>
      </c>
    </row>
    <row r="37" spans="1:163" x14ac:dyDescent="0.2">
      <c r="A37">
        <f t="shared" si="7"/>
        <v>34</v>
      </c>
      <c r="B37" t="s">
        <v>282</v>
      </c>
      <c r="C37" t="s">
        <v>190</v>
      </c>
      <c r="D37" s="1">
        <v>43374</v>
      </c>
      <c r="E37">
        <f>IF(Evalucion!F35=Datos!$C$15,Datos!$D$15,IF(Evalucion!F35=Datos!$C$16,Datos!$D$16,IF(Evalucion!F35=Datos!$C$17,Datos!$D$17,IF(Evalucion!F35=Datos!$C$18,Datos!$D$18,IF(Evalucion!F35=Datos!$C$19,Datos!$D$19,"=")))))</f>
        <v>5</v>
      </c>
      <c r="F37">
        <f>IF(Evalucion!G35=Datos!$C$15,Datos!$D$15,IF(Evalucion!G35=Datos!$C$16,Datos!$D$16,IF(Evalucion!G35=Datos!$C$17,Datos!$D$17,IF(Evalucion!G35=Datos!$C$18,Datos!$D$18,IF(Evalucion!G35=Datos!$C$19,Datos!$D$19,"=")))))</f>
        <v>5</v>
      </c>
      <c r="G37">
        <f>IF(Evalucion!H35=Datos!$C$15,Datos!$D$15,IF(Evalucion!H35=Datos!$C$16,Datos!$D$16,IF(Evalucion!H35=Datos!$C$17,Datos!$D$17,IF(Evalucion!H35=Datos!$C$18,Datos!$D$18,IF(Evalucion!H35=Datos!$C$19,Datos!$D$19,"=")))))</f>
        <v>1</v>
      </c>
      <c r="H37">
        <f>IF(Evalucion!I35=Datos!$C$15,Datos!$D$15,IF(Evalucion!I35=Datos!$C$16,Datos!$D$16,IF(Evalucion!I35=Datos!$C$17,Datos!$D$17,IF(Evalucion!I35=Datos!$C$18,Datos!$D$18,IF(Evalucion!I35=Datos!$C$19,Datos!$D$19,"=")))))</f>
        <v>1</v>
      </c>
      <c r="I37">
        <f>IF(Evalucion!J35=Datos!$C$15,Datos!$D$15,IF(Evalucion!J35=Datos!$C$16,Datos!$D$16,IF(Evalucion!J35=Datos!$C$17,Datos!$D$17,IF(Evalucion!J35=Datos!$C$18,Datos!$D$18,IF(Evalucion!J35=Datos!$C$19,Datos!$D$19,"=")))))</f>
        <v>1</v>
      </c>
      <c r="J37">
        <f>IF(Evalucion!K35=Datos!$C$15,Datos!$D$15,IF(Evalucion!K35=Datos!$C$16,Datos!$D$16,IF(Evalucion!K35=Datos!$C$17,Datos!$D$17,IF(Evalucion!K35=Datos!$C$18,Datos!$D$18,IF(Evalucion!K35=Datos!$C$19,Datos!$D$19,"=")))))</f>
        <v>1</v>
      </c>
      <c r="K37">
        <f>IF(Evalucion!L35=Datos!$C$15,Datos!$D$15,IF(Evalucion!L35=Datos!$C$16,Datos!$D$16,IF(Evalucion!L35=Datos!$C$17,Datos!$D$17,IF(Evalucion!L35=Datos!$C$18,Datos!$D$18,IF(Evalucion!L35=Datos!$C$19,Datos!$D$19,"=")))))</f>
        <v>1</v>
      </c>
      <c r="L37">
        <f>IF(Evalucion!M35=Datos!$C$15,Datos!$D$15,IF(Evalucion!M35=Datos!$C$16,Datos!$D$16,IF(Evalucion!M35=Datos!$C$17,Datos!$D$17,IF(Evalucion!M35=Datos!$C$18,Datos!$D$18,IF(Evalucion!M35=Datos!$C$19,Datos!$D$19,"=")))))</f>
        <v>5</v>
      </c>
      <c r="M37">
        <f>IF(Evalucion!N35=Datos!$C$15,Datos!$D$15,IF(Evalucion!N35=Datos!$C$16,Datos!$D$16,IF(Evalucion!N35=Datos!$C$17,Datos!$D$17,IF(Evalucion!N35=Datos!$C$18,Datos!$D$18,IF(Evalucion!N35=Datos!$C$19,Datos!$D$19,"=")))))</f>
        <v>5</v>
      </c>
      <c r="N37">
        <f>IF(Evalucion!O35=Datos!$C$15,Datos!$D$15,IF(Evalucion!O35=Datos!$C$16,Datos!$D$16,IF(Evalucion!O35=Datos!$C$17,Datos!$D$17,IF(Evalucion!O35=Datos!$C$18,Datos!$D$18,IF(Evalucion!O35=Datos!$C$19,Datos!$D$19,"=")))))</f>
        <v>3</v>
      </c>
      <c r="O37">
        <f>IF(Evalucion!P35=Datos!$C$15,Datos!$D$15,IF(Evalucion!P35=Datos!$C$16,Datos!$D$16,IF(Evalucion!P35=Datos!$C$17,Datos!$D$17,IF(Evalucion!P35=Datos!$C$18,Datos!$D$18,IF(Evalucion!P35=Datos!$C$19,Datos!$D$19,"=")))))</f>
        <v>1</v>
      </c>
      <c r="P37">
        <f>IF(Evalucion!Q35=Datos!$C$15,Datos!$D$15,IF(Evalucion!Q35=Datos!$C$16,Datos!$D$16,IF(Evalucion!Q35=Datos!$C$17,Datos!$D$17,IF(Evalucion!Q35=Datos!$C$18,Datos!$D$18,IF(Evalucion!Q35=Datos!$C$19,Datos!$D$19,"=")))))</f>
        <v>1</v>
      </c>
      <c r="Q37">
        <f>IF(Evalucion!R35=Datos!$C$15,Datos!$D$15,IF(Evalucion!R35=Datos!$C$16,Datos!$D$16,IF(Evalucion!R35=Datos!$C$17,Datos!$D$17,IF(Evalucion!R35=Datos!$C$18,Datos!$D$18,IF(Evalucion!R35=Datos!$C$19,Datos!$D$19,"=")))))</f>
        <v>5</v>
      </c>
      <c r="R37">
        <f>IF(Evalucion!S35=Datos!$C$15,Datos!$D$15,IF(Evalucion!S35=Datos!$C$16,Datos!$D$16,IF(Evalucion!S35=Datos!$C$17,Datos!$D$17,IF(Evalucion!S35=Datos!$C$18,Datos!$D$18,IF(Evalucion!S35=Datos!$C$19,Datos!$D$19,"=")))))</f>
        <v>1</v>
      </c>
      <c r="S37">
        <f>IF(Evalucion!T35=Datos!$C$15,Datos!$D$15,IF(Evalucion!T35=Datos!$C$16,Datos!$D$16,IF(Evalucion!T35=Datos!$C$17,Datos!$D$17,IF(Evalucion!T35=Datos!$C$18,Datos!$D$18,IF(Evalucion!T35=Datos!$C$19,Datos!$D$19,"=")))))</f>
        <v>1</v>
      </c>
      <c r="T37">
        <f>IF(Evalucion!U35=Datos!$C$15,Datos!$D$15,IF(Evalucion!U35=Datos!$C$16,Datos!$D$16,IF(Evalucion!U35=Datos!$C$17,Datos!$D$17,IF(Evalucion!U35=Datos!$C$18,Datos!$D$18,IF(Evalucion!U35=Datos!$C$19,Datos!$D$19,"=")))))</f>
        <v>1</v>
      </c>
      <c r="U37">
        <f>IF(Evalucion!V35=Datos!$C$15,Datos!$D$15,IF(Evalucion!V35=Datos!$C$16,Datos!$D$16,IF(Evalucion!V35=Datos!$C$17,Datos!$D$17,IF(Evalucion!V35=Datos!$C$18,Datos!$D$18,IF(Evalucion!V35=Datos!$C$19,Datos!$D$19,"=")))))</f>
        <v>1</v>
      </c>
      <c r="V37">
        <f>IF(Evalucion!W35=Datos!$C$15,Datos!$D$15,IF(Evalucion!W35=Datos!$C$16,Datos!$D$16,IF(Evalucion!W35=Datos!$C$17,Datos!$D$17,IF(Evalucion!W35=Datos!$C$18,Datos!$D$18,IF(Evalucion!W35=Datos!$C$19,Datos!$D$19,"=")))))</f>
        <v>1</v>
      </c>
      <c r="W37">
        <f>IF(Evalucion!X35=Datos!$C$15,Datos!$D$15,IF(Evalucion!X35=Datos!$C$16,Datos!$D$16,IF(Evalucion!X35=Datos!$C$17,Datos!$D$17,IF(Evalucion!X35=Datos!$C$18,Datos!$D$18,IF(Evalucion!X35=Datos!$C$19,Datos!$D$19,"=")))))</f>
        <v>1</v>
      </c>
      <c r="X37">
        <f>IF(Evalucion!Y35=Datos!$C$15,Datos!$D$15,IF(Evalucion!Y35=Datos!$C$16,Datos!$D$16,IF(Evalucion!Y35=Datos!$C$17,Datos!$D$17,IF(Evalucion!Y35=Datos!$C$18,Datos!$D$18,IF(Evalucion!Y35=Datos!$C$19,Datos!$D$19,"=")))))</f>
        <v>1</v>
      </c>
      <c r="Y37">
        <f>IF(Evalucion!Z35=Datos!$C$15,Datos!$D$15,IF(Evalucion!Z35=Datos!$C$16,Datos!$D$16,IF(Evalucion!Z35=Datos!$C$17,Datos!$D$17,IF(Evalucion!Z35=Datos!$C$18,Datos!$D$18,IF(Evalucion!Z35=Datos!$C$19,Datos!$D$19,"=")))))</f>
        <v>1</v>
      </c>
      <c r="Z37">
        <f>IF(Evalucion!AA35=Datos!$C$15,Datos!$D$15,IF(Evalucion!AA35=Datos!$C$16,Datos!$D$16,IF(Evalucion!AA35=Datos!$C$17,Datos!$D$17,IF(Evalucion!AA35=Datos!$C$18,Datos!$D$18,IF(Evalucion!AA35=Datos!$C$19,Datos!$D$19,"=")))))</f>
        <v>1</v>
      </c>
      <c r="AA37">
        <f>IF(Evalucion!AB35=Datos!$C$15,Datos!$D$15,IF(Evalucion!AB35=Datos!$C$16,Datos!$D$16,IF(Evalucion!AB35=Datos!$C$17,Datos!$D$17,IF(Evalucion!AB35=Datos!$C$18,Datos!$D$18,IF(Evalucion!AB35=Datos!$C$19,Datos!$D$19,"=")))))</f>
        <v>1</v>
      </c>
      <c r="AB37">
        <f>IF(Evalucion!AC35=Datos!$C$15,Datos!$D$15,IF(Evalucion!AC35=Datos!$C$16,Datos!$D$16,IF(Evalucion!AC35=Datos!$C$17,Datos!$D$17,IF(Evalucion!AC35=Datos!$C$18,Datos!$D$18,IF(Evalucion!AC35=Datos!$C$19,Datos!$D$19,"=")))))</f>
        <v>1</v>
      </c>
      <c r="AC37">
        <f>IF(Evalucion!AD35=Datos!$C$15,Datos!$D$15,IF(Evalucion!AD35=Datos!$C$16,Datos!$D$16,IF(Evalucion!AD35=Datos!$C$17,Datos!$D$17,IF(Evalucion!AD35=Datos!$C$18,Datos!$D$18,IF(Evalucion!AD35=Datos!$C$19,Datos!$D$19,"=")))))</f>
        <v>5</v>
      </c>
      <c r="AD37">
        <f>IF(Evalucion!AE35=Datos!$C$15,Datos!$D$15,IF(Evalucion!AE35=Datos!$C$16,Datos!$D$16,IF(Evalucion!AE35=Datos!$C$17,Datos!$D$17,IF(Evalucion!AE35=Datos!$C$18,Datos!$D$18,IF(Evalucion!AE35=Datos!$C$19,Datos!$D$19,"=")))))</f>
        <v>3</v>
      </c>
      <c r="AE37">
        <f>IF(Evalucion!AF35=Datos!$C$15,Datos!$D$15,IF(Evalucion!AF35=Datos!$C$16,Datos!$D$16,IF(Evalucion!AF35=Datos!$C$17,Datos!$D$17,IF(Evalucion!AF35=Datos!$C$18,Datos!$D$18,IF(Evalucion!AF35=Datos!$C$19,Datos!$D$19,"=")))))</f>
        <v>5</v>
      </c>
      <c r="AF37">
        <f>IF(Evalucion!AG35=Datos!$C$15,Datos!$D$15,IF(Evalucion!AG35=Datos!$C$16,Datos!$D$16,IF(Evalucion!AG35=Datos!$C$17,Datos!$D$17,IF(Evalucion!AG35=Datos!$C$18,Datos!$D$18,IF(Evalucion!AG35=Datos!$C$19,Datos!$D$19,"=")))))</f>
        <v>1</v>
      </c>
      <c r="AO37">
        <f>IF(Evalucion!AP35=Datos!$C$15,Datos!$D$15,IF(Evalucion!AP35=Datos!$C$16,Datos!$D$16,IF(Evalucion!AP35=Datos!$C$17,Datos!$D$17,IF(Evalucion!AP35=Datos!$C$18,Datos!$D$18,IF(Evalucion!AP35=Datos!$C$19,Datos!$D$19,"=")))))</f>
        <v>5</v>
      </c>
      <c r="AP37">
        <f>IF(Evalucion!AQ35=Datos!$C$15,Datos!$D$15,IF(Evalucion!AQ35=Datos!$C$16,Datos!$D$16,IF(Evalucion!AQ35=Datos!$C$17,Datos!$D$17,IF(Evalucion!AQ35=Datos!$C$18,Datos!$D$18,IF(Evalucion!AQ35=Datos!$C$19,Datos!$D$19,"=")))))</f>
        <v>3</v>
      </c>
      <c r="AQ37">
        <f>IF(Evalucion!AR35=Datos!$C$15,Datos!$D$15,IF(Evalucion!AR35=Datos!$C$16,Datos!$D$16,IF(Evalucion!AR35=Datos!$C$17,Datos!$D$17,IF(Evalucion!AR35=Datos!$C$18,Datos!$D$18,IF(Evalucion!AR35=Datos!$C$19,Datos!$D$19,"=")))))</f>
        <v>1</v>
      </c>
      <c r="AR37">
        <f>IF(Evalucion!AS35=Datos!$C$15,Datos!$D$15,IF(Evalucion!AS35=Datos!$C$16,Datos!$D$16,IF(Evalucion!AS35=Datos!$C$17,Datos!$D$17,IF(Evalucion!AS35=Datos!$C$18,Datos!$D$18,IF(Evalucion!AS35=Datos!$C$19,Datos!$D$19,"=")))))</f>
        <v>1</v>
      </c>
      <c r="AS37">
        <f>IF(Evalucion!AT35=Datos!$C$15,Datos!$D$15,IF(Evalucion!AT35=Datos!$C$16,Datos!$D$16,IF(Evalucion!AT35=Datos!$C$17,Datos!$D$17,IF(Evalucion!AT35=Datos!$C$18,Datos!$D$18,IF(Evalucion!AT35=Datos!$C$19,Datos!$D$19,"=")))))</f>
        <v>5</v>
      </c>
      <c r="AT37">
        <f>IF(Evalucion!AU35=Datos!$C$15,Datos!$D$15,IF(Evalucion!AU35=Datos!$C$16,Datos!$D$16,IF(Evalucion!AU35=Datos!$C$17,Datos!$D$17,IF(Evalucion!AU35=Datos!$C$18,Datos!$D$18,IF(Evalucion!AU35=Datos!$C$19,Datos!$D$19,"=")))))</f>
        <v>5</v>
      </c>
      <c r="AV37">
        <f>IF(Evalucion!AW35=Datos!$C$15,Datos!$D$15,IF(Evalucion!AW35=Datos!$C$16,Datos!$D$16,IF(Evalucion!AW35=Datos!$C$17,Datos!$D$17,IF(Evalucion!AW35=Datos!$C$18,Datos!$D$18,IF(Evalucion!AW35=Datos!$C$19,Datos!$D$19,"=")))))</f>
        <v>1</v>
      </c>
      <c r="AW37">
        <f>IF(Evalucion!AX35=Datos!$C$15,Datos!$D$15,IF(Evalucion!AX35=Datos!$C$16,Datos!$D$16,IF(Evalucion!AX35=Datos!$C$17,Datos!$D$17,IF(Evalucion!AX35=Datos!$C$18,Datos!$D$18,IF(Evalucion!AX35=Datos!$C$19,Datos!$D$19,"=")))))</f>
        <v>1</v>
      </c>
      <c r="AX37">
        <f>IF(Evalucion!AY35=Datos!$C$15,Datos!$D$15,IF(Evalucion!AY35=Datos!$C$16,Datos!$D$16,IF(Evalucion!AY35=Datos!$C$17,Datos!$D$17,IF(Evalucion!AY35=Datos!$C$18,Datos!$D$18,IF(Evalucion!AY35=Datos!$C$19,Datos!$D$19,"=")))))</f>
        <v>5</v>
      </c>
      <c r="AY37">
        <f>IF(Evalucion!AZ35=Datos!$C$15,Datos!$D$15,IF(Evalucion!AZ35=Datos!$C$16,Datos!$D$16,IF(Evalucion!AZ35=Datos!$C$17,Datos!$D$17,IF(Evalucion!AZ35=Datos!$C$18,Datos!$D$18,IF(Evalucion!AZ35=Datos!$C$19,Datos!$D$19,"=")))))</f>
        <v>5</v>
      </c>
      <c r="AZ37">
        <f>IF(Evalucion!BA35=Datos!$C$15,Datos!$D$15,IF(Evalucion!BA35=Datos!$C$16,Datos!$D$16,IF(Evalucion!BA35=Datos!$C$17,Datos!$D$17,IF(Evalucion!BA35=Datos!$C$18,Datos!$D$18,IF(Evalucion!BA35=Datos!$C$19,Datos!$D$19,"=")))))</f>
        <v>5</v>
      </c>
      <c r="BA37">
        <f>IF(Evalucion!BB35=Datos!$C$15,Datos!$D$15,IF(Evalucion!BB35=Datos!$C$16,Datos!$D$16,IF(Evalucion!BB35=Datos!$C$17,Datos!$D$17,IF(Evalucion!BB35=Datos!$C$18,Datos!$D$18,IF(Evalucion!BB35=Datos!$C$19,Datos!$D$19,"=")))))</f>
        <v>5</v>
      </c>
      <c r="BB37">
        <f>IF(Evalucion!BC35=Datos!$C$15,Datos!$D$15,IF(Evalucion!BC35=Datos!$C$16,Datos!$D$16,IF(Evalucion!BC35=Datos!$C$17,Datos!$D$17,IF(Evalucion!BC35=Datos!$C$18,Datos!$D$18,IF(Evalucion!BC35=Datos!$C$19,Datos!$D$19,"=")))))</f>
        <v>1</v>
      </c>
      <c r="BC37">
        <f>IF(Evalucion!BD35=Datos!$C$15,Datos!$D$15,IF(Evalucion!BD35=Datos!$C$16,Datos!$D$16,IF(Evalucion!BD35=Datos!$C$17,Datos!$D$17,IF(Evalucion!BD35=Datos!$C$18,Datos!$D$18,IF(Evalucion!BD35=Datos!$C$19,Datos!$D$19,"=")))))</f>
        <v>1</v>
      </c>
      <c r="BD37">
        <f>IF(Evalucion!BE35=Datos!$C$15,Datos!$D$15,IF(Evalucion!BE35=Datos!$C$16,Datos!$D$16,IF(Evalucion!BE35=Datos!$C$17,Datos!$D$17,IF(Evalucion!BE35=Datos!$C$18,Datos!$D$18,IF(Evalucion!BE35=Datos!$C$19,Datos!$D$19,"=")))))</f>
        <v>1</v>
      </c>
      <c r="BE37">
        <f>IF(Evalucion!BF35=Datos!$C$15,Datos!$D$15,IF(Evalucion!BF35=Datos!$C$16,Datos!$D$16,IF(Evalucion!BF35=Datos!$C$17,Datos!$D$17,IF(Evalucion!BF35=Datos!$C$18,Datos!$D$18,IF(Evalucion!BF35=Datos!$C$19,Datos!$D$19,"=")))))</f>
        <v>1</v>
      </c>
      <c r="BF37">
        <f>IF(Evalucion!BG35=Datos!$C$15,Datos!$D$15,IF(Evalucion!BG35=Datos!$C$16,Datos!$D$16,IF(Evalucion!BG35=Datos!$C$17,Datos!$D$17,IF(Evalucion!BG35=Datos!$C$18,Datos!$D$18,IF(Evalucion!BG35=Datos!$C$19,Datos!$D$19,"=")))))</f>
        <v>5</v>
      </c>
      <c r="BG37">
        <f>IF(Evalucion!BH35=Datos!$C$15,Datos!$D$15,IF(Evalucion!BH35=Datos!$C$16,Datos!$D$16,IF(Evalucion!BH35=Datos!$C$17,Datos!$D$17,IF(Evalucion!BH35=Datos!$C$18,Datos!$D$18,IF(Evalucion!BH35=Datos!$C$19,Datos!$D$19,"=")))))</f>
        <v>5</v>
      </c>
      <c r="BH37">
        <f>IF(Evalucion!BI35=Datos!$C$15,Datos!$D$15,IF(Evalucion!BI35=Datos!$C$16,Datos!$D$16,IF(Evalucion!BI35=Datos!$C$17,Datos!$D$17,IF(Evalucion!BI35=Datos!$C$18,Datos!$D$18,IF(Evalucion!BI35=Datos!$C$19,Datos!$D$19,"=")))))</f>
        <v>1</v>
      </c>
      <c r="BI37">
        <f>IF(Evalucion!BJ35=Datos!$C$15,Datos!$D$15,IF(Evalucion!BJ35=Datos!$C$16,Datos!$D$16,IF(Evalucion!BJ35=Datos!$C$17,Datos!$D$17,IF(Evalucion!BJ35=Datos!$C$18,Datos!$D$18,IF(Evalucion!BJ35=Datos!$C$19,Datos!$D$19,"=")))))</f>
        <v>1</v>
      </c>
      <c r="BJ37">
        <f>IF(Evalucion!BK35=Datos!$C$15,Datos!$D$15,IF(Evalucion!BK35=Datos!$C$16,Datos!$D$16,IF(Evalucion!BK35=Datos!$C$17,Datos!$D$17,IF(Evalucion!BK35=Datos!$C$18,Datos!$D$18,IF(Evalucion!BK35=Datos!$C$19,Datos!$D$19,"=")))))</f>
        <v>1</v>
      </c>
      <c r="BK37">
        <f>IF(Evalucion!BL35=Datos!$C$15,Datos!$D$15,IF(Evalucion!BL35=Datos!$C$16,Datos!$D$16,IF(Evalucion!BL35=Datos!$C$17,Datos!$D$17,IF(Evalucion!BL35=Datos!$C$18,Datos!$D$18,IF(Evalucion!BL35=Datos!$C$19,Datos!$D$19,"=")))))</f>
        <v>1</v>
      </c>
      <c r="BL37">
        <f>IF(Evalucion!BM35=Datos!$C$15,Datos!$D$15,IF(Evalucion!BM35=Datos!$C$16,Datos!$D$16,IF(Evalucion!BM35=Datos!$C$17,Datos!$D$17,IF(Evalucion!BM35=Datos!$C$18,Datos!$D$18,IF(Evalucion!BM35=Datos!$C$19,Datos!$D$19,"=")))))</f>
        <v>1</v>
      </c>
      <c r="BM37">
        <f>IF(Evalucion!BN35=Datos!$C$15,Datos!$D$15,IF(Evalucion!BN35=Datos!$C$16,Datos!$D$16,IF(Evalucion!BN35=Datos!$C$17,Datos!$D$17,IF(Evalucion!BN35=Datos!$C$18,Datos!$D$18,IF(Evalucion!BN35=Datos!$C$19,Datos!$D$19,"=")))))</f>
        <v>1</v>
      </c>
      <c r="BN37">
        <f>IF(Evalucion!BO35=Datos!$C$15,Datos!$D$15,IF(Evalucion!BO35=Datos!$C$16,Datos!$D$16,IF(Evalucion!BO35=Datos!$C$17,Datos!$D$17,IF(Evalucion!BO35=Datos!$C$18,Datos!$D$18,IF(Evalucion!BO35=Datos!$C$19,Datos!$D$19,"=")))))</f>
        <v>5</v>
      </c>
      <c r="BO37">
        <f>IF(Evalucion!BP35=Datos!$C$15,Datos!$D$15,IF(Evalucion!BP35=Datos!$C$16,Datos!$D$16,IF(Evalucion!BP35=Datos!$C$17,Datos!$D$17,IF(Evalucion!BP35=Datos!$C$18,Datos!$D$18,IF(Evalucion!BP35=Datos!$C$19,Datos!$D$19,"=")))))</f>
        <v>5</v>
      </c>
      <c r="BP37">
        <f>IF(Evalucion!BQ35=Datos!$C$15,Datos!$D$15,IF(Evalucion!BQ35=Datos!$C$16,Datos!$D$16,IF(Evalucion!BQ35=Datos!$C$17,Datos!$D$17,IF(Evalucion!BQ35=Datos!$C$18,Datos!$D$18,IF(Evalucion!BQ35=Datos!$C$19,Datos!$D$19,"=")))))</f>
        <v>1</v>
      </c>
      <c r="BQ37">
        <f>IF(Evalucion!BR35=Datos!$C$15,Datos!$D$15,IF(Evalucion!BR35=Datos!$C$16,Datos!$D$16,IF(Evalucion!BR35=Datos!$C$17,Datos!$D$17,IF(Evalucion!BR35=Datos!$C$18,Datos!$D$18,IF(Evalucion!BR35=Datos!$C$19,Datos!$D$19,"=")))))</f>
        <v>1</v>
      </c>
      <c r="BR37">
        <f>IF(Evalucion!BS35=Datos!$C$15,Datos!$D$15,IF(Evalucion!BS35=Datos!$C$16,Datos!$D$16,IF(Evalucion!BS35=Datos!$C$17,Datos!$D$17,IF(Evalucion!BS35=Datos!$C$18,Datos!$D$18,IF(Evalucion!BS35=Datos!$C$19,Datos!$D$19,"=")))))</f>
        <v>1</v>
      </c>
      <c r="BS37">
        <f>IF(Evalucion!BT35=Datos!$C$15,Datos!$D$15,IF(Evalucion!BT35=Datos!$C$16,Datos!$D$16,IF(Evalucion!BT35=Datos!$C$17,Datos!$D$17,IF(Evalucion!BT35=Datos!$C$18,Datos!$D$18,IF(Evalucion!BT35=Datos!$C$19,Datos!$D$19,"=")))))</f>
        <v>1</v>
      </c>
      <c r="BT37">
        <f>IF(Evalucion!BU35=Datos!$C$15,Datos!$D$15,IF(Evalucion!BU35=Datos!$C$16,Datos!$D$16,IF(Evalucion!BU35=Datos!$C$17,Datos!$D$17,IF(Evalucion!BU35=Datos!$C$18,Datos!$D$18,IF(Evalucion!BU35=Datos!$C$19,Datos!$D$19,"=")))))</f>
        <v>1</v>
      </c>
      <c r="BU37">
        <f>IF(Evalucion!BV35=Datos!$C$15,Datos!$D$15,IF(Evalucion!BV35=Datos!$C$16,Datos!$D$16,IF(Evalucion!BV35=Datos!$C$17,Datos!$D$17,IF(Evalucion!BV35=Datos!$C$18,Datos!$D$18,IF(Evalucion!BV35=Datos!$C$19,Datos!$D$19,"=")))))</f>
        <v>1</v>
      </c>
      <c r="BV37">
        <f>IF(Evalucion!BW35=Datos!$C$15,Datos!$D$15,IF(Evalucion!BW35=Datos!$C$16,Datos!$D$16,IF(Evalucion!BW35=Datos!$C$17,Datos!$D$17,IF(Evalucion!BW35=Datos!$C$18,Datos!$D$18,IF(Evalucion!BW35=Datos!$C$19,Datos!$D$19,"=")))))</f>
        <v>5</v>
      </c>
      <c r="BW37">
        <f>IF(Evalucion!BX35=Datos!$C$15,Datos!$D$15,IF(Evalucion!BX35=Datos!$C$16,Datos!$D$16,IF(Evalucion!BX35=Datos!$C$17,Datos!$D$17,IF(Evalucion!BX35=Datos!$C$18,Datos!$D$18,IF(Evalucion!BX35=Datos!$C$19,Datos!$D$19,"=")))))</f>
        <v>5</v>
      </c>
      <c r="BX37">
        <f>IF(Evalucion!BY35=Datos!$C$15,Datos!$D$15,IF(Evalucion!BY35=Datos!$C$16,Datos!$D$16,IF(Evalucion!BY35=Datos!$C$17,Datos!$D$17,IF(Evalucion!BY35=Datos!$C$18,Datos!$D$18,IF(Evalucion!BY35=Datos!$C$19,Datos!$D$19,"=")))))</f>
        <v>1</v>
      </c>
      <c r="BY37">
        <f>IF(Evalucion!BZ35=Datos!$C$15,Datos!$D$15,IF(Evalucion!BZ35=Datos!$C$16,Datos!$D$16,IF(Evalucion!BZ35=Datos!$C$17,Datos!$D$17,IF(Evalucion!BZ35=Datos!$C$18,Datos!$D$18,IF(Evalucion!BZ35=Datos!$C$19,Datos!$D$19,"=")))))</f>
        <v>1</v>
      </c>
      <c r="BZ37">
        <f>IF(Evalucion!CA35=Datos!$C$15,Datos!$D$15,IF(Evalucion!CA35=Datos!$C$16,Datos!$D$16,IF(Evalucion!CA35=Datos!$C$17,Datos!$D$17,IF(Evalucion!CA35=Datos!$C$18,Datos!$D$18,IF(Evalucion!CA35=Datos!$C$19,Datos!$D$19,"=")))))</f>
        <v>1</v>
      </c>
      <c r="CA37">
        <f>IF(Evalucion!CB35=Datos!$C$15,Datos!$D$15,IF(Evalucion!CB35=Datos!$C$16,Datos!$D$16,IF(Evalucion!CB35=Datos!$C$17,Datos!$D$17,IF(Evalucion!CB35=Datos!$C$18,Datos!$D$18,IF(Evalucion!CB35=Datos!$C$19,Datos!$D$19,"=")))))</f>
        <v>1</v>
      </c>
      <c r="CB37">
        <f>IF(Evalucion!CC35=Datos!$C$15,Datos!$D$15,IF(Evalucion!CC35=Datos!$C$16,Datos!$D$16,IF(Evalucion!CC35=Datos!$C$17,Datos!$D$17,IF(Evalucion!CC35=Datos!$C$18,Datos!$D$18,IF(Evalucion!CC35=Datos!$C$19,Datos!$D$19,"=")))))</f>
        <v>5</v>
      </c>
      <c r="CC37">
        <f>IF(Evalucion!CD35=Datos!$C$15,Datos!$D$15,IF(Evalucion!CD35=Datos!$C$16,Datos!$D$16,IF(Evalucion!CD35=Datos!$C$17,Datos!$D$17,IF(Evalucion!CD35=Datos!$C$18,Datos!$D$18,IF(Evalucion!CD35=Datos!$C$19,Datos!$D$19,"=")))))</f>
        <v>5</v>
      </c>
      <c r="CD37">
        <f>IF(Evalucion!CE35=Datos!$C$15,Datos!$D$15,IF(Evalucion!CE35=Datos!$C$16,Datos!$D$16,IF(Evalucion!CE35=Datos!$C$17,Datos!$D$17,IF(Evalucion!CE35=Datos!$C$18,Datos!$D$18,IF(Evalucion!CE35=Datos!$C$19,Datos!$D$19,"=")))))</f>
        <v>5</v>
      </c>
      <c r="CE37">
        <f>IF(Evalucion!CF35=Datos!$C$15,Datos!$D$15,IF(Evalucion!CF35=Datos!$C$16,Datos!$D$16,IF(Evalucion!CF35=Datos!$C$17,Datos!$D$17,IF(Evalucion!CF35=Datos!$C$18,Datos!$D$18,IF(Evalucion!CF35=Datos!$C$19,Datos!$D$19,"=")))))</f>
        <v>1</v>
      </c>
      <c r="CF37">
        <f>IF(Evalucion!CG35=Datos!$C$15,Datos!$D$15,IF(Evalucion!CG35=Datos!$C$16,Datos!$D$16,IF(Evalucion!CG35=Datos!$C$17,Datos!$D$17,IF(Evalucion!CG35=Datos!$C$18,Datos!$D$18,IF(Evalucion!CG35=Datos!$C$19,Datos!$D$19,"=")))))</f>
        <v>1</v>
      </c>
      <c r="CG37">
        <f>IF(Evalucion!CH35=Datos!$C$15,Datos!$D$15,IF(Evalucion!CH35=Datos!$C$16,Datos!$D$16,IF(Evalucion!CH35=Datos!$C$17,Datos!$D$17,IF(Evalucion!CH35=Datos!$C$18,Datos!$D$18,IF(Evalucion!CH35=Datos!$C$19,Datos!$D$19,"=")))))</f>
        <v>1</v>
      </c>
      <c r="CH37">
        <f>IF(Evalucion!CI35=Datos!$C$15,Datos!$D$15,IF(Evalucion!CI35=Datos!$C$16,Datos!$D$16,IF(Evalucion!CI35=Datos!$C$17,Datos!$D$17,IF(Evalucion!CI35=Datos!$C$18,Datos!$D$18,IF(Evalucion!CI35=Datos!$C$19,Datos!$D$19,"=")))))</f>
        <v>1</v>
      </c>
      <c r="CI37">
        <f>IF(Evalucion!CJ35=Datos!$C$15,Datos!$D$15,IF(Evalucion!CJ35=Datos!$C$16,Datos!$D$16,IF(Evalucion!CJ35=Datos!$C$17,Datos!$D$17,IF(Evalucion!CJ35=Datos!$C$18,Datos!$D$18,IF(Evalucion!CJ35=Datos!$C$19,Datos!$D$19,"=")))))</f>
        <v>1</v>
      </c>
      <c r="CJ37">
        <f>IF(Evalucion!CK35=Datos!$C$15,Datos!$D$15,IF(Evalucion!CK35=Datos!$C$16,Datos!$D$16,IF(Evalucion!CK35=Datos!$C$17,Datos!$D$17,IF(Evalucion!CK35=Datos!$C$18,Datos!$D$18,IF(Evalucion!CK35=Datos!$C$19,Datos!$D$19,"=")))))</f>
        <v>5</v>
      </c>
      <c r="CK37">
        <f>IF(Evalucion!CL35=Datos!$C$15,Datos!$D$15,IF(Evalucion!CL35=Datos!$C$16,Datos!$D$16,IF(Evalucion!CL35=Datos!$C$17,Datos!$D$17,IF(Evalucion!CL35=Datos!$C$18,Datos!$D$18,IF(Evalucion!CL35=Datos!$C$19,Datos!$D$19,"=")))))</f>
        <v>5</v>
      </c>
      <c r="CL37">
        <f>IF(Evalucion!CM35=Datos!$C$15,Datos!$D$15,IF(Evalucion!CM35=Datos!$C$16,Datos!$D$16,IF(Evalucion!CM35=Datos!$C$17,Datos!$D$17,IF(Evalucion!CM35=Datos!$C$18,Datos!$D$18,IF(Evalucion!CM35=Datos!$C$19,Datos!$D$19,"=")))))</f>
        <v>5</v>
      </c>
      <c r="CM37">
        <f>IF(Evalucion!CN35=Datos!$C$15,Datos!$D$15,IF(Evalucion!CN35=Datos!$C$16,Datos!$D$16,IF(Evalucion!CN35=Datos!$C$17,Datos!$D$17,IF(Evalucion!CN35=Datos!$C$18,Datos!$D$18,IF(Evalucion!CN35=Datos!$C$19,Datos!$D$19,"=")))))</f>
        <v>3</v>
      </c>
      <c r="CN37">
        <f>IF(Evalucion!CO35=Datos!$C$15,Datos!$D$15,IF(Evalucion!CO35=Datos!$C$16,Datos!$D$16,IF(Evalucion!CO35=Datos!$C$17,Datos!$D$17,IF(Evalucion!CO35=Datos!$C$18,Datos!$D$18,IF(Evalucion!CO35=Datos!$C$19,Datos!$D$19,"=")))))</f>
        <v>5</v>
      </c>
      <c r="CO37">
        <f>IF(Evalucion!CP35=Datos!$C$15,Datos!$D$15,IF(Evalucion!CP35=Datos!$C$16,Datos!$D$16,IF(Evalucion!CP35=Datos!$C$17,Datos!$D$17,IF(Evalucion!CP35=Datos!$C$18,Datos!$D$18,IF(Evalucion!CP35=Datos!$C$19,Datos!$D$19,"=")))))</f>
        <v>5</v>
      </c>
      <c r="CP37">
        <f>IF(Evalucion!CQ35=Datos!$C$15,Datos!$D$15,IF(Evalucion!CQ35=Datos!$C$16,Datos!$D$16,IF(Evalucion!CQ35=Datos!$C$17,Datos!$D$17,IF(Evalucion!CQ35=Datos!$C$18,Datos!$D$18,IF(Evalucion!CQ35=Datos!$C$19,Datos!$D$19,"=")))))</f>
        <v>1</v>
      </c>
      <c r="CQ37">
        <f>IF(Evalucion!CR35=Datos!$C$15,Datos!$D$15,IF(Evalucion!CR35=Datos!$C$16,Datos!$D$16,IF(Evalucion!CR35=Datos!$C$17,Datos!$D$17,IF(Evalucion!CR35=Datos!$C$18,Datos!$D$18,IF(Evalucion!CR35=Datos!$C$19,Datos!$D$19,"=")))))</f>
        <v>1</v>
      </c>
      <c r="CR37">
        <f>IF(Evalucion!CS35=Datos!$C$15,Datos!$D$15,IF(Evalucion!CS35=Datos!$C$16,Datos!$D$16,IF(Evalucion!CS35=Datos!$C$17,Datos!$D$17,IF(Evalucion!CS35=Datos!$C$18,Datos!$D$18,IF(Evalucion!CS35=Datos!$C$19,Datos!$D$19,"=")))))</f>
        <v>1</v>
      </c>
      <c r="CS37">
        <f>IF(Evalucion!CT35=Datos!$C$15,Datos!$D$15,IF(Evalucion!CT35=Datos!$C$16,Datos!$D$16,IF(Evalucion!CT35=Datos!$C$17,Datos!$D$17,IF(Evalucion!CT35=Datos!$C$18,Datos!$D$18,IF(Evalucion!CT35=Datos!$C$19,Datos!$D$19,"=")))))</f>
        <v>1</v>
      </c>
      <c r="CT37">
        <f>IF(Evalucion!CU35=Datos!$C$15,Datos!$D$15,IF(Evalucion!CU35=Datos!$C$16,Datos!$D$16,IF(Evalucion!CU35=Datos!$C$17,Datos!$D$17,IF(Evalucion!CU35=Datos!$C$18,Datos!$D$18,IF(Evalucion!CU35=Datos!$C$19,Datos!$D$19,"=")))))</f>
        <v>1</v>
      </c>
      <c r="CU37">
        <f>IF(Evalucion!CV35=Datos!$C$15,Datos!$D$15,IF(Evalucion!CV35=Datos!$C$16,Datos!$D$16,IF(Evalucion!CV35=Datos!$C$17,Datos!$D$17,IF(Evalucion!CV35=Datos!$C$18,Datos!$D$18,IF(Evalucion!CV35=Datos!$C$19,Datos!$D$19,"=")))))</f>
        <v>1</v>
      </c>
      <c r="CV37">
        <f>IF(Evalucion!CW35=Datos!$C$15,Datos!$D$15,IF(Evalucion!CW35=Datos!$C$16,Datos!$D$16,IF(Evalucion!CW35=Datos!$C$17,Datos!$D$17,IF(Evalucion!CW35=Datos!$C$18,Datos!$D$18,IF(Evalucion!CW35=Datos!$C$19,Datos!$D$19,"=")))))</f>
        <v>5</v>
      </c>
      <c r="CW37">
        <f>IF(Evalucion!CX35=Datos!$C$15,Datos!$D$15,IF(Evalucion!CX35=Datos!$C$16,Datos!$D$16,IF(Evalucion!CX35=Datos!$C$17,Datos!$D$17,IF(Evalucion!CX35=Datos!$C$18,Datos!$D$18,IF(Evalucion!CX35=Datos!$C$19,Datos!$D$19,"=")))))</f>
        <v>3</v>
      </c>
      <c r="CX37">
        <f>IF(Evalucion!CY35=Datos!$C$15,Datos!$D$15,IF(Evalucion!CY35=Datos!$C$16,Datos!$D$16,IF(Evalucion!CY35=Datos!$C$17,Datos!$D$17,IF(Evalucion!CY35=Datos!$C$18,Datos!$D$18,IF(Evalucion!CY35=Datos!$C$19,Datos!$D$19,"=")))))</f>
        <v>5</v>
      </c>
      <c r="CY37">
        <f>IF(Evalucion!CZ35=Datos!$C$15,Datos!$D$15,IF(Evalucion!CZ35=Datos!$C$16,Datos!$D$16,IF(Evalucion!CZ35=Datos!$C$17,Datos!$D$17,IF(Evalucion!CZ35=Datos!$C$18,Datos!$D$18,IF(Evalucion!CZ35=Datos!$C$19,Datos!$D$19,"=")))))</f>
        <v>3</v>
      </c>
      <c r="CZ37">
        <f>IF(Evalucion!DA35=Datos!$C$15,Datos!$D$15,IF(Evalucion!DA35=Datos!$C$16,Datos!$D$16,IF(Evalucion!DA35=Datos!$C$17,Datos!$D$17,IF(Evalucion!DA35=Datos!$C$18,Datos!$D$18,IF(Evalucion!DA35=Datos!$C$19,Datos!$D$19,"=")))))</f>
        <v>5</v>
      </c>
      <c r="DA37">
        <f>IF(Evalucion!DB35=Datos!$C$15,Datos!$D$15,IF(Evalucion!DB35=Datos!$C$16,Datos!$D$16,IF(Evalucion!DB35=Datos!$C$17,Datos!$D$17,IF(Evalucion!DB35=Datos!$C$18,Datos!$D$18,IF(Evalucion!DB35=Datos!$C$19,Datos!$D$19,"=")))))</f>
        <v>3</v>
      </c>
      <c r="DB37">
        <f>IF(Evalucion!DC35=Datos!$C$15,Datos!$D$15,IF(Evalucion!DC35=Datos!$C$16,Datos!$D$16,IF(Evalucion!DC35=Datos!$C$17,Datos!$D$17,IF(Evalucion!DC35=Datos!$C$18,Datos!$D$18,IF(Evalucion!DC35=Datos!$C$19,Datos!$D$19,"=")))))</f>
        <v>5</v>
      </c>
      <c r="DC37">
        <f>IF(Evalucion!DD35=Datos!$C$15,Datos!$D$15,IF(Evalucion!DD35=Datos!$C$16,Datos!$D$16,IF(Evalucion!DD35=Datos!$C$17,Datos!$D$17,IF(Evalucion!DD35=Datos!$C$18,Datos!$D$18,IF(Evalucion!DD35=Datos!$C$19,Datos!$D$19,"=")))))</f>
        <v>5</v>
      </c>
      <c r="DD37">
        <f>IF(Evalucion!DE35=Datos!$C$15,Datos!$D$15,IF(Evalucion!DE35=Datos!$C$16,Datos!$D$16,IF(Evalucion!DE35=Datos!$C$17,Datos!$D$17,IF(Evalucion!DE35=Datos!$C$18,Datos!$D$18,IF(Evalucion!DE35=Datos!$C$19,Datos!$D$19,"=")))))</f>
        <v>1</v>
      </c>
      <c r="DE37">
        <f>IF(Evalucion!DF35=Datos!$C$15,Datos!$D$15,IF(Evalucion!DF35=Datos!$C$16,Datos!$D$16,IF(Evalucion!DF35=Datos!$C$17,Datos!$D$17,IF(Evalucion!DF35=Datos!$C$18,Datos!$D$18,IF(Evalucion!DF35=Datos!$C$19,Datos!$D$19,"=")))))</f>
        <v>1</v>
      </c>
      <c r="DF37">
        <f>IF(Evalucion!DG35=Datos!$C$15,Datos!$D$15,IF(Evalucion!DG35=Datos!$C$16,Datos!$D$16,IF(Evalucion!DG35=Datos!$C$17,Datos!$D$17,IF(Evalucion!DG35=Datos!$C$18,Datos!$D$18,IF(Evalucion!DG35=Datos!$C$19,Datos!$D$19,"=")))))</f>
        <v>5</v>
      </c>
      <c r="DG37">
        <f>IF(Evalucion!DH35=Datos!$C$15,Datos!$D$15,IF(Evalucion!DH35=Datos!$C$16,Datos!$D$16,IF(Evalucion!DH35=Datos!$C$17,Datos!$D$17,IF(Evalucion!DH35=Datos!$C$18,Datos!$D$18,IF(Evalucion!DH35=Datos!$C$19,Datos!$D$19,"=")))))</f>
        <v>3</v>
      </c>
      <c r="DH37">
        <f>IF(Evalucion!DI35=Datos!$C$15,Datos!$D$15,IF(Evalucion!DI35=Datos!$C$16,Datos!$D$16,IF(Evalucion!DI35=Datos!$C$17,Datos!$D$17,IF(Evalucion!DI35=Datos!$C$18,Datos!$D$18,IF(Evalucion!DI35=Datos!$C$19,Datos!$D$19,"=")))))</f>
        <v>1</v>
      </c>
      <c r="DI37">
        <f>IF(Evalucion!DJ35=Datos!$C$15,Datos!$D$15,IF(Evalucion!DJ35=Datos!$C$16,Datos!$D$16,IF(Evalucion!DJ35=Datos!$C$17,Datos!$D$17,IF(Evalucion!DJ35=Datos!$C$18,Datos!$D$18,IF(Evalucion!DJ35=Datos!$C$19,Datos!$D$19,"=")))))</f>
        <v>1</v>
      </c>
      <c r="DJ37">
        <f>IF(Evalucion!DK35=Datos!$C$15,Datos!$D$15,IF(Evalucion!DK35=Datos!$C$16,Datos!$D$16,IF(Evalucion!DK35=Datos!$C$17,Datos!$D$17,IF(Evalucion!DK35=Datos!$C$18,Datos!$D$18,IF(Evalucion!DK35=Datos!$C$19,Datos!$D$19,"=")))))</f>
        <v>1</v>
      </c>
      <c r="DK37">
        <f>IF(Evalucion!DL35=Datos!$C$15,Datos!$D$15,IF(Evalucion!DL35=Datos!$C$16,Datos!$D$16,IF(Evalucion!DL35=Datos!$C$17,Datos!$D$17,IF(Evalucion!DL35=Datos!$C$18,Datos!$D$18,IF(Evalucion!DL35=Datos!$C$19,Datos!$D$19,"=")))))</f>
        <v>1</v>
      </c>
      <c r="DL37">
        <f>IF(Evalucion!DM35=Datos!$C$15,Datos!$D$15,IF(Evalucion!DM35=Datos!$C$16,Datos!$D$16,IF(Evalucion!DM35=Datos!$C$17,Datos!$D$17,IF(Evalucion!DM35=Datos!$C$18,Datos!$D$18,IF(Evalucion!DM35=Datos!$C$19,Datos!$D$19,"=")))))</f>
        <v>1</v>
      </c>
      <c r="DM37">
        <f>IF(Evalucion!DN35=Datos!$C$15,Datos!$D$15,IF(Evalucion!DN35=Datos!$C$16,Datos!$D$16,IF(Evalucion!DN35=Datos!$C$17,Datos!$D$17,IF(Evalucion!DN35=Datos!$C$18,Datos!$D$18,IF(Evalucion!DN35=Datos!$C$19,Datos!$D$19,"=")))))</f>
        <v>1</v>
      </c>
      <c r="DN37">
        <f>IF(Evalucion!DO35=Datos!$C$15,Datos!$D$15,IF(Evalucion!DO35=Datos!$C$16,Datos!$D$16,IF(Evalucion!DO35=Datos!$C$17,Datos!$D$17,IF(Evalucion!DO35=Datos!$C$18,Datos!$D$18,IF(Evalucion!DO35=Datos!$C$19,Datos!$D$19,"=")))))</f>
        <v>5</v>
      </c>
      <c r="DO37">
        <f>IF(Evalucion!DP35=Datos!$C$15,Datos!$D$15,IF(Evalucion!DP35=Datos!$C$16,Datos!$D$16,IF(Evalucion!DP35=Datos!$C$17,Datos!$D$17,IF(Evalucion!DP35=Datos!$C$18,Datos!$D$18,IF(Evalucion!DP35=Datos!$C$19,Datos!$D$19,"=")))))</f>
        <v>1</v>
      </c>
      <c r="DP37">
        <f>IF(Evalucion!DQ35=Datos!$C$15,Datos!$D$15,IF(Evalucion!DQ35=Datos!$C$16,Datos!$D$16,IF(Evalucion!DQ35=Datos!$C$17,Datos!$D$17,IF(Evalucion!DQ35=Datos!$C$18,Datos!$D$18,IF(Evalucion!DQ35=Datos!$C$19,Datos!$D$19,"=")))))</f>
        <v>5</v>
      </c>
      <c r="DQ37">
        <f>IF(Evalucion!DR35=Datos!$C$15,Datos!$D$15,IF(Evalucion!DR35=Datos!$C$16,Datos!$D$16,IF(Evalucion!DR35=Datos!$C$17,Datos!$D$17,IF(Evalucion!DR35=Datos!$C$18,Datos!$D$18,IF(Evalucion!DR35=Datos!$C$19,Datos!$D$19,"=")))))</f>
        <v>3</v>
      </c>
      <c r="DR37">
        <f>IF(Evalucion!DS35=Datos!$C$15,Datos!$D$15,IF(Evalucion!DS35=Datos!$C$16,Datos!$D$16,IF(Evalucion!DS35=Datos!$C$17,Datos!$D$17,IF(Evalucion!DS35=Datos!$C$18,Datos!$D$18,IF(Evalucion!DS35=Datos!$C$19,Datos!$D$19,"=")))))</f>
        <v>1</v>
      </c>
      <c r="DS37">
        <f>IF(Evalucion!DT35=Datos!$C$15,Datos!$D$15,IF(Evalucion!DT35=Datos!$C$16,Datos!$D$16,IF(Evalucion!DT35=Datos!$C$17,Datos!$D$17,IF(Evalucion!DT35=Datos!$C$18,Datos!$D$18,IF(Evalucion!DT35=Datos!$C$19,Datos!$D$19,"=")))))</f>
        <v>1</v>
      </c>
      <c r="DT37">
        <f>IF(Evalucion!DU35=Datos!$C$15,Datos!$D$15,IF(Evalucion!DU35=Datos!$C$16,Datos!$D$16,IF(Evalucion!DU35=Datos!$C$17,Datos!$D$17,IF(Evalucion!DU35=Datos!$C$18,Datos!$D$18,IF(Evalucion!DU35=Datos!$C$19,Datos!$D$19,"=")))))</f>
        <v>5</v>
      </c>
      <c r="DU37">
        <f>IF(Evalucion!DV35=Datos!$C$15,Datos!$D$15,IF(Evalucion!DV35=Datos!$C$16,Datos!$D$16,IF(Evalucion!DV35=Datos!$C$17,Datos!$D$17,IF(Evalucion!DV35=Datos!$C$18,Datos!$D$18,IF(Evalucion!DV35=Datos!$C$19,Datos!$D$19,"=")))))</f>
        <v>3</v>
      </c>
      <c r="DV37">
        <f>IF(Evalucion!DW35=Datos!$C$15,Datos!$D$15,IF(Evalucion!DW35=Datos!$C$16,Datos!$D$16,IF(Evalucion!DW35=Datos!$C$17,Datos!$D$17,IF(Evalucion!DW35=Datos!$C$18,Datos!$D$18,IF(Evalucion!DW35=Datos!$C$19,Datos!$D$19,"=")))))</f>
        <v>1</v>
      </c>
      <c r="DW37">
        <f>IF(Evalucion!DX35=Datos!$C$15,Datos!$D$15,IF(Evalucion!DX35=Datos!$C$16,Datos!$D$16,IF(Evalucion!DX35=Datos!$C$17,Datos!$D$17,IF(Evalucion!DX35=Datos!$C$18,Datos!$D$18,IF(Evalucion!DX35=Datos!$C$19,Datos!$D$19,"=")))))</f>
        <v>1</v>
      </c>
      <c r="DX37">
        <f>IF(Evalucion!DY35=Datos!$C$15,Datos!$D$15,IF(Evalucion!DY35=Datos!$C$16,Datos!$D$16,IF(Evalucion!DY35=Datos!$C$17,Datos!$D$17,IF(Evalucion!DY35=Datos!$C$18,Datos!$D$18,IF(Evalucion!DY35=Datos!$C$19,Datos!$D$19,"=")))))</f>
        <v>1</v>
      </c>
      <c r="DY37">
        <f>IF(Evalucion!DZ35=Datos!$C$15,Datos!$D$15,IF(Evalucion!DZ35=Datos!$C$16,Datos!$D$16,IF(Evalucion!DZ35=Datos!$C$17,Datos!$D$17,IF(Evalucion!DZ35=Datos!$C$18,Datos!$D$18,IF(Evalucion!DZ35=Datos!$C$19,Datos!$D$19,"=")))))</f>
        <v>1</v>
      </c>
      <c r="DZ37">
        <f>IF(Evalucion!EA35=Datos!$C$15,Datos!$D$15,IF(Evalucion!EA35=Datos!$C$16,Datos!$D$16,IF(Evalucion!EA35=Datos!$C$17,Datos!$D$17,IF(Evalucion!EA35=Datos!$C$18,Datos!$D$18,IF(Evalucion!EA35=Datos!$C$19,Datos!$D$19,"=")))))</f>
        <v>5</v>
      </c>
      <c r="EA37">
        <f>IF(Evalucion!EB35=Datos!$C$15,Datos!$D$15,IF(Evalucion!EB35=Datos!$C$16,Datos!$D$16,IF(Evalucion!EB35=Datos!$C$17,Datos!$D$17,IF(Evalucion!EB35=Datos!$C$18,Datos!$D$18,IF(Evalucion!EB35=Datos!$C$19,Datos!$D$19,"=")))))</f>
        <v>5</v>
      </c>
      <c r="EB37">
        <f>IF(Evalucion!EC35=Datos!$C$15,Datos!$D$15,IF(Evalucion!EC35=Datos!$C$16,Datos!$D$16,IF(Evalucion!EC35=Datos!$C$17,Datos!$D$17,IF(Evalucion!EC35=Datos!$C$18,Datos!$D$18,IF(Evalucion!EC35=Datos!$C$19,Datos!$D$19,"=")))))</f>
        <v>5</v>
      </c>
      <c r="EC37">
        <f>IF(Evalucion!ED35=Datos!$C$15,Datos!$D$15,IF(Evalucion!ED35=Datos!$C$16,Datos!$D$16,IF(Evalucion!ED35=Datos!$C$17,Datos!$D$17,IF(Evalucion!ED35=Datos!$C$18,Datos!$D$18,IF(Evalucion!ED35=Datos!$C$19,Datos!$D$19,"=")))))</f>
        <v>3</v>
      </c>
      <c r="ED37">
        <f>IF(Evalucion!EE35=Datos!$C$15,Datos!$D$15,IF(Evalucion!EE35=Datos!$C$16,Datos!$D$16,IF(Evalucion!EE35=Datos!$C$17,Datos!$D$17,IF(Evalucion!EE35=Datos!$C$18,Datos!$D$18,IF(Evalucion!EE35=Datos!$C$19,Datos!$D$19,"=")))))</f>
        <v>5</v>
      </c>
      <c r="EE37">
        <f>IF(Evalucion!EF35=Datos!$C$15,Datos!$D$15,IF(Evalucion!EF35=Datos!$C$16,Datos!$D$16,IF(Evalucion!EF35=Datos!$C$17,Datos!$D$17,IF(Evalucion!EF35=Datos!$C$18,Datos!$D$18,IF(Evalucion!EF35=Datos!$C$19,Datos!$D$19,"=")))))</f>
        <v>1</v>
      </c>
      <c r="EF37">
        <f>IF(Evalucion!EG35=Datos!$C$15,Datos!$D$15,IF(Evalucion!EG35=Datos!$C$16,Datos!$D$16,IF(Evalucion!EG35=Datos!$C$17,Datos!$D$17,IF(Evalucion!EG35=Datos!$C$18,Datos!$D$18,IF(Evalucion!EG35=Datos!$C$19,Datos!$D$19,"=")))))</f>
        <v>5</v>
      </c>
      <c r="EG37">
        <f>IF(Evalucion!EH35=Datos!$C$15,Datos!$D$15,IF(Evalucion!EH35=Datos!$C$16,Datos!$D$16,IF(Evalucion!EH35=Datos!$C$17,Datos!$D$17,IF(Evalucion!EH35=Datos!$C$18,Datos!$D$18,IF(Evalucion!EH35=Datos!$C$19,Datos!$D$19,"=")))))</f>
        <v>5</v>
      </c>
      <c r="EH37">
        <f>IF(Evalucion!EI35=Datos!$C$15,Datos!$D$15,IF(Evalucion!EI35=Datos!$C$16,Datos!$D$16,IF(Evalucion!EI35=Datos!$C$17,Datos!$D$17,IF(Evalucion!EI35=Datos!$C$18,Datos!$D$18,IF(Evalucion!EI35=Datos!$C$19,Datos!$D$19,"=")))))</f>
        <v>1</v>
      </c>
      <c r="EI37">
        <f>IF(Evalucion!EJ35=Datos!$C$15,Datos!$D$15,IF(Evalucion!EJ35=Datos!$C$16,Datos!$D$16,IF(Evalucion!EJ35=Datos!$C$17,Datos!$D$17,IF(Evalucion!EJ35=Datos!$C$18,Datos!$D$18,IF(Evalucion!EJ35=Datos!$C$19,Datos!$D$19,"=")))))</f>
        <v>1</v>
      </c>
      <c r="EJ37">
        <f>IF(Evalucion!EK35=Datos!$C$15,Datos!$D$15,IF(Evalucion!EK35=Datos!$C$16,Datos!$D$16,IF(Evalucion!EK35=Datos!$C$17,Datos!$D$17,IF(Evalucion!EK35=Datos!$C$18,Datos!$D$18,IF(Evalucion!EK35=Datos!$C$19,Datos!$D$19,"=")))))</f>
        <v>1</v>
      </c>
      <c r="EK37">
        <f>IF(Evalucion!EL35=Datos!$C$15,Datos!$D$15,IF(Evalucion!EL35=Datos!$C$16,Datos!$D$16,IF(Evalucion!EL35=Datos!$C$17,Datos!$D$17,IF(Evalucion!EL35=Datos!$C$18,Datos!$D$18,IF(Evalucion!EL35=Datos!$C$19,Datos!$D$19,"=")))))</f>
        <v>1</v>
      </c>
      <c r="EL37">
        <f>IF(Evalucion!EM35=Datos!$C$15,Datos!$D$15,IF(Evalucion!EM35=Datos!$C$16,Datos!$D$16,IF(Evalucion!EM35=Datos!$C$17,Datos!$D$17,IF(Evalucion!EM35=Datos!$C$18,Datos!$D$18,IF(Evalucion!EM35=Datos!$C$19,Datos!$D$19,"=")))))</f>
        <v>5</v>
      </c>
      <c r="EM37">
        <f>IF(Evalucion!EN35=Datos!$C$15,Datos!$D$15,IF(Evalucion!EN35=Datos!$C$16,Datos!$D$16,IF(Evalucion!EN35=Datos!$C$17,Datos!$D$17,IF(Evalucion!EN35=Datos!$C$18,Datos!$D$18,IF(Evalucion!EN35=Datos!$C$19,Datos!$D$19,"=")))))</f>
        <v>5</v>
      </c>
      <c r="EN37">
        <f>IF(Evalucion!EO35=Datos!$C$15,Datos!$D$15,IF(Evalucion!EO35=Datos!$C$16,Datos!$D$16,IF(Evalucion!EO35=Datos!$C$17,Datos!$D$17,IF(Evalucion!EO35=Datos!$C$18,Datos!$D$18,IF(Evalucion!EO35=Datos!$C$19,Datos!$D$19,"=")))))</f>
        <v>1</v>
      </c>
      <c r="EO37">
        <f>IF(Evalucion!EP35=Datos!$C$15,Datos!$D$15,IF(Evalucion!EP35=Datos!$C$16,Datos!$D$16,IF(Evalucion!EP35=Datos!$C$17,Datos!$D$17,IF(Evalucion!EP35=Datos!$C$18,Datos!$D$18,IF(Evalucion!EP35=Datos!$C$19,Datos!$D$19,"=")))))</f>
        <v>1</v>
      </c>
      <c r="EP37">
        <f>IF(Evalucion!EQ35=Datos!$C$15,Datos!$D$15,IF(Evalucion!EQ35=Datos!$C$16,Datos!$D$16,IF(Evalucion!EQ35=Datos!$C$17,Datos!$D$17,IF(Evalucion!EQ35=Datos!$C$18,Datos!$D$18,IF(Evalucion!EQ35=Datos!$C$19,Datos!$D$19,"=")))))</f>
        <v>1</v>
      </c>
      <c r="EQ37">
        <f>IF(Evalucion!ER35=Datos!$C$15,Datos!$D$15,IF(Evalucion!ER35=Datos!$C$16,Datos!$D$16,IF(Evalucion!ER35=Datos!$C$17,Datos!$D$17,IF(Evalucion!ER35=Datos!$C$18,Datos!$D$18,IF(Evalucion!ER35=Datos!$C$19,Datos!$D$19,"=")))))</f>
        <v>1</v>
      </c>
      <c r="ER37">
        <f>IF(Evalucion!ES35=Datos!$C$15,Datos!$D$15,IF(Evalucion!ES35=Datos!$C$16,Datos!$D$16,IF(Evalucion!ES35=Datos!$C$17,Datos!$D$17,IF(Evalucion!ES35=Datos!$C$18,Datos!$D$18,IF(Evalucion!ES35=Datos!$C$19,Datos!$D$19,"=")))))</f>
        <v>5</v>
      </c>
      <c r="ES37">
        <f>IF(Evalucion!ET35=Datos!$C$15,Datos!$D$15,IF(Evalucion!ET35=Datos!$C$16,Datos!$D$16,IF(Evalucion!ET35=Datos!$C$17,Datos!$D$17,IF(Evalucion!ET35=Datos!$C$18,Datos!$D$18,IF(Evalucion!ET35=Datos!$C$19,Datos!$D$19,"=")))))</f>
        <v>5</v>
      </c>
      <c r="ET37">
        <f>IF(Evalucion!EU35=Datos!$C$15,Datos!$D$15,IF(Evalucion!EU35=Datos!$C$16,Datos!$D$16,IF(Evalucion!EU35=Datos!$C$17,Datos!$D$17,IF(Evalucion!EU35=Datos!$C$18,Datos!$D$18,IF(Evalucion!EU35=Datos!$C$19,Datos!$D$19,"=")))))</f>
        <v>5</v>
      </c>
      <c r="EU37">
        <f>IF(Evalucion!EV35=Datos!$C$15,Datos!$D$15,IF(Evalucion!EV35=Datos!$C$16,Datos!$D$16,IF(Evalucion!EV35=Datos!$C$17,Datos!$D$17,IF(Evalucion!EV35=Datos!$C$18,Datos!$D$18,IF(Evalucion!EV35=Datos!$C$19,Datos!$D$19,"=")))))</f>
        <v>1</v>
      </c>
      <c r="EV37">
        <f>IF(Evalucion!EW35=Datos!$C$15,Datos!$D$15,IF(Evalucion!EW35=Datos!$C$16,Datos!$D$16,IF(Evalucion!EW35=Datos!$C$17,Datos!$D$17,IF(Evalucion!EW35=Datos!$C$18,Datos!$D$18,IF(Evalucion!EW35=Datos!$C$19,Datos!$D$19,"=")))))</f>
        <v>5</v>
      </c>
      <c r="EW37">
        <f>IF(Evalucion!EX35=Datos!$C$15,Datos!$D$15,IF(Evalucion!EX35=Datos!$C$16,Datos!$D$16,IF(Evalucion!EX35=Datos!$C$17,Datos!$D$17,IF(Evalucion!EX35=Datos!$C$18,Datos!$D$18,IF(Evalucion!EX35=Datos!$C$19,Datos!$D$19,"=")))))</f>
        <v>5</v>
      </c>
      <c r="EX37">
        <f>IF(Evalucion!EY35=Datos!$C$15,Datos!$D$15,IF(Evalucion!EY35=Datos!$C$16,Datos!$D$16,IF(Evalucion!EY35=Datos!$C$17,Datos!$D$17,IF(Evalucion!EY35=Datos!$C$18,Datos!$D$18,IF(Evalucion!EY35=Datos!$C$19,Datos!$D$19,"=")))))</f>
        <v>5</v>
      </c>
      <c r="EY37">
        <f>IF(Evalucion!EZ35=Datos!$C$15,Datos!$D$15,IF(Evalucion!EZ35=Datos!$C$16,Datos!$D$16,IF(Evalucion!EZ35=Datos!$C$17,Datos!$D$17,IF(Evalucion!EZ35=Datos!$C$18,Datos!$D$18,IF(Evalucion!EZ35=Datos!$C$19,Datos!$D$19,"=")))))</f>
        <v>1</v>
      </c>
      <c r="FA37">
        <f t="shared" si="8"/>
        <v>207</v>
      </c>
      <c r="FB37">
        <f t="shared" si="8"/>
        <v>161</v>
      </c>
      <c r="FC37" s="3">
        <f t="shared" si="4"/>
        <v>0.42933333333333334</v>
      </c>
      <c r="FD37" t="str">
        <f t="shared" si="9"/>
        <v>NO_Conf</v>
      </c>
      <c r="FF37">
        <f t="shared" si="5"/>
        <v>368</v>
      </c>
      <c r="FG37">
        <f t="shared" si="6"/>
        <v>0</v>
      </c>
    </row>
    <row r="38" spans="1:163" x14ac:dyDescent="0.2">
      <c r="A38">
        <f t="shared" si="7"/>
        <v>35</v>
      </c>
      <c r="B38" t="s">
        <v>276</v>
      </c>
      <c r="C38" t="s">
        <v>190</v>
      </c>
      <c r="D38" s="1">
        <v>43374</v>
      </c>
      <c r="E38">
        <f>IF(Evalucion!F36=Datos!$C$15,Datos!$D$15,IF(Evalucion!F36=Datos!$C$16,Datos!$D$16,IF(Evalucion!F36=Datos!$C$17,Datos!$D$17,IF(Evalucion!F36=Datos!$C$18,Datos!$D$18,IF(Evalucion!F36=Datos!$C$19,Datos!$D$19,"=")))))</f>
        <v>5</v>
      </c>
      <c r="F38">
        <f>IF(Evalucion!G36=Datos!$C$15,Datos!$D$15,IF(Evalucion!G36=Datos!$C$16,Datos!$D$16,IF(Evalucion!G36=Datos!$C$17,Datos!$D$17,IF(Evalucion!G36=Datos!$C$18,Datos!$D$18,IF(Evalucion!G36=Datos!$C$19,Datos!$D$19,"=")))))</f>
        <v>5</v>
      </c>
      <c r="G38">
        <f>IF(Evalucion!H36=Datos!$C$15,Datos!$D$15,IF(Evalucion!H36=Datos!$C$16,Datos!$D$16,IF(Evalucion!H36=Datos!$C$17,Datos!$D$17,IF(Evalucion!H36=Datos!$C$18,Datos!$D$18,IF(Evalucion!H36=Datos!$C$19,Datos!$D$19,"=")))))</f>
        <v>1</v>
      </c>
      <c r="H38">
        <f>IF(Evalucion!I36=Datos!$C$15,Datos!$D$15,IF(Evalucion!I36=Datos!$C$16,Datos!$D$16,IF(Evalucion!I36=Datos!$C$17,Datos!$D$17,IF(Evalucion!I36=Datos!$C$18,Datos!$D$18,IF(Evalucion!I36=Datos!$C$19,Datos!$D$19,"=")))))</f>
        <v>1</v>
      </c>
      <c r="I38">
        <f>IF(Evalucion!J36=Datos!$C$15,Datos!$D$15,IF(Evalucion!J36=Datos!$C$16,Datos!$D$16,IF(Evalucion!J36=Datos!$C$17,Datos!$D$17,IF(Evalucion!J36=Datos!$C$18,Datos!$D$18,IF(Evalucion!J36=Datos!$C$19,Datos!$D$19,"=")))))</f>
        <v>1</v>
      </c>
      <c r="J38">
        <f>IF(Evalucion!K36=Datos!$C$15,Datos!$D$15,IF(Evalucion!K36=Datos!$C$16,Datos!$D$16,IF(Evalucion!K36=Datos!$C$17,Datos!$D$17,IF(Evalucion!K36=Datos!$C$18,Datos!$D$18,IF(Evalucion!K36=Datos!$C$19,Datos!$D$19,"=")))))</f>
        <v>1</v>
      </c>
      <c r="K38">
        <f>IF(Evalucion!L36=Datos!$C$15,Datos!$D$15,IF(Evalucion!L36=Datos!$C$16,Datos!$D$16,IF(Evalucion!L36=Datos!$C$17,Datos!$D$17,IF(Evalucion!L36=Datos!$C$18,Datos!$D$18,IF(Evalucion!L36=Datos!$C$19,Datos!$D$19,"=")))))</f>
        <v>1</v>
      </c>
      <c r="L38">
        <f>IF(Evalucion!M36=Datos!$C$15,Datos!$D$15,IF(Evalucion!M36=Datos!$C$16,Datos!$D$16,IF(Evalucion!M36=Datos!$C$17,Datos!$D$17,IF(Evalucion!M36=Datos!$C$18,Datos!$D$18,IF(Evalucion!M36=Datos!$C$19,Datos!$D$19,"=")))))</f>
        <v>5</v>
      </c>
      <c r="M38">
        <f>IF(Evalucion!N36=Datos!$C$15,Datos!$D$15,IF(Evalucion!N36=Datos!$C$16,Datos!$D$16,IF(Evalucion!N36=Datos!$C$17,Datos!$D$17,IF(Evalucion!N36=Datos!$C$18,Datos!$D$18,IF(Evalucion!N36=Datos!$C$19,Datos!$D$19,"=")))))</f>
        <v>5</v>
      </c>
      <c r="N38">
        <f>IF(Evalucion!O36=Datos!$C$15,Datos!$D$15,IF(Evalucion!O36=Datos!$C$16,Datos!$D$16,IF(Evalucion!O36=Datos!$C$17,Datos!$D$17,IF(Evalucion!O36=Datos!$C$18,Datos!$D$18,IF(Evalucion!O36=Datos!$C$19,Datos!$D$19,"=")))))</f>
        <v>3</v>
      </c>
      <c r="O38">
        <f>IF(Evalucion!P36=Datos!$C$15,Datos!$D$15,IF(Evalucion!P36=Datos!$C$16,Datos!$D$16,IF(Evalucion!P36=Datos!$C$17,Datos!$D$17,IF(Evalucion!P36=Datos!$C$18,Datos!$D$18,IF(Evalucion!P36=Datos!$C$19,Datos!$D$19,"=")))))</f>
        <v>1</v>
      </c>
      <c r="P38">
        <f>IF(Evalucion!Q36=Datos!$C$15,Datos!$D$15,IF(Evalucion!Q36=Datos!$C$16,Datos!$D$16,IF(Evalucion!Q36=Datos!$C$17,Datos!$D$17,IF(Evalucion!Q36=Datos!$C$18,Datos!$D$18,IF(Evalucion!Q36=Datos!$C$19,Datos!$D$19,"=")))))</f>
        <v>1</v>
      </c>
      <c r="Q38">
        <f>IF(Evalucion!R36=Datos!$C$15,Datos!$D$15,IF(Evalucion!R36=Datos!$C$16,Datos!$D$16,IF(Evalucion!R36=Datos!$C$17,Datos!$D$17,IF(Evalucion!R36=Datos!$C$18,Datos!$D$18,IF(Evalucion!R36=Datos!$C$19,Datos!$D$19,"=")))))</f>
        <v>5</v>
      </c>
      <c r="R38">
        <f>IF(Evalucion!S36=Datos!$C$15,Datos!$D$15,IF(Evalucion!S36=Datos!$C$16,Datos!$D$16,IF(Evalucion!S36=Datos!$C$17,Datos!$D$17,IF(Evalucion!S36=Datos!$C$18,Datos!$D$18,IF(Evalucion!S36=Datos!$C$19,Datos!$D$19,"=")))))</f>
        <v>1</v>
      </c>
      <c r="S38">
        <f>IF(Evalucion!T36=Datos!$C$15,Datos!$D$15,IF(Evalucion!T36=Datos!$C$16,Datos!$D$16,IF(Evalucion!T36=Datos!$C$17,Datos!$D$17,IF(Evalucion!T36=Datos!$C$18,Datos!$D$18,IF(Evalucion!T36=Datos!$C$19,Datos!$D$19,"=")))))</f>
        <v>1</v>
      </c>
      <c r="T38">
        <f>IF(Evalucion!U36=Datos!$C$15,Datos!$D$15,IF(Evalucion!U36=Datos!$C$16,Datos!$D$16,IF(Evalucion!U36=Datos!$C$17,Datos!$D$17,IF(Evalucion!U36=Datos!$C$18,Datos!$D$18,IF(Evalucion!U36=Datos!$C$19,Datos!$D$19,"=")))))</f>
        <v>1</v>
      </c>
      <c r="U38">
        <f>IF(Evalucion!V36=Datos!$C$15,Datos!$D$15,IF(Evalucion!V36=Datos!$C$16,Datos!$D$16,IF(Evalucion!V36=Datos!$C$17,Datos!$D$17,IF(Evalucion!V36=Datos!$C$18,Datos!$D$18,IF(Evalucion!V36=Datos!$C$19,Datos!$D$19,"=")))))</f>
        <v>1</v>
      </c>
      <c r="V38">
        <f>IF(Evalucion!W36=Datos!$C$15,Datos!$D$15,IF(Evalucion!W36=Datos!$C$16,Datos!$D$16,IF(Evalucion!W36=Datos!$C$17,Datos!$D$17,IF(Evalucion!W36=Datos!$C$18,Datos!$D$18,IF(Evalucion!W36=Datos!$C$19,Datos!$D$19,"=")))))</f>
        <v>1</v>
      </c>
      <c r="W38">
        <f>IF(Evalucion!X36=Datos!$C$15,Datos!$D$15,IF(Evalucion!X36=Datos!$C$16,Datos!$D$16,IF(Evalucion!X36=Datos!$C$17,Datos!$D$17,IF(Evalucion!X36=Datos!$C$18,Datos!$D$18,IF(Evalucion!X36=Datos!$C$19,Datos!$D$19,"=")))))</f>
        <v>1</v>
      </c>
      <c r="X38">
        <f>IF(Evalucion!Y36=Datos!$C$15,Datos!$D$15,IF(Evalucion!Y36=Datos!$C$16,Datos!$D$16,IF(Evalucion!Y36=Datos!$C$17,Datos!$D$17,IF(Evalucion!Y36=Datos!$C$18,Datos!$D$18,IF(Evalucion!Y36=Datos!$C$19,Datos!$D$19,"=")))))</f>
        <v>1</v>
      </c>
      <c r="Y38">
        <f>IF(Evalucion!Z36=Datos!$C$15,Datos!$D$15,IF(Evalucion!Z36=Datos!$C$16,Datos!$D$16,IF(Evalucion!Z36=Datos!$C$17,Datos!$D$17,IF(Evalucion!Z36=Datos!$C$18,Datos!$D$18,IF(Evalucion!Z36=Datos!$C$19,Datos!$D$19,"=")))))</f>
        <v>1</v>
      </c>
      <c r="Z38">
        <f>IF(Evalucion!AA36=Datos!$C$15,Datos!$D$15,IF(Evalucion!AA36=Datos!$C$16,Datos!$D$16,IF(Evalucion!AA36=Datos!$C$17,Datos!$D$17,IF(Evalucion!AA36=Datos!$C$18,Datos!$D$18,IF(Evalucion!AA36=Datos!$C$19,Datos!$D$19,"=")))))</f>
        <v>1</v>
      </c>
      <c r="AA38">
        <f>IF(Evalucion!AB36=Datos!$C$15,Datos!$D$15,IF(Evalucion!AB36=Datos!$C$16,Datos!$D$16,IF(Evalucion!AB36=Datos!$C$17,Datos!$D$17,IF(Evalucion!AB36=Datos!$C$18,Datos!$D$18,IF(Evalucion!AB36=Datos!$C$19,Datos!$D$19,"=")))))</f>
        <v>1</v>
      </c>
      <c r="AB38">
        <f>IF(Evalucion!AC36=Datos!$C$15,Datos!$D$15,IF(Evalucion!AC36=Datos!$C$16,Datos!$D$16,IF(Evalucion!AC36=Datos!$C$17,Datos!$D$17,IF(Evalucion!AC36=Datos!$C$18,Datos!$D$18,IF(Evalucion!AC36=Datos!$C$19,Datos!$D$19,"=")))))</f>
        <v>1</v>
      </c>
      <c r="AC38">
        <f>IF(Evalucion!AD36=Datos!$C$15,Datos!$D$15,IF(Evalucion!AD36=Datos!$C$16,Datos!$D$16,IF(Evalucion!AD36=Datos!$C$17,Datos!$D$17,IF(Evalucion!AD36=Datos!$C$18,Datos!$D$18,IF(Evalucion!AD36=Datos!$C$19,Datos!$D$19,"=")))))</f>
        <v>5</v>
      </c>
      <c r="AD38">
        <f>IF(Evalucion!AE36=Datos!$C$15,Datos!$D$15,IF(Evalucion!AE36=Datos!$C$16,Datos!$D$16,IF(Evalucion!AE36=Datos!$C$17,Datos!$D$17,IF(Evalucion!AE36=Datos!$C$18,Datos!$D$18,IF(Evalucion!AE36=Datos!$C$19,Datos!$D$19,"=")))))</f>
        <v>3</v>
      </c>
      <c r="AE38">
        <f>IF(Evalucion!AF36=Datos!$C$15,Datos!$D$15,IF(Evalucion!AF36=Datos!$C$16,Datos!$D$16,IF(Evalucion!AF36=Datos!$C$17,Datos!$D$17,IF(Evalucion!AF36=Datos!$C$18,Datos!$D$18,IF(Evalucion!AF36=Datos!$C$19,Datos!$D$19,"=")))))</f>
        <v>5</v>
      </c>
      <c r="AF38">
        <f>IF(Evalucion!AG36=Datos!$C$15,Datos!$D$15,IF(Evalucion!AG36=Datos!$C$16,Datos!$D$16,IF(Evalucion!AG36=Datos!$C$17,Datos!$D$17,IF(Evalucion!AG36=Datos!$C$18,Datos!$D$18,IF(Evalucion!AG36=Datos!$C$19,Datos!$D$19,"=")))))</f>
        <v>1</v>
      </c>
      <c r="AO38">
        <f>IF(Evalucion!AP36=Datos!$C$15,Datos!$D$15,IF(Evalucion!AP36=Datos!$C$16,Datos!$D$16,IF(Evalucion!AP36=Datos!$C$17,Datos!$D$17,IF(Evalucion!AP36=Datos!$C$18,Datos!$D$18,IF(Evalucion!AP36=Datos!$C$19,Datos!$D$19,"=")))))</f>
        <v>5</v>
      </c>
      <c r="AP38">
        <f>IF(Evalucion!AQ36=Datos!$C$15,Datos!$D$15,IF(Evalucion!AQ36=Datos!$C$16,Datos!$D$16,IF(Evalucion!AQ36=Datos!$C$17,Datos!$D$17,IF(Evalucion!AQ36=Datos!$C$18,Datos!$D$18,IF(Evalucion!AQ36=Datos!$C$19,Datos!$D$19,"=")))))</f>
        <v>3</v>
      </c>
      <c r="AQ38">
        <f>IF(Evalucion!AR36=Datos!$C$15,Datos!$D$15,IF(Evalucion!AR36=Datos!$C$16,Datos!$D$16,IF(Evalucion!AR36=Datos!$C$17,Datos!$D$17,IF(Evalucion!AR36=Datos!$C$18,Datos!$D$18,IF(Evalucion!AR36=Datos!$C$19,Datos!$D$19,"=")))))</f>
        <v>1</v>
      </c>
      <c r="AR38">
        <f>IF(Evalucion!AS36=Datos!$C$15,Datos!$D$15,IF(Evalucion!AS36=Datos!$C$16,Datos!$D$16,IF(Evalucion!AS36=Datos!$C$17,Datos!$D$17,IF(Evalucion!AS36=Datos!$C$18,Datos!$D$18,IF(Evalucion!AS36=Datos!$C$19,Datos!$D$19,"=")))))</f>
        <v>1</v>
      </c>
      <c r="AS38">
        <f>IF(Evalucion!AT36=Datos!$C$15,Datos!$D$15,IF(Evalucion!AT36=Datos!$C$16,Datos!$D$16,IF(Evalucion!AT36=Datos!$C$17,Datos!$D$17,IF(Evalucion!AT36=Datos!$C$18,Datos!$D$18,IF(Evalucion!AT36=Datos!$C$19,Datos!$D$19,"=")))))</f>
        <v>5</v>
      </c>
      <c r="AT38">
        <f>IF(Evalucion!AU36=Datos!$C$15,Datos!$D$15,IF(Evalucion!AU36=Datos!$C$16,Datos!$D$16,IF(Evalucion!AU36=Datos!$C$17,Datos!$D$17,IF(Evalucion!AU36=Datos!$C$18,Datos!$D$18,IF(Evalucion!AU36=Datos!$C$19,Datos!$D$19,"=")))))</f>
        <v>5</v>
      </c>
      <c r="AV38">
        <f>IF(Evalucion!AW36=Datos!$C$15,Datos!$D$15,IF(Evalucion!AW36=Datos!$C$16,Datos!$D$16,IF(Evalucion!AW36=Datos!$C$17,Datos!$D$17,IF(Evalucion!AW36=Datos!$C$18,Datos!$D$18,IF(Evalucion!AW36=Datos!$C$19,Datos!$D$19,"=")))))</f>
        <v>1</v>
      </c>
      <c r="AW38">
        <f>IF(Evalucion!AX36=Datos!$C$15,Datos!$D$15,IF(Evalucion!AX36=Datos!$C$16,Datos!$D$16,IF(Evalucion!AX36=Datos!$C$17,Datos!$D$17,IF(Evalucion!AX36=Datos!$C$18,Datos!$D$18,IF(Evalucion!AX36=Datos!$C$19,Datos!$D$19,"=")))))</f>
        <v>1</v>
      </c>
      <c r="AX38">
        <f>IF(Evalucion!AY36=Datos!$C$15,Datos!$D$15,IF(Evalucion!AY36=Datos!$C$16,Datos!$D$16,IF(Evalucion!AY36=Datos!$C$17,Datos!$D$17,IF(Evalucion!AY36=Datos!$C$18,Datos!$D$18,IF(Evalucion!AY36=Datos!$C$19,Datos!$D$19,"=")))))</f>
        <v>5</v>
      </c>
      <c r="AY38">
        <f>IF(Evalucion!AZ36=Datos!$C$15,Datos!$D$15,IF(Evalucion!AZ36=Datos!$C$16,Datos!$D$16,IF(Evalucion!AZ36=Datos!$C$17,Datos!$D$17,IF(Evalucion!AZ36=Datos!$C$18,Datos!$D$18,IF(Evalucion!AZ36=Datos!$C$19,Datos!$D$19,"=")))))</f>
        <v>5</v>
      </c>
      <c r="AZ38">
        <f>IF(Evalucion!BA36=Datos!$C$15,Datos!$D$15,IF(Evalucion!BA36=Datos!$C$16,Datos!$D$16,IF(Evalucion!BA36=Datos!$C$17,Datos!$D$17,IF(Evalucion!BA36=Datos!$C$18,Datos!$D$18,IF(Evalucion!BA36=Datos!$C$19,Datos!$D$19,"=")))))</f>
        <v>5</v>
      </c>
      <c r="BA38">
        <f>IF(Evalucion!BB36=Datos!$C$15,Datos!$D$15,IF(Evalucion!BB36=Datos!$C$16,Datos!$D$16,IF(Evalucion!BB36=Datos!$C$17,Datos!$D$17,IF(Evalucion!BB36=Datos!$C$18,Datos!$D$18,IF(Evalucion!BB36=Datos!$C$19,Datos!$D$19,"=")))))</f>
        <v>5</v>
      </c>
      <c r="BB38">
        <f>IF(Evalucion!BC36=Datos!$C$15,Datos!$D$15,IF(Evalucion!BC36=Datos!$C$16,Datos!$D$16,IF(Evalucion!BC36=Datos!$C$17,Datos!$D$17,IF(Evalucion!BC36=Datos!$C$18,Datos!$D$18,IF(Evalucion!BC36=Datos!$C$19,Datos!$D$19,"=")))))</f>
        <v>1</v>
      </c>
      <c r="BC38">
        <f>IF(Evalucion!BD36=Datos!$C$15,Datos!$D$15,IF(Evalucion!BD36=Datos!$C$16,Datos!$D$16,IF(Evalucion!BD36=Datos!$C$17,Datos!$D$17,IF(Evalucion!BD36=Datos!$C$18,Datos!$D$18,IF(Evalucion!BD36=Datos!$C$19,Datos!$D$19,"=")))))</f>
        <v>1</v>
      </c>
      <c r="BD38">
        <f>IF(Evalucion!BE36=Datos!$C$15,Datos!$D$15,IF(Evalucion!BE36=Datos!$C$16,Datos!$D$16,IF(Evalucion!BE36=Datos!$C$17,Datos!$D$17,IF(Evalucion!BE36=Datos!$C$18,Datos!$D$18,IF(Evalucion!BE36=Datos!$C$19,Datos!$D$19,"=")))))</f>
        <v>1</v>
      </c>
      <c r="BE38">
        <f>IF(Evalucion!BF36=Datos!$C$15,Datos!$D$15,IF(Evalucion!BF36=Datos!$C$16,Datos!$D$16,IF(Evalucion!BF36=Datos!$C$17,Datos!$D$17,IF(Evalucion!BF36=Datos!$C$18,Datos!$D$18,IF(Evalucion!BF36=Datos!$C$19,Datos!$D$19,"=")))))</f>
        <v>1</v>
      </c>
      <c r="BF38">
        <f>IF(Evalucion!BG36=Datos!$C$15,Datos!$D$15,IF(Evalucion!BG36=Datos!$C$16,Datos!$D$16,IF(Evalucion!BG36=Datos!$C$17,Datos!$D$17,IF(Evalucion!BG36=Datos!$C$18,Datos!$D$18,IF(Evalucion!BG36=Datos!$C$19,Datos!$D$19,"=")))))</f>
        <v>5</v>
      </c>
      <c r="BG38">
        <f>IF(Evalucion!BH36=Datos!$C$15,Datos!$D$15,IF(Evalucion!BH36=Datos!$C$16,Datos!$D$16,IF(Evalucion!BH36=Datos!$C$17,Datos!$D$17,IF(Evalucion!BH36=Datos!$C$18,Datos!$D$18,IF(Evalucion!BH36=Datos!$C$19,Datos!$D$19,"=")))))</f>
        <v>5</v>
      </c>
      <c r="BH38">
        <f>IF(Evalucion!BI36=Datos!$C$15,Datos!$D$15,IF(Evalucion!BI36=Datos!$C$16,Datos!$D$16,IF(Evalucion!BI36=Datos!$C$17,Datos!$D$17,IF(Evalucion!BI36=Datos!$C$18,Datos!$D$18,IF(Evalucion!BI36=Datos!$C$19,Datos!$D$19,"=")))))</f>
        <v>1</v>
      </c>
      <c r="BI38">
        <f>IF(Evalucion!BJ36=Datos!$C$15,Datos!$D$15,IF(Evalucion!BJ36=Datos!$C$16,Datos!$D$16,IF(Evalucion!BJ36=Datos!$C$17,Datos!$D$17,IF(Evalucion!BJ36=Datos!$C$18,Datos!$D$18,IF(Evalucion!BJ36=Datos!$C$19,Datos!$D$19,"=")))))</f>
        <v>1</v>
      </c>
      <c r="BJ38">
        <f>IF(Evalucion!BK36=Datos!$C$15,Datos!$D$15,IF(Evalucion!BK36=Datos!$C$16,Datos!$D$16,IF(Evalucion!BK36=Datos!$C$17,Datos!$D$17,IF(Evalucion!BK36=Datos!$C$18,Datos!$D$18,IF(Evalucion!BK36=Datos!$C$19,Datos!$D$19,"=")))))</f>
        <v>1</v>
      </c>
      <c r="BK38">
        <f>IF(Evalucion!BL36=Datos!$C$15,Datos!$D$15,IF(Evalucion!BL36=Datos!$C$16,Datos!$D$16,IF(Evalucion!BL36=Datos!$C$17,Datos!$D$17,IF(Evalucion!BL36=Datos!$C$18,Datos!$D$18,IF(Evalucion!BL36=Datos!$C$19,Datos!$D$19,"=")))))</f>
        <v>1</v>
      </c>
      <c r="BL38">
        <f>IF(Evalucion!BM36=Datos!$C$15,Datos!$D$15,IF(Evalucion!BM36=Datos!$C$16,Datos!$D$16,IF(Evalucion!BM36=Datos!$C$17,Datos!$D$17,IF(Evalucion!BM36=Datos!$C$18,Datos!$D$18,IF(Evalucion!BM36=Datos!$C$19,Datos!$D$19,"=")))))</f>
        <v>1</v>
      </c>
      <c r="BM38">
        <f>IF(Evalucion!BN36=Datos!$C$15,Datos!$D$15,IF(Evalucion!BN36=Datos!$C$16,Datos!$D$16,IF(Evalucion!BN36=Datos!$C$17,Datos!$D$17,IF(Evalucion!BN36=Datos!$C$18,Datos!$D$18,IF(Evalucion!BN36=Datos!$C$19,Datos!$D$19,"=")))))</f>
        <v>1</v>
      </c>
      <c r="BN38">
        <f>IF(Evalucion!BO36=Datos!$C$15,Datos!$D$15,IF(Evalucion!BO36=Datos!$C$16,Datos!$D$16,IF(Evalucion!BO36=Datos!$C$17,Datos!$D$17,IF(Evalucion!BO36=Datos!$C$18,Datos!$D$18,IF(Evalucion!BO36=Datos!$C$19,Datos!$D$19,"=")))))</f>
        <v>5</v>
      </c>
      <c r="BO38">
        <f>IF(Evalucion!BP36=Datos!$C$15,Datos!$D$15,IF(Evalucion!BP36=Datos!$C$16,Datos!$D$16,IF(Evalucion!BP36=Datos!$C$17,Datos!$D$17,IF(Evalucion!BP36=Datos!$C$18,Datos!$D$18,IF(Evalucion!BP36=Datos!$C$19,Datos!$D$19,"=")))))</f>
        <v>5</v>
      </c>
      <c r="BP38">
        <f>IF(Evalucion!BQ36=Datos!$C$15,Datos!$D$15,IF(Evalucion!BQ36=Datos!$C$16,Datos!$D$16,IF(Evalucion!BQ36=Datos!$C$17,Datos!$D$17,IF(Evalucion!BQ36=Datos!$C$18,Datos!$D$18,IF(Evalucion!BQ36=Datos!$C$19,Datos!$D$19,"=")))))</f>
        <v>1</v>
      </c>
      <c r="BQ38">
        <f>IF(Evalucion!BR36=Datos!$C$15,Datos!$D$15,IF(Evalucion!BR36=Datos!$C$16,Datos!$D$16,IF(Evalucion!BR36=Datos!$C$17,Datos!$D$17,IF(Evalucion!BR36=Datos!$C$18,Datos!$D$18,IF(Evalucion!BR36=Datos!$C$19,Datos!$D$19,"=")))))</f>
        <v>1</v>
      </c>
      <c r="BR38">
        <f>IF(Evalucion!BS36=Datos!$C$15,Datos!$D$15,IF(Evalucion!BS36=Datos!$C$16,Datos!$D$16,IF(Evalucion!BS36=Datos!$C$17,Datos!$D$17,IF(Evalucion!BS36=Datos!$C$18,Datos!$D$18,IF(Evalucion!BS36=Datos!$C$19,Datos!$D$19,"=")))))</f>
        <v>1</v>
      </c>
      <c r="BS38">
        <f>IF(Evalucion!BT36=Datos!$C$15,Datos!$D$15,IF(Evalucion!BT36=Datos!$C$16,Datos!$D$16,IF(Evalucion!BT36=Datos!$C$17,Datos!$D$17,IF(Evalucion!BT36=Datos!$C$18,Datos!$D$18,IF(Evalucion!BT36=Datos!$C$19,Datos!$D$19,"=")))))</f>
        <v>1</v>
      </c>
      <c r="BT38">
        <f>IF(Evalucion!BU36=Datos!$C$15,Datos!$D$15,IF(Evalucion!BU36=Datos!$C$16,Datos!$D$16,IF(Evalucion!BU36=Datos!$C$17,Datos!$D$17,IF(Evalucion!BU36=Datos!$C$18,Datos!$D$18,IF(Evalucion!BU36=Datos!$C$19,Datos!$D$19,"=")))))</f>
        <v>1</v>
      </c>
      <c r="BU38">
        <f>IF(Evalucion!BV36=Datos!$C$15,Datos!$D$15,IF(Evalucion!BV36=Datos!$C$16,Datos!$D$16,IF(Evalucion!BV36=Datos!$C$17,Datos!$D$17,IF(Evalucion!BV36=Datos!$C$18,Datos!$D$18,IF(Evalucion!BV36=Datos!$C$19,Datos!$D$19,"=")))))</f>
        <v>1</v>
      </c>
      <c r="BV38">
        <f>IF(Evalucion!BW36=Datos!$C$15,Datos!$D$15,IF(Evalucion!BW36=Datos!$C$16,Datos!$D$16,IF(Evalucion!BW36=Datos!$C$17,Datos!$D$17,IF(Evalucion!BW36=Datos!$C$18,Datos!$D$18,IF(Evalucion!BW36=Datos!$C$19,Datos!$D$19,"=")))))</f>
        <v>5</v>
      </c>
      <c r="BW38">
        <f>IF(Evalucion!BX36=Datos!$C$15,Datos!$D$15,IF(Evalucion!BX36=Datos!$C$16,Datos!$D$16,IF(Evalucion!BX36=Datos!$C$17,Datos!$D$17,IF(Evalucion!BX36=Datos!$C$18,Datos!$D$18,IF(Evalucion!BX36=Datos!$C$19,Datos!$D$19,"=")))))</f>
        <v>5</v>
      </c>
      <c r="BX38">
        <f>IF(Evalucion!BY36=Datos!$C$15,Datos!$D$15,IF(Evalucion!BY36=Datos!$C$16,Datos!$D$16,IF(Evalucion!BY36=Datos!$C$17,Datos!$D$17,IF(Evalucion!BY36=Datos!$C$18,Datos!$D$18,IF(Evalucion!BY36=Datos!$C$19,Datos!$D$19,"=")))))</f>
        <v>1</v>
      </c>
      <c r="BY38">
        <f>IF(Evalucion!BZ36=Datos!$C$15,Datos!$D$15,IF(Evalucion!BZ36=Datos!$C$16,Datos!$D$16,IF(Evalucion!BZ36=Datos!$C$17,Datos!$D$17,IF(Evalucion!BZ36=Datos!$C$18,Datos!$D$18,IF(Evalucion!BZ36=Datos!$C$19,Datos!$D$19,"=")))))</f>
        <v>1</v>
      </c>
      <c r="BZ38">
        <f>IF(Evalucion!CA36=Datos!$C$15,Datos!$D$15,IF(Evalucion!CA36=Datos!$C$16,Datos!$D$16,IF(Evalucion!CA36=Datos!$C$17,Datos!$D$17,IF(Evalucion!CA36=Datos!$C$18,Datos!$D$18,IF(Evalucion!CA36=Datos!$C$19,Datos!$D$19,"=")))))</f>
        <v>1</v>
      </c>
      <c r="CA38">
        <f>IF(Evalucion!CB36=Datos!$C$15,Datos!$D$15,IF(Evalucion!CB36=Datos!$C$16,Datos!$D$16,IF(Evalucion!CB36=Datos!$C$17,Datos!$D$17,IF(Evalucion!CB36=Datos!$C$18,Datos!$D$18,IF(Evalucion!CB36=Datos!$C$19,Datos!$D$19,"=")))))</f>
        <v>1</v>
      </c>
      <c r="CB38">
        <f>IF(Evalucion!CC36=Datos!$C$15,Datos!$D$15,IF(Evalucion!CC36=Datos!$C$16,Datos!$D$16,IF(Evalucion!CC36=Datos!$C$17,Datos!$D$17,IF(Evalucion!CC36=Datos!$C$18,Datos!$D$18,IF(Evalucion!CC36=Datos!$C$19,Datos!$D$19,"=")))))</f>
        <v>5</v>
      </c>
      <c r="CC38">
        <f>IF(Evalucion!CD36=Datos!$C$15,Datos!$D$15,IF(Evalucion!CD36=Datos!$C$16,Datos!$D$16,IF(Evalucion!CD36=Datos!$C$17,Datos!$D$17,IF(Evalucion!CD36=Datos!$C$18,Datos!$D$18,IF(Evalucion!CD36=Datos!$C$19,Datos!$D$19,"=")))))</f>
        <v>5</v>
      </c>
      <c r="CD38">
        <f>IF(Evalucion!CE36=Datos!$C$15,Datos!$D$15,IF(Evalucion!CE36=Datos!$C$16,Datos!$D$16,IF(Evalucion!CE36=Datos!$C$17,Datos!$D$17,IF(Evalucion!CE36=Datos!$C$18,Datos!$D$18,IF(Evalucion!CE36=Datos!$C$19,Datos!$D$19,"=")))))</f>
        <v>5</v>
      </c>
      <c r="CE38">
        <f>IF(Evalucion!CF36=Datos!$C$15,Datos!$D$15,IF(Evalucion!CF36=Datos!$C$16,Datos!$D$16,IF(Evalucion!CF36=Datos!$C$17,Datos!$D$17,IF(Evalucion!CF36=Datos!$C$18,Datos!$D$18,IF(Evalucion!CF36=Datos!$C$19,Datos!$D$19,"=")))))</f>
        <v>1</v>
      </c>
      <c r="CF38">
        <f>IF(Evalucion!CG36=Datos!$C$15,Datos!$D$15,IF(Evalucion!CG36=Datos!$C$16,Datos!$D$16,IF(Evalucion!CG36=Datos!$C$17,Datos!$D$17,IF(Evalucion!CG36=Datos!$C$18,Datos!$D$18,IF(Evalucion!CG36=Datos!$C$19,Datos!$D$19,"=")))))</f>
        <v>1</v>
      </c>
      <c r="CG38">
        <f>IF(Evalucion!CH36=Datos!$C$15,Datos!$D$15,IF(Evalucion!CH36=Datos!$C$16,Datos!$D$16,IF(Evalucion!CH36=Datos!$C$17,Datos!$D$17,IF(Evalucion!CH36=Datos!$C$18,Datos!$D$18,IF(Evalucion!CH36=Datos!$C$19,Datos!$D$19,"=")))))</f>
        <v>1</v>
      </c>
      <c r="CH38">
        <f>IF(Evalucion!CI36=Datos!$C$15,Datos!$D$15,IF(Evalucion!CI36=Datos!$C$16,Datos!$D$16,IF(Evalucion!CI36=Datos!$C$17,Datos!$D$17,IF(Evalucion!CI36=Datos!$C$18,Datos!$D$18,IF(Evalucion!CI36=Datos!$C$19,Datos!$D$19,"=")))))</f>
        <v>1</v>
      </c>
      <c r="CI38">
        <f>IF(Evalucion!CJ36=Datos!$C$15,Datos!$D$15,IF(Evalucion!CJ36=Datos!$C$16,Datos!$D$16,IF(Evalucion!CJ36=Datos!$C$17,Datos!$D$17,IF(Evalucion!CJ36=Datos!$C$18,Datos!$D$18,IF(Evalucion!CJ36=Datos!$C$19,Datos!$D$19,"=")))))</f>
        <v>1</v>
      </c>
      <c r="CJ38">
        <f>IF(Evalucion!CK36=Datos!$C$15,Datos!$D$15,IF(Evalucion!CK36=Datos!$C$16,Datos!$D$16,IF(Evalucion!CK36=Datos!$C$17,Datos!$D$17,IF(Evalucion!CK36=Datos!$C$18,Datos!$D$18,IF(Evalucion!CK36=Datos!$C$19,Datos!$D$19,"=")))))</f>
        <v>5</v>
      </c>
      <c r="CK38">
        <f>IF(Evalucion!CL36=Datos!$C$15,Datos!$D$15,IF(Evalucion!CL36=Datos!$C$16,Datos!$D$16,IF(Evalucion!CL36=Datos!$C$17,Datos!$D$17,IF(Evalucion!CL36=Datos!$C$18,Datos!$D$18,IF(Evalucion!CL36=Datos!$C$19,Datos!$D$19,"=")))))</f>
        <v>5</v>
      </c>
      <c r="CL38">
        <f>IF(Evalucion!CM36=Datos!$C$15,Datos!$D$15,IF(Evalucion!CM36=Datos!$C$16,Datos!$D$16,IF(Evalucion!CM36=Datos!$C$17,Datos!$D$17,IF(Evalucion!CM36=Datos!$C$18,Datos!$D$18,IF(Evalucion!CM36=Datos!$C$19,Datos!$D$19,"=")))))</f>
        <v>5</v>
      </c>
      <c r="CM38">
        <f>IF(Evalucion!CN36=Datos!$C$15,Datos!$D$15,IF(Evalucion!CN36=Datos!$C$16,Datos!$D$16,IF(Evalucion!CN36=Datos!$C$17,Datos!$D$17,IF(Evalucion!CN36=Datos!$C$18,Datos!$D$18,IF(Evalucion!CN36=Datos!$C$19,Datos!$D$19,"=")))))</f>
        <v>3</v>
      </c>
      <c r="CN38">
        <f>IF(Evalucion!CO36=Datos!$C$15,Datos!$D$15,IF(Evalucion!CO36=Datos!$C$16,Datos!$D$16,IF(Evalucion!CO36=Datos!$C$17,Datos!$D$17,IF(Evalucion!CO36=Datos!$C$18,Datos!$D$18,IF(Evalucion!CO36=Datos!$C$19,Datos!$D$19,"=")))))</f>
        <v>5</v>
      </c>
      <c r="CO38">
        <f>IF(Evalucion!CP36=Datos!$C$15,Datos!$D$15,IF(Evalucion!CP36=Datos!$C$16,Datos!$D$16,IF(Evalucion!CP36=Datos!$C$17,Datos!$D$17,IF(Evalucion!CP36=Datos!$C$18,Datos!$D$18,IF(Evalucion!CP36=Datos!$C$19,Datos!$D$19,"=")))))</f>
        <v>5</v>
      </c>
      <c r="CP38">
        <f>IF(Evalucion!CQ36=Datos!$C$15,Datos!$D$15,IF(Evalucion!CQ36=Datos!$C$16,Datos!$D$16,IF(Evalucion!CQ36=Datos!$C$17,Datos!$D$17,IF(Evalucion!CQ36=Datos!$C$18,Datos!$D$18,IF(Evalucion!CQ36=Datos!$C$19,Datos!$D$19,"=")))))</f>
        <v>1</v>
      </c>
      <c r="CQ38">
        <f>IF(Evalucion!CR36=Datos!$C$15,Datos!$D$15,IF(Evalucion!CR36=Datos!$C$16,Datos!$D$16,IF(Evalucion!CR36=Datos!$C$17,Datos!$D$17,IF(Evalucion!CR36=Datos!$C$18,Datos!$D$18,IF(Evalucion!CR36=Datos!$C$19,Datos!$D$19,"=")))))</f>
        <v>1</v>
      </c>
      <c r="CR38">
        <f>IF(Evalucion!CS36=Datos!$C$15,Datos!$D$15,IF(Evalucion!CS36=Datos!$C$16,Datos!$D$16,IF(Evalucion!CS36=Datos!$C$17,Datos!$D$17,IF(Evalucion!CS36=Datos!$C$18,Datos!$D$18,IF(Evalucion!CS36=Datos!$C$19,Datos!$D$19,"=")))))</f>
        <v>1</v>
      </c>
      <c r="CS38">
        <f>IF(Evalucion!CT36=Datos!$C$15,Datos!$D$15,IF(Evalucion!CT36=Datos!$C$16,Datos!$D$16,IF(Evalucion!CT36=Datos!$C$17,Datos!$D$17,IF(Evalucion!CT36=Datos!$C$18,Datos!$D$18,IF(Evalucion!CT36=Datos!$C$19,Datos!$D$19,"=")))))</f>
        <v>1</v>
      </c>
      <c r="CT38">
        <f>IF(Evalucion!CU36=Datos!$C$15,Datos!$D$15,IF(Evalucion!CU36=Datos!$C$16,Datos!$D$16,IF(Evalucion!CU36=Datos!$C$17,Datos!$D$17,IF(Evalucion!CU36=Datos!$C$18,Datos!$D$18,IF(Evalucion!CU36=Datos!$C$19,Datos!$D$19,"=")))))</f>
        <v>1</v>
      </c>
      <c r="CU38">
        <f>IF(Evalucion!CV36=Datos!$C$15,Datos!$D$15,IF(Evalucion!CV36=Datos!$C$16,Datos!$D$16,IF(Evalucion!CV36=Datos!$C$17,Datos!$D$17,IF(Evalucion!CV36=Datos!$C$18,Datos!$D$18,IF(Evalucion!CV36=Datos!$C$19,Datos!$D$19,"=")))))</f>
        <v>1</v>
      </c>
      <c r="CV38">
        <f>IF(Evalucion!CW36=Datos!$C$15,Datos!$D$15,IF(Evalucion!CW36=Datos!$C$16,Datos!$D$16,IF(Evalucion!CW36=Datos!$C$17,Datos!$D$17,IF(Evalucion!CW36=Datos!$C$18,Datos!$D$18,IF(Evalucion!CW36=Datos!$C$19,Datos!$D$19,"=")))))</f>
        <v>5</v>
      </c>
      <c r="CW38">
        <f>IF(Evalucion!CX36=Datos!$C$15,Datos!$D$15,IF(Evalucion!CX36=Datos!$C$16,Datos!$D$16,IF(Evalucion!CX36=Datos!$C$17,Datos!$D$17,IF(Evalucion!CX36=Datos!$C$18,Datos!$D$18,IF(Evalucion!CX36=Datos!$C$19,Datos!$D$19,"=")))))</f>
        <v>3</v>
      </c>
      <c r="CX38">
        <f>IF(Evalucion!CY36=Datos!$C$15,Datos!$D$15,IF(Evalucion!CY36=Datos!$C$16,Datos!$D$16,IF(Evalucion!CY36=Datos!$C$17,Datos!$D$17,IF(Evalucion!CY36=Datos!$C$18,Datos!$D$18,IF(Evalucion!CY36=Datos!$C$19,Datos!$D$19,"=")))))</f>
        <v>5</v>
      </c>
      <c r="CY38">
        <f>IF(Evalucion!CZ36=Datos!$C$15,Datos!$D$15,IF(Evalucion!CZ36=Datos!$C$16,Datos!$D$16,IF(Evalucion!CZ36=Datos!$C$17,Datos!$D$17,IF(Evalucion!CZ36=Datos!$C$18,Datos!$D$18,IF(Evalucion!CZ36=Datos!$C$19,Datos!$D$19,"=")))))</f>
        <v>3</v>
      </c>
      <c r="CZ38">
        <f>IF(Evalucion!DA36=Datos!$C$15,Datos!$D$15,IF(Evalucion!DA36=Datos!$C$16,Datos!$D$16,IF(Evalucion!DA36=Datos!$C$17,Datos!$D$17,IF(Evalucion!DA36=Datos!$C$18,Datos!$D$18,IF(Evalucion!DA36=Datos!$C$19,Datos!$D$19,"=")))))</f>
        <v>5</v>
      </c>
      <c r="DA38">
        <f>IF(Evalucion!DB36=Datos!$C$15,Datos!$D$15,IF(Evalucion!DB36=Datos!$C$16,Datos!$D$16,IF(Evalucion!DB36=Datos!$C$17,Datos!$D$17,IF(Evalucion!DB36=Datos!$C$18,Datos!$D$18,IF(Evalucion!DB36=Datos!$C$19,Datos!$D$19,"=")))))</f>
        <v>3</v>
      </c>
      <c r="DB38">
        <f>IF(Evalucion!DC36=Datos!$C$15,Datos!$D$15,IF(Evalucion!DC36=Datos!$C$16,Datos!$D$16,IF(Evalucion!DC36=Datos!$C$17,Datos!$D$17,IF(Evalucion!DC36=Datos!$C$18,Datos!$D$18,IF(Evalucion!DC36=Datos!$C$19,Datos!$D$19,"=")))))</f>
        <v>5</v>
      </c>
      <c r="DC38">
        <f>IF(Evalucion!DD36=Datos!$C$15,Datos!$D$15,IF(Evalucion!DD36=Datos!$C$16,Datos!$D$16,IF(Evalucion!DD36=Datos!$C$17,Datos!$D$17,IF(Evalucion!DD36=Datos!$C$18,Datos!$D$18,IF(Evalucion!DD36=Datos!$C$19,Datos!$D$19,"=")))))</f>
        <v>5</v>
      </c>
      <c r="DD38">
        <f>IF(Evalucion!DE36=Datos!$C$15,Datos!$D$15,IF(Evalucion!DE36=Datos!$C$16,Datos!$D$16,IF(Evalucion!DE36=Datos!$C$17,Datos!$D$17,IF(Evalucion!DE36=Datos!$C$18,Datos!$D$18,IF(Evalucion!DE36=Datos!$C$19,Datos!$D$19,"=")))))</f>
        <v>1</v>
      </c>
      <c r="DE38">
        <f>IF(Evalucion!DF36=Datos!$C$15,Datos!$D$15,IF(Evalucion!DF36=Datos!$C$16,Datos!$D$16,IF(Evalucion!DF36=Datos!$C$17,Datos!$D$17,IF(Evalucion!DF36=Datos!$C$18,Datos!$D$18,IF(Evalucion!DF36=Datos!$C$19,Datos!$D$19,"=")))))</f>
        <v>1</v>
      </c>
      <c r="DF38">
        <f>IF(Evalucion!DG36=Datos!$C$15,Datos!$D$15,IF(Evalucion!DG36=Datos!$C$16,Datos!$D$16,IF(Evalucion!DG36=Datos!$C$17,Datos!$D$17,IF(Evalucion!DG36=Datos!$C$18,Datos!$D$18,IF(Evalucion!DG36=Datos!$C$19,Datos!$D$19,"=")))))</f>
        <v>5</v>
      </c>
      <c r="DG38">
        <f>IF(Evalucion!DH36=Datos!$C$15,Datos!$D$15,IF(Evalucion!DH36=Datos!$C$16,Datos!$D$16,IF(Evalucion!DH36=Datos!$C$17,Datos!$D$17,IF(Evalucion!DH36=Datos!$C$18,Datos!$D$18,IF(Evalucion!DH36=Datos!$C$19,Datos!$D$19,"=")))))</f>
        <v>3</v>
      </c>
      <c r="DH38">
        <f>IF(Evalucion!DI36=Datos!$C$15,Datos!$D$15,IF(Evalucion!DI36=Datos!$C$16,Datos!$D$16,IF(Evalucion!DI36=Datos!$C$17,Datos!$D$17,IF(Evalucion!DI36=Datos!$C$18,Datos!$D$18,IF(Evalucion!DI36=Datos!$C$19,Datos!$D$19,"=")))))</f>
        <v>1</v>
      </c>
      <c r="DI38">
        <f>IF(Evalucion!DJ36=Datos!$C$15,Datos!$D$15,IF(Evalucion!DJ36=Datos!$C$16,Datos!$D$16,IF(Evalucion!DJ36=Datos!$C$17,Datos!$D$17,IF(Evalucion!DJ36=Datos!$C$18,Datos!$D$18,IF(Evalucion!DJ36=Datos!$C$19,Datos!$D$19,"=")))))</f>
        <v>1</v>
      </c>
      <c r="DJ38">
        <f>IF(Evalucion!DK36=Datos!$C$15,Datos!$D$15,IF(Evalucion!DK36=Datos!$C$16,Datos!$D$16,IF(Evalucion!DK36=Datos!$C$17,Datos!$D$17,IF(Evalucion!DK36=Datos!$C$18,Datos!$D$18,IF(Evalucion!DK36=Datos!$C$19,Datos!$D$19,"=")))))</f>
        <v>1</v>
      </c>
      <c r="DK38">
        <f>IF(Evalucion!DL36=Datos!$C$15,Datos!$D$15,IF(Evalucion!DL36=Datos!$C$16,Datos!$D$16,IF(Evalucion!DL36=Datos!$C$17,Datos!$D$17,IF(Evalucion!DL36=Datos!$C$18,Datos!$D$18,IF(Evalucion!DL36=Datos!$C$19,Datos!$D$19,"=")))))</f>
        <v>1</v>
      </c>
      <c r="DL38">
        <f>IF(Evalucion!DM36=Datos!$C$15,Datos!$D$15,IF(Evalucion!DM36=Datos!$C$16,Datos!$D$16,IF(Evalucion!DM36=Datos!$C$17,Datos!$D$17,IF(Evalucion!DM36=Datos!$C$18,Datos!$D$18,IF(Evalucion!DM36=Datos!$C$19,Datos!$D$19,"=")))))</f>
        <v>1</v>
      </c>
      <c r="DM38">
        <f>IF(Evalucion!DN36=Datos!$C$15,Datos!$D$15,IF(Evalucion!DN36=Datos!$C$16,Datos!$D$16,IF(Evalucion!DN36=Datos!$C$17,Datos!$D$17,IF(Evalucion!DN36=Datos!$C$18,Datos!$D$18,IF(Evalucion!DN36=Datos!$C$19,Datos!$D$19,"=")))))</f>
        <v>1</v>
      </c>
      <c r="DN38">
        <f>IF(Evalucion!DO36=Datos!$C$15,Datos!$D$15,IF(Evalucion!DO36=Datos!$C$16,Datos!$D$16,IF(Evalucion!DO36=Datos!$C$17,Datos!$D$17,IF(Evalucion!DO36=Datos!$C$18,Datos!$D$18,IF(Evalucion!DO36=Datos!$C$19,Datos!$D$19,"=")))))</f>
        <v>5</v>
      </c>
      <c r="DO38">
        <f>IF(Evalucion!DP36=Datos!$C$15,Datos!$D$15,IF(Evalucion!DP36=Datos!$C$16,Datos!$D$16,IF(Evalucion!DP36=Datos!$C$17,Datos!$D$17,IF(Evalucion!DP36=Datos!$C$18,Datos!$D$18,IF(Evalucion!DP36=Datos!$C$19,Datos!$D$19,"=")))))</f>
        <v>1</v>
      </c>
      <c r="DP38">
        <f>IF(Evalucion!DQ36=Datos!$C$15,Datos!$D$15,IF(Evalucion!DQ36=Datos!$C$16,Datos!$D$16,IF(Evalucion!DQ36=Datos!$C$17,Datos!$D$17,IF(Evalucion!DQ36=Datos!$C$18,Datos!$D$18,IF(Evalucion!DQ36=Datos!$C$19,Datos!$D$19,"=")))))</f>
        <v>5</v>
      </c>
      <c r="DQ38">
        <f>IF(Evalucion!DR36=Datos!$C$15,Datos!$D$15,IF(Evalucion!DR36=Datos!$C$16,Datos!$D$16,IF(Evalucion!DR36=Datos!$C$17,Datos!$D$17,IF(Evalucion!DR36=Datos!$C$18,Datos!$D$18,IF(Evalucion!DR36=Datos!$C$19,Datos!$D$19,"=")))))</f>
        <v>3</v>
      </c>
      <c r="DR38">
        <f>IF(Evalucion!DS36=Datos!$C$15,Datos!$D$15,IF(Evalucion!DS36=Datos!$C$16,Datos!$D$16,IF(Evalucion!DS36=Datos!$C$17,Datos!$D$17,IF(Evalucion!DS36=Datos!$C$18,Datos!$D$18,IF(Evalucion!DS36=Datos!$C$19,Datos!$D$19,"=")))))</f>
        <v>1</v>
      </c>
      <c r="DS38">
        <f>IF(Evalucion!DT36=Datos!$C$15,Datos!$D$15,IF(Evalucion!DT36=Datos!$C$16,Datos!$D$16,IF(Evalucion!DT36=Datos!$C$17,Datos!$D$17,IF(Evalucion!DT36=Datos!$C$18,Datos!$D$18,IF(Evalucion!DT36=Datos!$C$19,Datos!$D$19,"=")))))</f>
        <v>1</v>
      </c>
      <c r="DT38">
        <f>IF(Evalucion!DU36=Datos!$C$15,Datos!$D$15,IF(Evalucion!DU36=Datos!$C$16,Datos!$D$16,IF(Evalucion!DU36=Datos!$C$17,Datos!$D$17,IF(Evalucion!DU36=Datos!$C$18,Datos!$D$18,IF(Evalucion!DU36=Datos!$C$19,Datos!$D$19,"=")))))</f>
        <v>5</v>
      </c>
      <c r="DU38">
        <f>IF(Evalucion!DV36=Datos!$C$15,Datos!$D$15,IF(Evalucion!DV36=Datos!$C$16,Datos!$D$16,IF(Evalucion!DV36=Datos!$C$17,Datos!$D$17,IF(Evalucion!DV36=Datos!$C$18,Datos!$D$18,IF(Evalucion!DV36=Datos!$C$19,Datos!$D$19,"=")))))</f>
        <v>3</v>
      </c>
      <c r="DV38">
        <f>IF(Evalucion!DW36=Datos!$C$15,Datos!$D$15,IF(Evalucion!DW36=Datos!$C$16,Datos!$D$16,IF(Evalucion!DW36=Datos!$C$17,Datos!$D$17,IF(Evalucion!DW36=Datos!$C$18,Datos!$D$18,IF(Evalucion!DW36=Datos!$C$19,Datos!$D$19,"=")))))</f>
        <v>1</v>
      </c>
      <c r="DW38">
        <f>IF(Evalucion!DX36=Datos!$C$15,Datos!$D$15,IF(Evalucion!DX36=Datos!$C$16,Datos!$D$16,IF(Evalucion!DX36=Datos!$C$17,Datos!$D$17,IF(Evalucion!DX36=Datos!$C$18,Datos!$D$18,IF(Evalucion!DX36=Datos!$C$19,Datos!$D$19,"=")))))</f>
        <v>1</v>
      </c>
      <c r="DX38">
        <f>IF(Evalucion!DY36=Datos!$C$15,Datos!$D$15,IF(Evalucion!DY36=Datos!$C$16,Datos!$D$16,IF(Evalucion!DY36=Datos!$C$17,Datos!$D$17,IF(Evalucion!DY36=Datos!$C$18,Datos!$D$18,IF(Evalucion!DY36=Datos!$C$19,Datos!$D$19,"=")))))</f>
        <v>1</v>
      </c>
      <c r="DY38">
        <f>IF(Evalucion!DZ36=Datos!$C$15,Datos!$D$15,IF(Evalucion!DZ36=Datos!$C$16,Datos!$D$16,IF(Evalucion!DZ36=Datos!$C$17,Datos!$D$17,IF(Evalucion!DZ36=Datos!$C$18,Datos!$D$18,IF(Evalucion!DZ36=Datos!$C$19,Datos!$D$19,"=")))))</f>
        <v>1</v>
      </c>
      <c r="DZ38">
        <f>IF(Evalucion!EA36=Datos!$C$15,Datos!$D$15,IF(Evalucion!EA36=Datos!$C$16,Datos!$D$16,IF(Evalucion!EA36=Datos!$C$17,Datos!$D$17,IF(Evalucion!EA36=Datos!$C$18,Datos!$D$18,IF(Evalucion!EA36=Datos!$C$19,Datos!$D$19,"=")))))</f>
        <v>5</v>
      </c>
      <c r="EA38">
        <f>IF(Evalucion!EB36=Datos!$C$15,Datos!$D$15,IF(Evalucion!EB36=Datos!$C$16,Datos!$D$16,IF(Evalucion!EB36=Datos!$C$17,Datos!$D$17,IF(Evalucion!EB36=Datos!$C$18,Datos!$D$18,IF(Evalucion!EB36=Datos!$C$19,Datos!$D$19,"=")))))</f>
        <v>5</v>
      </c>
      <c r="EB38">
        <f>IF(Evalucion!EC36=Datos!$C$15,Datos!$D$15,IF(Evalucion!EC36=Datos!$C$16,Datos!$D$16,IF(Evalucion!EC36=Datos!$C$17,Datos!$D$17,IF(Evalucion!EC36=Datos!$C$18,Datos!$D$18,IF(Evalucion!EC36=Datos!$C$19,Datos!$D$19,"=")))))</f>
        <v>5</v>
      </c>
      <c r="EC38">
        <f>IF(Evalucion!ED36=Datos!$C$15,Datos!$D$15,IF(Evalucion!ED36=Datos!$C$16,Datos!$D$16,IF(Evalucion!ED36=Datos!$C$17,Datos!$D$17,IF(Evalucion!ED36=Datos!$C$18,Datos!$D$18,IF(Evalucion!ED36=Datos!$C$19,Datos!$D$19,"=")))))</f>
        <v>3</v>
      </c>
      <c r="ED38">
        <f>IF(Evalucion!EE36=Datos!$C$15,Datos!$D$15,IF(Evalucion!EE36=Datos!$C$16,Datos!$D$16,IF(Evalucion!EE36=Datos!$C$17,Datos!$D$17,IF(Evalucion!EE36=Datos!$C$18,Datos!$D$18,IF(Evalucion!EE36=Datos!$C$19,Datos!$D$19,"=")))))</f>
        <v>5</v>
      </c>
      <c r="EE38">
        <f>IF(Evalucion!EF36=Datos!$C$15,Datos!$D$15,IF(Evalucion!EF36=Datos!$C$16,Datos!$D$16,IF(Evalucion!EF36=Datos!$C$17,Datos!$D$17,IF(Evalucion!EF36=Datos!$C$18,Datos!$D$18,IF(Evalucion!EF36=Datos!$C$19,Datos!$D$19,"=")))))</f>
        <v>1</v>
      </c>
      <c r="EF38">
        <f>IF(Evalucion!EG36=Datos!$C$15,Datos!$D$15,IF(Evalucion!EG36=Datos!$C$16,Datos!$D$16,IF(Evalucion!EG36=Datos!$C$17,Datos!$D$17,IF(Evalucion!EG36=Datos!$C$18,Datos!$D$18,IF(Evalucion!EG36=Datos!$C$19,Datos!$D$19,"=")))))</f>
        <v>5</v>
      </c>
      <c r="EG38">
        <f>IF(Evalucion!EH36=Datos!$C$15,Datos!$D$15,IF(Evalucion!EH36=Datos!$C$16,Datos!$D$16,IF(Evalucion!EH36=Datos!$C$17,Datos!$D$17,IF(Evalucion!EH36=Datos!$C$18,Datos!$D$18,IF(Evalucion!EH36=Datos!$C$19,Datos!$D$19,"=")))))</f>
        <v>5</v>
      </c>
      <c r="EH38">
        <f>IF(Evalucion!EI36=Datos!$C$15,Datos!$D$15,IF(Evalucion!EI36=Datos!$C$16,Datos!$D$16,IF(Evalucion!EI36=Datos!$C$17,Datos!$D$17,IF(Evalucion!EI36=Datos!$C$18,Datos!$D$18,IF(Evalucion!EI36=Datos!$C$19,Datos!$D$19,"=")))))</f>
        <v>1</v>
      </c>
      <c r="EI38">
        <f>IF(Evalucion!EJ36=Datos!$C$15,Datos!$D$15,IF(Evalucion!EJ36=Datos!$C$16,Datos!$D$16,IF(Evalucion!EJ36=Datos!$C$17,Datos!$D$17,IF(Evalucion!EJ36=Datos!$C$18,Datos!$D$18,IF(Evalucion!EJ36=Datos!$C$19,Datos!$D$19,"=")))))</f>
        <v>1</v>
      </c>
      <c r="EJ38">
        <f>IF(Evalucion!EK36=Datos!$C$15,Datos!$D$15,IF(Evalucion!EK36=Datos!$C$16,Datos!$D$16,IF(Evalucion!EK36=Datos!$C$17,Datos!$D$17,IF(Evalucion!EK36=Datos!$C$18,Datos!$D$18,IF(Evalucion!EK36=Datos!$C$19,Datos!$D$19,"=")))))</f>
        <v>1</v>
      </c>
      <c r="EK38">
        <f>IF(Evalucion!EL36=Datos!$C$15,Datos!$D$15,IF(Evalucion!EL36=Datos!$C$16,Datos!$D$16,IF(Evalucion!EL36=Datos!$C$17,Datos!$D$17,IF(Evalucion!EL36=Datos!$C$18,Datos!$D$18,IF(Evalucion!EL36=Datos!$C$19,Datos!$D$19,"=")))))</f>
        <v>1</v>
      </c>
      <c r="EL38">
        <f>IF(Evalucion!EM36=Datos!$C$15,Datos!$D$15,IF(Evalucion!EM36=Datos!$C$16,Datos!$D$16,IF(Evalucion!EM36=Datos!$C$17,Datos!$D$17,IF(Evalucion!EM36=Datos!$C$18,Datos!$D$18,IF(Evalucion!EM36=Datos!$C$19,Datos!$D$19,"=")))))</f>
        <v>5</v>
      </c>
      <c r="EM38">
        <f>IF(Evalucion!EN36=Datos!$C$15,Datos!$D$15,IF(Evalucion!EN36=Datos!$C$16,Datos!$D$16,IF(Evalucion!EN36=Datos!$C$17,Datos!$D$17,IF(Evalucion!EN36=Datos!$C$18,Datos!$D$18,IF(Evalucion!EN36=Datos!$C$19,Datos!$D$19,"=")))))</f>
        <v>5</v>
      </c>
      <c r="EN38">
        <f>IF(Evalucion!EO36=Datos!$C$15,Datos!$D$15,IF(Evalucion!EO36=Datos!$C$16,Datos!$D$16,IF(Evalucion!EO36=Datos!$C$17,Datos!$D$17,IF(Evalucion!EO36=Datos!$C$18,Datos!$D$18,IF(Evalucion!EO36=Datos!$C$19,Datos!$D$19,"=")))))</f>
        <v>1</v>
      </c>
      <c r="EO38">
        <f>IF(Evalucion!EP36=Datos!$C$15,Datos!$D$15,IF(Evalucion!EP36=Datos!$C$16,Datos!$D$16,IF(Evalucion!EP36=Datos!$C$17,Datos!$D$17,IF(Evalucion!EP36=Datos!$C$18,Datos!$D$18,IF(Evalucion!EP36=Datos!$C$19,Datos!$D$19,"=")))))</f>
        <v>1</v>
      </c>
      <c r="EP38">
        <f>IF(Evalucion!EQ36=Datos!$C$15,Datos!$D$15,IF(Evalucion!EQ36=Datos!$C$16,Datos!$D$16,IF(Evalucion!EQ36=Datos!$C$17,Datos!$D$17,IF(Evalucion!EQ36=Datos!$C$18,Datos!$D$18,IF(Evalucion!EQ36=Datos!$C$19,Datos!$D$19,"=")))))</f>
        <v>1</v>
      </c>
      <c r="EQ38">
        <f>IF(Evalucion!ER36=Datos!$C$15,Datos!$D$15,IF(Evalucion!ER36=Datos!$C$16,Datos!$D$16,IF(Evalucion!ER36=Datos!$C$17,Datos!$D$17,IF(Evalucion!ER36=Datos!$C$18,Datos!$D$18,IF(Evalucion!ER36=Datos!$C$19,Datos!$D$19,"=")))))</f>
        <v>1</v>
      </c>
      <c r="ER38">
        <f>IF(Evalucion!ES36=Datos!$C$15,Datos!$D$15,IF(Evalucion!ES36=Datos!$C$16,Datos!$D$16,IF(Evalucion!ES36=Datos!$C$17,Datos!$D$17,IF(Evalucion!ES36=Datos!$C$18,Datos!$D$18,IF(Evalucion!ES36=Datos!$C$19,Datos!$D$19,"=")))))</f>
        <v>5</v>
      </c>
      <c r="ES38">
        <f>IF(Evalucion!ET36=Datos!$C$15,Datos!$D$15,IF(Evalucion!ET36=Datos!$C$16,Datos!$D$16,IF(Evalucion!ET36=Datos!$C$17,Datos!$D$17,IF(Evalucion!ET36=Datos!$C$18,Datos!$D$18,IF(Evalucion!ET36=Datos!$C$19,Datos!$D$19,"=")))))</f>
        <v>5</v>
      </c>
      <c r="ET38">
        <f>IF(Evalucion!EU36=Datos!$C$15,Datos!$D$15,IF(Evalucion!EU36=Datos!$C$16,Datos!$D$16,IF(Evalucion!EU36=Datos!$C$17,Datos!$D$17,IF(Evalucion!EU36=Datos!$C$18,Datos!$D$18,IF(Evalucion!EU36=Datos!$C$19,Datos!$D$19,"=")))))</f>
        <v>5</v>
      </c>
      <c r="EU38">
        <f>IF(Evalucion!EV36=Datos!$C$15,Datos!$D$15,IF(Evalucion!EV36=Datos!$C$16,Datos!$D$16,IF(Evalucion!EV36=Datos!$C$17,Datos!$D$17,IF(Evalucion!EV36=Datos!$C$18,Datos!$D$18,IF(Evalucion!EV36=Datos!$C$19,Datos!$D$19,"=")))))</f>
        <v>1</v>
      </c>
      <c r="EV38">
        <f>IF(Evalucion!EW36=Datos!$C$15,Datos!$D$15,IF(Evalucion!EW36=Datos!$C$16,Datos!$D$16,IF(Evalucion!EW36=Datos!$C$17,Datos!$D$17,IF(Evalucion!EW36=Datos!$C$18,Datos!$D$18,IF(Evalucion!EW36=Datos!$C$19,Datos!$D$19,"=")))))</f>
        <v>5</v>
      </c>
      <c r="EW38">
        <f>IF(Evalucion!EX36=Datos!$C$15,Datos!$D$15,IF(Evalucion!EX36=Datos!$C$16,Datos!$D$16,IF(Evalucion!EX36=Datos!$C$17,Datos!$D$17,IF(Evalucion!EX36=Datos!$C$18,Datos!$D$18,IF(Evalucion!EX36=Datos!$C$19,Datos!$D$19,"=")))))</f>
        <v>5</v>
      </c>
      <c r="EX38">
        <f>IF(Evalucion!EY36=Datos!$C$15,Datos!$D$15,IF(Evalucion!EY36=Datos!$C$16,Datos!$D$16,IF(Evalucion!EY36=Datos!$C$17,Datos!$D$17,IF(Evalucion!EY36=Datos!$C$18,Datos!$D$18,IF(Evalucion!EY36=Datos!$C$19,Datos!$D$19,"=")))))</f>
        <v>5</v>
      </c>
      <c r="EY38">
        <f>IF(Evalucion!EZ36=Datos!$C$15,Datos!$D$15,IF(Evalucion!EZ36=Datos!$C$16,Datos!$D$16,IF(Evalucion!EZ36=Datos!$C$17,Datos!$D$17,IF(Evalucion!EZ36=Datos!$C$18,Datos!$D$18,IF(Evalucion!EZ36=Datos!$C$19,Datos!$D$19,"=")))))</f>
        <v>1</v>
      </c>
      <c r="FA38">
        <f t="shared" si="8"/>
        <v>207</v>
      </c>
      <c r="FB38">
        <f t="shared" si="8"/>
        <v>161</v>
      </c>
      <c r="FC38" s="3">
        <f t="shared" si="4"/>
        <v>0.42933333333333334</v>
      </c>
      <c r="FD38" t="str">
        <f t="shared" si="9"/>
        <v>NO_Conf</v>
      </c>
      <c r="FF38">
        <f t="shared" si="5"/>
        <v>368</v>
      </c>
      <c r="FG38">
        <f t="shared" si="6"/>
        <v>0</v>
      </c>
    </row>
    <row r="39" spans="1:163" x14ac:dyDescent="0.2">
      <c r="A39">
        <f t="shared" si="7"/>
        <v>36</v>
      </c>
      <c r="B39" t="s">
        <v>277</v>
      </c>
      <c r="C39" t="s">
        <v>190</v>
      </c>
      <c r="D39" s="1">
        <v>43374</v>
      </c>
      <c r="E39">
        <f>IF(Evalucion!F37=Datos!$C$15,Datos!$D$15,IF(Evalucion!F37=Datos!$C$16,Datos!$D$16,IF(Evalucion!F37=Datos!$C$17,Datos!$D$17,IF(Evalucion!F37=Datos!$C$18,Datos!$D$18,IF(Evalucion!F37=Datos!$C$19,Datos!$D$19,"=")))))</f>
        <v>5</v>
      </c>
      <c r="F39">
        <f>IF(Evalucion!G37=Datos!$C$15,Datos!$D$15,IF(Evalucion!G37=Datos!$C$16,Datos!$D$16,IF(Evalucion!G37=Datos!$C$17,Datos!$D$17,IF(Evalucion!G37=Datos!$C$18,Datos!$D$18,IF(Evalucion!G37=Datos!$C$19,Datos!$D$19,"=")))))</f>
        <v>5</v>
      </c>
      <c r="G39">
        <f>IF(Evalucion!H37=Datos!$C$15,Datos!$D$15,IF(Evalucion!H37=Datos!$C$16,Datos!$D$16,IF(Evalucion!H37=Datos!$C$17,Datos!$D$17,IF(Evalucion!H37=Datos!$C$18,Datos!$D$18,IF(Evalucion!H37=Datos!$C$19,Datos!$D$19,"=")))))</f>
        <v>1</v>
      </c>
      <c r="H39">
        <f>IF(Evalucion!I37=Datos!$C$15,Datos!$D$15,IF(Evalucion!I37=Datos!$C$16,Datos!$D$16,IF(Evalucion!I37=Datos!$C$17,Datos!$D$17,IF(Evalucion!I37=Datos!$C$18,Datos!$D$18,IF(Evalucion!I37=Datos!$C$19,Datos!$D$19,"=")))))</f>
        <v>1</v>
      </c>
      <c r="I39">
        <f>IF(Evalucion!J37=Datos!$C$15,Datos!$D$15,IF(Evalucion!J37=Datos!$C$16,Datos!$D$16,IF(Evalucion!J37=Datos!$C$17,Datos!$D$17,IF(Evalucion!J37=Datos!$C$18,Datos!$D$18,IF(Evalucion!J37=Datos!$C$19,Datos!$D$19,"=")))))</f>
        <v>1</v>
      </c>
      <c r="J39">
        <f>IF(Evalucion!K37=Datos!$C$15,Datos!$D$15,IF(Evalucion!K37=Datos!$C$16,Datos!$D$16,IF(Evalucion!K37=Datos!$C$17,Datos!$D$17,IF(Evalucion!K37=Datos!$C$18,Datos!$D$18,IF(Evalucion!K37=Datos!$C$19,Datos!$D$19,"=")))))</f>
        <v>1</v>
      </c>
      <c r="K39">
        <f>IF(Evalucion!L37=Datos!$C$15,Datos!$D$15,IF(Evalucion!L37=Datos!$C$16,Datos!$D$16,IF(Evalucion!L37=Datos!$C$17,Datos!$D$17,IF(Evalucion!L37=Datos!$C$18,Datos!$D$18,IF(Evalucion!L37=Datos!$C$19,Datos!$D$19,"=")))))</f>
        <v>1</v>
      </c>
      <c r="L39">
        <f>IF(Evalucion!M37=Datos!$C$15,Datos!$D$15,IF(Evalucion!M37=Datos!$C$16,Datos!$D$16,IF(Evalucion!M37=Datos!$C$17,Datos!$D$17,IF(Evalucion!M37=Datos!$C$18,Datos!$D$18,IF(Evalucion!M37=Datos!$C$19,Datos!$D$19,"=")))))</f>
        <v>5</v>
      </c>
      <c r="M39">
        <f>IF(Evalucion!N37=Datos!$C$15,Datos!$D$15,IF(Evalucion!N37=Datos!$C$16,Datos!$D$16,IF(Evalucion!N37=Datos!$C$17,Datos!$D$17,IF(Evalucion!N37=Datos!$C$18,Datos!$D$18,IF(Evalucion!N37=Datos!$C$19,Datos!$D$19,"=")))))</f>
        <v>5</v>
      </c>
      <c r="N39">
        <f>IF(Evalucion!O37=Datos!$C$15,Datos!$D$15,IF(Evalucion!O37=Datos!$C$16,Datos!$D$16,IF(Evalucion!O37=Datos!$C$17,Datos!$D$17,IF(Evalucion!O37=Datos!$C$18,Datos!$D$18,IF(Evalucion!O37=Datos!$C$19,Datos!$D$19,"=")))))</f>
        <v>3</v>
      </c>
      <c r="O39">
        <f>IF(Evalucion!P37=Datos!$C$15,Datos!$D$15,IF(Evalucion!P37=Datos!$C$16,Datos!$D$16,IF(Evalucion!P37=Datos!$C$17,Datos!$D$17,IF(Evalucion!P37=Datos!$C$18,Datos!$D$18,IF(Evalucion!P37=Datos!$C$19,Datos!$D$19,"=")))))</f>
        <v>1</v>
      </c>
      <c r="P39">
        <f>IF(Evalucion!Q37=Datos!$C$15,Datos!$D$15,IF(Evalucion!Q37=Datos!$C$16,Datos!$D$16,IF(Evalucion!Q37=Datos!$C$17,Datos!$D$17,IF(Evalucion!Q37=Datos!$C$18,Datos!$D$18,IF(Evalucion!Q37=Datos!$C$19,Datos!$D$19,"=")))))</f>
        <v>1</v>
      </c>
      <c r="Q39">
        <f>IF(Evalucion!R37=Datos!$C$15,Datos!$D$15,IF(Evalucion!R37=Datos!$C$16,Datos!$D$16,IF(Evalucion!R37=Datos!$C$17,Datos!$D$17,IF(Evalucion!R37=Datos!$C$18,Datos!$D$18,IF(Evalucion!R37=Datos!$C$19,Datos!$D$19,"=")))))</f>
        <v>5</v>
      </c>
      <c r="R39">
        <f>IF(Evalucion!S37=Datos!$C$15,Datos!$D$15,IF(Evalucion!S37=Datos!$C$16,Datos!$D$16,IF(Evalucion!S37=Datos!$C$17,Datos!$D$17,IF(Evalucion!S37=Datos!$C$18,Datos!$D$18,IF(Evalucion!S37=Datos!$C$19,Datos!$D$19,"=")))))</f>
        <v>1</v>
      </c>
      <c r="S39">
        <f>IF(Evalucion!T37=Datos!$C$15,Datos!$D$15,IF(Evalucion!T37=Datos!$C$16,Datos!$D$16,IF(Evalucion!T37=Datos!$C$17,Datos!$D$17,IF(Evalucion!T37=Datos!$C$18,Datos!$D$18,IF(Evalucion!T37=Datos!$C$19,Datos!$D$19,"=")))))</f>
        <v>1</v>
      </c>
      <c r="T39">
        <f>IF(Evalucion!U37=Datos!$C$15,Datos!$D$15,IF(Evalucion!U37=Datos!$C$16,Datos!$D$16,IF(Evalucion!U37=Datos!$C$17,Datos!$D$17,IF(Evalucion!U37=Datos!$C$18,Datos!$D$18,IF(Evalucion!U37=Datos!$C$19,Datos!$D$19,"=")))))</f>
        <v>1</v>
      </c>
      <c r="U39">
        <f>IF(Evalucion!V37=Datos!$C$15,Datos!$D$15,IF(Evalucion!V37=Datos!$C$16,Datos!$D$16,IF(Evalucion!V37=Datos!$C$17,Datos!$D$17,IF(Evalucion!V37=Datos!$C$18,Datos!$D$18,IF(Evalucion!V37=Datos!$C$19,Datos!$D$19,"=")))))</f>
        <v>1</v>
      </c>
      <c r="V39">
        <f>IF(Evalucion!W37=Datos!$C$15,Datos!$D$15,IF(Evalucion!W37=Datos!$C$16,Datos!$D$16,IF(Evalucion!W37=Datos!$C$17,Datos!$D$17,IF(Evalucion!W37=Datos!$C$18,Datos!$D$18,IF(Evalucion!W37=Datos!$C$19,Datos!$D$19,"=")))))</f>
        <v>1</v>
      </c>
      <c r="W39">
        <f>IF(Evalucion!X37=Datos!$C$15,Datos!$D$15,IF(Evalucion!X37=Datos!$C$16,Datos!$D$16,IF(Evalucion!X37=Datos!$C$17,Datos!$D$17,IF(Evalucion!X37=Datos!$C$18,Datos!$D$18,IF(Evalucion!X37=Datos!$C$19,Datos!$D$19,"=")))))</f>
        <v>1</v>
      </c>
      <c r="X39">
        <f>IF(Evalucion!Y37=Datos!$C$15,Datos!$D$15,IF(Evalucion!Y37=Datos!$C$16,Datos!$D$16,IF(Evalucion!Y37=Datos!$C$17,Datos!$D$17,IF(Evalucion!Y37=Datos!$C$18,Datos!$D$18,IF(Evalucion!Y37=Datos!$C$19,Datos!$D$19,"=")))))</f>
        <v>1</v>
      </c>
      <c r="Y39">
        <f>IF(Evalucion!Z37=Datos!$C$15,Datos!$D$15,IF(Evalucion!Z37=Datos!$C$16,Datos!$D$16,IF(Evalucion!Z37=Datos!$C$17,Datos!$D$17,IF(Evalucion!Z37=Datos!$C$18,Datos!$D$18,IF(Evalucion!Z37=Datos!$C$19,Datos!$D$19,"=")))))</f>
        <v>1</v>
      </c>
      <c r="Z39">
        <f>IF(Evalucion!AA37=Datos!$C$15,Datos!$D$15,IF(Evalucion!AA37=Datos!$C$16,Datos!$D$16,IF(Evalucion!AA37=Datos!$C$17,Datos!$D$17,IF(Evalucion!AA37=Datos!$C$18,Datos!$D$18,IF(Evalucion!AA37=Datos!$C$19,Datos!$D$19,"=")))))</f>
        <v>1</v>
      </c>
      <c r="AA39">
        <f>IF(Evalucion!AB37=Datos!$C$15,Datos!$D$15,IF(Evalucion!AB37=Datos!$C$16,Datos!$D$16,IF(Evalucion!AB37=Datos!$C$17,Datos!$D$17,IF(Evalucion!AB37=Datos!$C$18,Datos!$D$18,IF(Evalucion!AB37=Datos!$C$19,Datos!$D$19,"=")))))</f>
        <v>1</v>
      </c>
      <c r="AB39">
        <f>IF(Evalucion!AC37=Datos!$C$15,Datos!$D$15,IF(Evalucion!AC37=Datos!$C$16,Datos!$D$16,IF(Evalucion!AC37=Datos!$C$17,Datos!$D$17,IF(Evalucion!AC37=Datos!$C$18,Datos!$D$18,IF(Evalucion!AC37=Datos!$C$19,Datos!$D$19,"=")))))</f>
        <v>1</v>
      </c>
      <c r="AC39">
        <f>IF(Evalucion!AD37=Datos!$C$15,Datos!$D$15,IF(Evalucion!AD37=Datos!$C$16,Datos!$D$16,IF(Evalucion!AD37=Datos!$C$17,Datos!$D$17,IF(Evalucion!AD37=Datos!$C$18,Datos!$D$18,IF(Evalucion!AD37=Datos!$C$19,Datos!$D$19,"=")))))</f>
        <v>5</v>
      </c>
      <c r="AD39">
        <f>IF(Evalucion!AE37=Datos!$C$15,Datos!$D$15,IF(Evalucion!AE37=Datos!$C$16,Datos!$D$16,IF(Evalucion!AE37=Datos!$C$17,Datos!$D$17,IF(Evalucion!AE37=Datos!$C$18,Datos!$D$18,IF(Evalucion!AE37=Datos!$C$19,Datos!$D$19,"=")))))</f>
        <v>3</v>
      </c>
      <c r="AE39">
        <f>IF(Evalucion!AF37=Datos!$C$15,Datos!$D$15,IF(Evalucion!AF37=Datos!$C$16,Datos!$D$16,IF(Evalucion!AF37=Datos!$C$17,Datos!$D$17,IF(Evalucion!AF37=Datos!$C$18,Datos!$D$18,IF(Evalucion!AF37=Datos!$C$19,Datos!$D$19,"=")))))</f>
        <v>5</v>
      </c>
      <c r="AF39">
        <f>IF(Evalucion!AG37=Datos!$C$15,Datos!$D$15,IF(Evalucion!AG37=Datos!$C$16,Datos!$D$16,IF(Evalucion!AG37=Datos!$C$17,Datos!$D$17,IF(Evalucion!AG37=Datos!$C$18,Datos!$D$18,IF(Evalucion!AG37=Datos!$C$19,Datos!$D$19,"=")))))</f>
        <v>1</v>
      </c>
      <c r="AO39">
        <f>IF(Evalucion!AP37=Datos!$C$15,Datos!$D$15,IF(Evalucion!AP37=Datos!$C$16,Datos!$D$16,IF(Evalucion!AP37=Datos!$C$17,Datos!$D$17,IF(Evalucion!AP37=Datos!$C$18,Datos!$D$18,IF(Evalucion!AP37=Datos!$C$19,Datos!$D$19,"=")))))</f>
        <v>5</v>
      </c>
      <c r="AP39">
        <f>IF(Evalucion!AQ37=Datos!$C$15,Datos!$D$15,IF(Evalucion!AQ37=Datos!$C$16,Datos!$D$16,IF(Evalucion!AQ37=Datos!$C$17,Datos!$D$17,IF(Evalucion!AQ37=Datos!$C$18,Datos!$D$18,IF(Evalucion!AQ37=Datos!$C$19,Datos!$D$19,"=")))))</f>
        <v>3</v>
      </c>
      <c r="AQ39">
        <f>IF(Evalucion!AR37=Datos!$C$15,Datos!$D$15,IF(Evalucion!AR37=Datos!$C$16,Datos!$D$16,IF(Evalucion!AR37=Datos!$C$17,Datos!$D$17,IF(Evalucion!AR37=Datos!$C$18,Datos!$D$18,IF(Evalucion!AR37=Datos!$C$19,Datos!$D$19,"=")))))</f>
        <v>1</v>
      </c>
      <c r="AR39">
        <f>IF(Evalucion!AS37=Datos!$C$15,Datos!$D$15,IF(Evalucion!AS37=Datos!$C$16,Datos!$D$16,IF(Evalucion!AS37=Datos!$C$17,Datos!$D$17,IF(Evalucion!AS37=Datos!$C$18,Datos!$D$18,IF(Evalucion!AS37=Datos!$C$19,Datos!$D$19,"=")))))</f>
        <v>1</v>
      </c>
      <c r="AS39">
        <f>IF(Evalucion!AT37=Datos!$C$15,Datos!$D$15,IF(Evalucion!AT37=Datos!$C$16,Datos!$D$16,IF(Evalucion!AT37=Datos!$C$17,Datos!$D$17,IF(Evalucion!AT37=Datos!$C$18,Datos!$D$18,IF(Evalucion!AT37=Datos!$C$19,Datos!$D$19,"=")))))</f>
        <v>5</v>
      </c>
      <c r="AT39">
        <f>IF(Evalucion!AU37=Datos!$C$15,Datos!$D$15,IF(Evalucion!AU37=Datos!$C$16,Datos!$D$16,IF(Evalucion!AU37=Datos!$C$17,Datos!$D$17,IF(Evalucion!AU37=Datos!$C$18,Datos!$D$18,IF(Evalucion!AU37=Datos!$C$19,Datos!$D$19,"=")))))</f>
        <v>5</v>
      </c>
      <c r="AV39">
        <f>IF(Evalucion!AW37=Datos!$C$15,Datos!$D$15,IF(Evalucion!AW37=Datos!$C$16,Datos!$D$16,IF(Evalucion!AW37=Datos!$C$17,Datos!$D$17,IF(Evalucion!AW37=Datos!$C$18,Datos!$D$18,IF(Evalucion!AW37=Datos!$C$19,Datos!$D$19,"=")))))</f>
        <v>1</v>
      </c>
      <c r="AW39">
        <f>IF(Evalucion!AX37=Datos!$C$15,Datos!$D$15,IF(Evalucion!AX37=Datos!$C$16,Datos!$D$16,IF(Evalucion!AX37=Datos!$C$17,Datos!$D$17,IF(Evalucion!AX37=Datos!$C$18,Datos!$D$18,IF(Evalucion!AX37=Datos!$C$19,Datos!$D$19,"=")))))</f>
        <v>1</v>
      </c>
      <c r="AX39">
        <f>IF(Evalucion!AY37=Datos!$C$15,Datos!$D$15,IF(Evalucion!AY37=Datos!$C$16,Datos!$D$16,IF(Evalucion!AY37=Datos!$C$17,Datos!$D$17,IF(Evalucion!AY37=Datos!$C$18,Datos!$D$18,IF(Evalucion!AY37=Datos!$C$19,Datos!$D$19,"=")))))</f>
        <v>5</v>
      </c>
      <c r="AY39">
        <f>IF(Evalucion!AZ37=Datos!$C$15,Datos!$D$15,IF(Evalucion!AZ37=Datos!$C$16,Datos!$D$16,IF(Evalucion!AZ37=Datos!$C$17,Datos!$D$17,IF(Evalucion!AZ37=Datos!$C$18,Datos!$D$18,IF(Evalucion!AZ37=Datos!$C$19,Datos!$D$19,"=")))))</f>
        <v>5</v>
      </c>
      <c r="AZ39">
        <f>IF(Evalucion!BA37=Datos!$C$15,Datos!$D$15,IF(Evalucion!BA37=Datos!$C$16,Datos!$D$16,IF(Evalucion!BA37=Datos!$C$17,Datos!$D$17,IF(Evalucion!BA37=Datos!$C$18,Datos!$D$18,IF(Evalucion!BA37=Datos!$C$19,Datos!$D$19,"=")))))</f>
        <v>5</v>
      </c>
      <c r="BA39">
        <f>IF(Evalucion!BB37=Datos!$C$15,Datos!$D$15,IF(Evalucion!BB37=Datos!$C$16,Datos!$D$16,IF(Evalucion!BB37=Datos!$C$17,Datos!$D$17,IF(Evalucion!BB37=Datos!$C$18,Datos!$D$18,IF(Evalucion!BB37=Datos!$C$19,Datos!$D$19,"=")))))</f>
        <v>5</v>
      </c>
      <c r="BB39">
        <f>IF(Evalucion!BC37=Datos!$C$15,Datos!$D$15,IF(Evalucion!BC37=Datos!$C$16,Datos!$D$16,IF(Evalucion!BC37=Datos!$C$17,Datos!$D$17,IF(Evalucion!BC37=Datos!$C$18,Datos!$D$18,IF(Evalucion!BC37=Datos!$C$19,Datos!$D$19,"=")))))</f>
        <v>1</v>
      </c>
      <c r="BC39">
        <f>IF(Evalucion!BD37=Datos!$C$15,Datos!$D$15,IF(Evalucion!BD37=Datos!$C$16,Datos!$D$16,IF(Evalucion!BD37=Datos!$C$17,Datos!$D$17,IF(Evalucion!BD37=Datos!$C$18,Datos!$D$18,IF(Evalucion!BD37=Datos!$C$19,Datos!$D$19,"=")))))</f>
        <v>1</v>
      </c>
      <c r="BD39">
        <f>IF(Evalucion!BE37=Datos!$C$15,Datos!$D$15,IF(Evalucion!BE37=Datos!$C$16,Datos!$D$16,IF(Evalucion!BE37=Datos!$C$17,Datos!$D$17,IF(Evalucion!BE37=Datos!$C$18,Datos!$D$18,IF(Evalucion!BE37=Datos!$C$19,Datos!$D$19,"=")))))</f>
        <v>1</v>
      </c>
      <c r="BE39">
        <f>IF(Evalucion!BF37=Datos!$C$15,Datos!$D$15,IF(Evalucion!BF37=Datos!$C$16,Datos!$D$16,IF(Evalucion!BF37=Datos!$C$17,Datos!$D$17,IF(Evalucion!BF37=Datos!$C$18,Datos!$D$18,IF(Evalucion!BF37=Datos!$C$19,Datos!$D$19,"=")))))</f>
        <v>1</v>
      </c>
      <c r="BF39">
        <f>IF(Evalucion!BG37=Datos!$C$15,Datos!$D$15,IF(Evalucion!BG37=Datos!$C$16,Datos!$D$16,IF(Evalucion!BG37=Datos!$C$17,Datos!$D$17,IF(Evalucion!BG37=Datos!$C$18,Datos!$D$18,IF(Evalucion!BG37=Datos!$C$19,Datos!$D$19,"=")))))</f>
        <v>5</v>
      </c>
      <c r="BG39">
        <f>IF(Evalucion!BH37=Datos!$C$15,Datos!$D$15,IF(Evalucion!BH37=Datos!$C$16,Datos!$D$16,IF(Evalucion!BH37=Datos!$C$17,Datos!$D$17,IF(Evalucion!BH37=Datos!$C$18,Datos!$D$18,IF(Evalucion!BH37=Datos!$C$19,Datos!$D$19,"=")))))</f>
        <v>5</v>
      </c>
      <c r="BH39">
        <f>IF(Evalucion!BI37=Datos!$C$15,Datos!$D$15,IF(Evalucion!BI37=Datos!$C$16,Datos!$D$16,IF(Evalucion!BI37=Datos!$C$17,Datos!$D$17,IF(Evalucion!BI37=Datos!$C$18,Datos!$D$18,IF(Evalucion!BI37=Datos!$C$19,Datos!$D$19,"=")))))</f>
        <v>1</v>
      </c>
      <c r="BI39">
        <f>IF(Evalucion!BJ37=Datos!$C$15,Datos!$D$15,IF(Evalucion!BJ37=Datos!$C$16,Datos!$D$16,IF(Evalucion!BJ37=Datos!$C$17,Datos!$D$17,IF(Evalucion!BJ37=Datos!$C$18,Datos!$D$18,IF(Evalucion!BJ37=Datos!$C$19,Datos!$D$19,"=")))))</f>
        <v>1</v>
      </c>
      <c r="BJ39">
        <f>IF(Evalucion!BK37=Datos!$C$15,Datos!$D$15,IF(Evalucion!BK37=Datos!$C$16,Datos!$D$16,IF(Evalucion!BK37=Datos!$C$17,Datos!$D$17,IF(Evalucion!BK37=Datos!$C$18,Datos!$D$18,IF(Evalucion!BK37=Datos!$C$19,Datos!$D$19,"=")))))</f>
        <v>1</v>
      </c>
      <c r="BK39">
        <f>IF(Evalucion!BL37=Datos!$C$15,Datos!$D$15,IF(Evalucion!BL37=Datos!$C$16,Datos!$D$16,IF(Evalucion!BL37=Datos!$C$17,Datos!$D$17,IF(Evalucion!BL37=Datos!$C$18,Datos!$D$18,IF(Evalucion!BL37=Datos!$C$19,Datos!$D$19,"=")))))</f>
        <v>1</v>
      </c>
      <c r="BL39">
        <f>IF(Evalucion!BM37=Datos!$C$15,Datos!$D$15,IF(Evalucion!BM37=Datos!$C$16,Datos!$D$16,IF(Evalucion!BM37=Datos!$C$17,Datos!$D$17,IF(Evalucion!BM37=Datos!$C$18,Datos!$D$18,IF(Evalucion!BM37=Datos!$C$19,Datos!$D$19,"=")))))</f>
        <v>1</v>
      </c>
      <c r="BM39">
        <f>IF(Evalucion!BN37=Datos!$C$15,Datos!$D$15,IF(Evalucion!BN37=Datos!$C$16,Datos!$D$16,IF(Evalucion!BN37=Datos!$C$17,Datos!$D$17,IF(Evalucion!BN37=Datos!$C$18,Datos!$D$18,IF(Evalucion!BN37=Datos!$C$19,Datos!$D$19,"=")))))</f>
        <v>1</v>
      </c>
      <c r="BN39">
        <f>IF(Evalucion!BO37=Datos!$C$15,Datos!$D$15,IF(Evalucion!BO37=Datos!$C$16,Datos!$D$16,IF(Evalucion!BO37=Datos!$C$17,Datos!$D$17,IF(Evalucion!BO37=Datos!$C$18,Datos!$D$18,IF(Evalucion!BO37=Datos!$C$19,Datos!$D$19,"=")))))</f>
        <v>5</v>
      </c>
      <c r="BO39">
        <f>IF(Evalucion!BP37=Datos!$C$15,Datos!$D$15,IF(Evalucion!BP37=Datos!$C$16,Datos!$D$16,IF(Evalucion!BP37=Datos!$C$17,Datos!$D$17,IF(Evalucion!BP37=Datos!$C$18,Datos!$D$18,IF(Evalucion!BP37=Datos!$C$19,Datos!$D$19,"=")))))</f>
        <v>5</v>
      </c>
      <c r="BP39">
        <f>IF(Evalucion!BQ37=Datos!$C$15,Datos!$D$15,IF(Evalucion!BQ37=Datos!$C$16,Datos!$D$16,IF(Evalucion!BQ37=Datos!$C$17,Datos!$D$17,IF(Evalucion!BQ37=Datos!$C$18,Datos!$D$18,IF(Evalucion!BQ37=Datos!$C$19,Datos!$D$19,"=")))))</f>
        <v>1</v>
      </c>
      <c r="BQ39">
        <f>IF(Evalucion!BR37=Datos!$C$15,Datos!$D$15,IF(Evalucion!BR37=Datos!$C$16,Datos!$D$16,IF(Evalucion!BR37=Datos!$C$17,Datos!$D$17,IF(Evalucion!BR37=Datos!$C$18,Datos!$D$18,IF(Evalucion!BR37=Datos!$C$19,Datos!$D$19,"=")))))</f>
        <v>1</v>
      </c>
      <c r="BR39">
        <f>IF(Evalucion!BS37=Datos!$C$15,Datos!$D$15,IF(Evalucion!BS37=Datos!$C$16,Datos!$D$16,IF(Evalucion!BS37=Datos!$C$17,Datos!$D$17,IF(Evalucion!BS37=Datos!$C$18,Datos!$D$18,IF(Evalucion!BS37=Datos!$C$19,Datos!$D$19,"=")))))</f>
        <v>1</v>
      </c>
      <c r="BS39">
        <f>IF(Evalucion!BT37=Datos!$C$15,Datos!$D$15,IF(Evalucion!BT37=Datos!$C$16,Datos!$D$16,IF(Evalucion!BT37=Datos!$C$17,Datos!$D$17,IF(Evalucion!BT37=Datos!$C$18,Datos!$D$18,IF(Evalucion!BT37=Datos!$C$19,Datos!$D$19,"=")))))</f>
        <v>1</v>
      </c>
      <c r="BT39">
        <f>IF(Evalucion!BU37=Datos!$C$15,Datos!$D$15,IF(Evalucion!BU37=Datos!$C$16,Datos!$D$16,IF(Evalucion!BU37=Datos!$C$17,Datos!$D$17,IF(Evalucion!BU37=Datos!$C$18,Datos!$D$18,IF(Evalucion!BU37=Datos!$C$19,Datos!$D$19,"=")))))</f>
        <v>1</v>
      </c>
      <c r="BU39">
        <f>IF(Evalucion!BV37=Datos!$C$15,Datos!$D$15,IF(Evalucion!BV37=Datos!$C$16,Datos!$D$16,IF(Evalucion!BV37=Datos!$C$17,Datos!$D$17,IF(Evalucion!BV37=Datos!$C$18,Datos!$D$18,IF(Evalucion!BV37=Datos!$C$19,Datos!$D$19,"=")))))</f>
        <v>1</v>
      </c>
      <c r="BV39">
        <f>IF(Evalucion!BW37=Datos!$C$15,Datos!$D$15,IF(Evalucion!BW37=Datos!$C$16,Datos!$D$16,IF(Evalucion!BW37=Datos!$C$17,Datos!$D$17,IF(Evalucion!BW37=Datos!$C$18,Datos!$D$18,IF(Evalucion!BW37=Datos!$C$19,Datos!$D$19,"=")))))</f>
        <v>5</v>
      </c>
      <c r="BW39">
        <f>IF(Evalucion!BX37=Datos!$C$15,Datos!$D$15,IF(Evalucion!BX37=Datos!$C$16,Datos!$D$16,IF(Evalucion!BX37=Datos!$C$17,Datos!$D$17,IF(Evalucion!BX37=Datos!$C$18,Datos!$D$18,IF(Evalucion!BX37=Datos!$C$19,Datos!$D$19,"=")))))</f>
        <v>5</v>
      </c>
      <c r="BX39">
        <f>IF(Evalucion!BY37=Datos!$C$15,Datos!$D$15,IF(Evalucion!BY37=Datos!$C$16,Datos!$D$16,IF(Evalucion!BY37=Datos!$C$17,Datos!$D$17,IF(Evalucion!BY37=Datos!$C$18,Datos!$D$18,IF(Evalucion!BY37=Datos!$C$19,Datos!$D$19,"=")))))</f>
        <v>1</v>
      </c>
      <c r="BY39">
        <f>IF(Evalucion!BZ37=Datos!$C$15,Datos!$D$15,IF(Evalucion!BZ37=Datos!$C$16,Datos!$D$16,IF(Evalucion!BZ37=Datos!$C$17,Datos!$D$17,IF(Evalucion!BZ37=Datos!$C$18,Datos!$D$18,IF(Evalucion!BZ37=Datos!$C$19,Datos!$D$19,"=")))))</f>
        <v>1</v>
      </c>
      <c r="BZ39">
        <f>IF(Evalucion!CA37=Datos!$C$15,Datos!$D$15,IF(Evalucion!CA37=Datos!$C$16,Datos!$D$16,IF(Evalucion!CA37=Datos!$C$17,Datos!$D$17,IF(Evalucion!CA37=Datos!$C$18,Datos!$D$18,IF(Evalucion!CA37=Datos!$C$19,Datos!$D$19,"=")))))</f>
        <v>1</v>
      </c>
      <c r="CA39">
        <f>IF(Evalucion!CB37=Datos!$C$15,Datos!$D$15,IF(Evalucion!CB37=Datos!$C$16,Datos!$D$16,IF(Evalucion!CB37=Datos!$C$17,Datos!$D$17,IF(Evalucion!CB37=Datos!$C$18,Datos!$D$18,IF(Evalucion!CB37=Datos!$C$19,Datos!$D$19,"=")))))</f>
        <v>1</v>
      </c>
      <c r="CB39">
        <f>IF(Evalucion!CC37=Datos!$C$15,Datos!$D$15,IF(Evalucion!CC37=Datos!$C$16,Datos!$D$16,IF(Evalucion!CC37=Datos!$C$17,Datos!$D$17,IF(Evalucion!CC37=Datos!$C$18,Datos!$D$18,IF(Evalucion!CC37=Datos!$C$19,Datos!$D$19,"=")))))</f>
        <v>5</v>
      </c>
      <c r="CC39">
        <f>IF(Evalucion!CD37=Datos!$C$15,Datos!$D$15,IF(Evalucion!CD37=Datos!$C$16,Datos!$D$16,IF(Evalucion!CD37=Datos!$C$17,Datos!$D$17,IF(Evalucion!CD37=Datos!$C$18,Datos!$D$18,IF(Evalucion!CD37=Datos!$C$19,Datos!$D$19,"=")))))</f>
        <v>5</v>
      </c>
      <c r="CD39">
        <f>IF(Evalucion!CE37=Datos!$C$15,Datos!$D$15,IF(Evalucion!CE37=Datos!$C$16,Datos!$D$16,IF(Evalucion!CE37=Datos!$C$17,Datos!$D$17,IF(Evalucion!CE37=Datos!$C$18,Datos!$D$18,IF(Evalucion!CE37=Datos!$C$19,Datos!$D$19,"=")))))</f>
        <v>5</v>
      </c>
      <c r="CE39">
        <f>IF(Evalucion!CF37=Datos!$C$15,Datos!$D$15,IF(Evalucion!CF37=Datos!$C$16,Datos!$D$16,IF(Evalucion!CF37=Datos!$C$17,Datos!$D$17,IF(Evalucion!CF37=Datos!$C$18,Datos!$D$18,IF(Evalucion!CF37=Datos!$C$19,Datos!$D$19,"=")))))</f>
        <v>1</v>
      </c>
      <c r="CF39">
        <f>IF(Evalucion!CG37=Datos!$C$15,Datos!$D$15,IF(Evalucion!CG37=Datos!$C$16,Datos!$D$16,IF(Evalucion!CG37=Datos!$C$17,Datos!$D$17,IF(Evalucion!CG37=Datos!$C$18,Datos!$D$18,IF(Evalucion!CG37=Datos!$C$19,Datos!$D$19,"=")))))</f>
        <v>1</v>
      </c>
      <c r="CG39">
        <f>IF(Evalucion!CH37=Datos!$C$15,Datos!$D$15,IF(Evalucion!CH37=Datos!$C$16,Datos!$D$16,IF(Evalucion!CH37=Datos!$C$17,Datos!$D$17,IF(Evalucion!CH37=Datos!$C$18,Datos!$D$18,IF(Evalucion!CH37=Datos!$C$19,Datos!$D$19,"=")))))</f>
        <v>1</v>
      </c>
      <c r="CH39">
        <f>IF(Evalucion!CI37=Datos!$C$15,Datos!$D$15,IF(Evalucion!CI37=Datos!$C$16,Datos!$D$16,IF(Evalucion!CI37=Datos!$C$17,Datos!$D$17,IF(Evalucion!CI37=Datos!$C$18,Datos!$D$18,IF(Evalucion!CI37=Datos!$C$19,Datos!$D$19,"=")))))</f>
        <v>1</v>
      </c>
      <c r="CI39">
        <f>IF(Evalucion!CJ37=Datos!$C$15,Datos!$D$15,IF(Evalucion!CJ37=Datos!$C$16,Datos!$D$16,IF(Evalucion!CJ37=Datos!$C$17,Datos!$D$17,IF(Evalucion!CJ37=Datos!$C$18,Datos!$D$18,IF(Evalucion!CJ37=Datos!$C$19,Datos!$D$19,"=")))))</f>
        <v>1</v>
      </c>
      <c r="CJ39">
        <f>IF(Evalucion!CK37=Datos!$C$15,Datos!$D$15,IF(Evalucion!CK37=Datos!$C$16,Datos!$D$16,IF(Evalucion!CK37=Datos!$C$17,Datos!$D$17,IF(Evalucion!CK37=Datos!$C$18,Datos!$D$18,IF(Evalucion!CK37=Datos!$C$19,Datos!$D$19,"=")))))</f>
        <v>5</v>
      </c>
      <c r="CK39">
        <f>IF(Evalucion!CL37=Datos!$C$15,Datos!$D$15,IF(Evalucion!CL37=Datos!$C$16,Datos!$D$16,IF(Evalucion!CL37=Datos!$C$17,Datos!$D$17,IF(Evalucion!CL37=Datos!$C$18,Datos!$D$18,IF(Evalucion!CL37=Datos!$C$19,Datos!$D$19,"=")))))</f>
        <v>5</v>
      </c>
      <c r="CL39">
        <f>IF(Evalucion!CM37=Datos!$C$15,Datos!$D$15,IF(Evalucion!CM37=Datos!$C$16,Datos!$D$16,IF(Evalucion!CM37=Datos!$C$17,Datos!$D$17,IF(Evalucion!CM37=Datos!$C$18,Datos!$D$18,IF(Evalucion!CM37=Datos!$C$19,Datos!$D$19,"=")))))</f>
        <v>5</v>
      </c>
      <c r="CM39">
        <f>IF(Evalucion!CN37=Datos!$C$15,Datos!$D$15,IF(Evalucion!CN37=Datos!$C$16,Datos!$D$16,IF(Evalucion!CN37=Datos!$C$17,Datos!$D$17,IF(Evalucion!CN37=Datos!$C$18,Datos!$D$18,IF(Evalucion!CN37=Datos!$C$19,Datos!$D$19,"=")))))</f>
        <v>3</v>
      </c>
      <c r="CN39">
        <f>IF(Evalucion!CO37=Datos!$C$15,Datos!$D$15,IF(Evalucion!CO37=Datos!$C$16,Datos!$D$16,IF(Evalucion!CO37=Datos!$C$17,Datos!$D$17,IF(Evalucion!CO37=Datos!$C$18,Datos!$D$18,IF(Evalucion!CO37=Datos!$C$19,Datos!$D$19,"=")))))</f>
        <v>5</v>
      </c>
      <c r="CO39">
        <f>IF(Evalucion!CP37=Datos!$C$15,Datos!$D$15,IF(Evalucion!CP37=Datos!$C$16,Datos!$D$16,IF(Evalucion!CP37=Datos!$C$17,Datos!$D$17,IF(Evalucion!CP37=Datos!$C$18,Datos!$D$18,IF(Evalucion!CP37=Datos!$C$19,Datos!$D$19,"=")))))</f>
        <v>5</v>
      </c>
      <c r="CP39">
        <f>IF(Evalucion!CQ37=Datos!$C$15,Datos!$D$15,IF(Evalucion!CQ37=Datos!$C$16,Datos!$D$16,IF(Evalucion!CQ37=Datos!$C$17,Datos!$D$17,IF(Evalucion!CQ37=Datos!$C$18,Datos!$D$18,IF(Evalucion!CQ37=Datos!$C$19,Datos!$D$19,"=")))))</f>
        <v>1</v>
      </c>
      <c r="CQ39">
        <f>IF(Evalucion!CR37=Datos!$C$15,Datos!$D$15,IF(Evalucion!CR37=Datos!$C$16,Datos!$D$16,IF(Evalucion!CR37=Datos!$C$17,Datos!$D$17,IF(Evalucion!CR37=Datos!$C$18,Datos!$D$18,IF(Evalucion!CR37=Datos!$C$19,Datos!$D$19,"=")))))</f>
        <v>1</v>
      </c>
      <c r="CR39">
        <f>IF(Evalucion!CS37=Datos!$C$15,Datos!$D$15,IF(Evalucion!CS37=Datos!$C$16,Datos!$D$16,IF(Evalucion!CS37=Datos!$C$17,Datos!$D$17,IF(Evalucion!CS37=Datos!$C$18,Datos!$D$18,IF(Evalucion!CS37=Datos!$C$19,Datos!$D$19,"=")))))</f>
        <v>1</v>
      </c>
      <c r="CS39">
        <f>IF(Evalucion!CT37=Datos!$C$15,Datos!$D$15,IF(Evalucion!CT37=Datos!$C$16,Datos!$D$16,IF(Evalucion!CT37=Datos!$C$17,Datos!$D$17,IF(Evalucion!CT37=Datos!$C$18,Datos!$D$18,IF(Evalucion!CT37=Datos!$C$19,Datos!$D$19,"=")))))</f>
        <v>1</v>
      </c>
      <c r="CT39">
        <f>IF(Evalucion!CU37=Datos!$C$15,Datos!$D$15,IF(Evalucion!CU37=Datos!$C$16,Datos!$D$16,IF(Evalucion!CU37=Datos!$C$17,Datos!$D$17,IF(Evalucion!CU37=Datos!$C$18,Datos!$D$18,IF(Evalucion!CU37=Datos!$C$19,Datos!$D$19,"=")))))</f>
        <v>1</v>
      </c>
      <c r="CU39">
        <f>IF(Evalucion!CV37=Datos!$C$15,Datos!$D$15,IF(Evalucion!CV37=Datos!$C$16,Datos!$D$16,IF(Evalucion!CV37=Datos!$C$17,Datos!$D$17,IF(Evalucion!CV37=Datos!$C$18,Datos!$D$18,IF(Evalucion!CV37=Datos!$C$19,Datos!$D$19,"=")))))</f>
        <v>1</v>
      </c>
      <c r="CV39">
        <f>IF(Evalucion!CW37=Datos!$C$15,Datos!$D$15,IF(Evalucion!CW37=Datos!$C$16,Datos!$D$16,IF(Evalucion!CW37=Datos!$C$17,Datos!$D$17,IF(Evalucion!CW37=Datos!$C$18,Datos!$D$18,IF(Evalucion!CW37=Datos!$C$19,Datos!$D$19,"=")))))</f>
        <v>5</v>
      </c>
      <c r="CW39">
        <f>IF(Evalucion!CX37=Datos!$C$15,Datos!$D$15,IF(Evalucion!CX37=Datos!$C$16,Datos!$D$16,IF(Evalucion!CX37=Datos!$C$17,Datos!$D$17,IF(Evalucion!CX37=Datos!$C$18,Datos!$D$18,IF(Evalucion!CX37=Datos!$C$19,Datos!$D$19,"=")))))</f>
        <v>3</v>
      </c>
      <c r="CX39">
        <f>IF(Evalucion!CY37=Datos!$C$15,Datos!$D$15,IF(Evalucion!CY37=Datos!$C$16,Datos!$D$16,IF(Evalucion!CY37=Datos!$C$17,Datos!$D$17,IF(Evalucion!CY37=Datos!$C$18,Datos!$D$18,IF(Evalucion!CY37=Datos!$C$19,Datos!$D$19,"=")))))</f>
        <v>5</v>
      </c>
      <c r="CY39">
        <f>IF(Evalucion!CZ37=Datos!$C$15,Datos!$D$15,IF(Evalucion!CZ37=Datos!$C$16,Datos!$D$16,IF(Evalucion!CZ37=Datos!$C$17,Datos!$D$17,IF(Evalucion!CZ37=Datos!$C$18,Datos!$D$18,IF(Evalucion!CZ37=Datos!$C$19,Datos!$D$19,"=")))))</f>
        <v>3</v>
      </c>
      <c r="CZ39">
        <f>IF(Evalucion!DA37=Datos!$C$15,Datos!$D$15,IF(Evalucion!DA37=Datos!$C$16,Datos!$D$16,IF(Evalucion!DA37=Datos!$C$17,Datos!$D$17,IF(Evalucion!DA37=Datos!$C$18,Datos!$D$18,IF(Evalucion!DA37=Datos!$C$19,Datos!$D$19,"=")))))</f>
        <v>5</v>
      </c>
      <c r="DA39">
        <f>IF(Evalucion!DB37=Datos!$C$15,Datos!$D$15,IF(Evalucion!DB37=Datos!$C$16,Datos!$D$16,IF(Evalucion!DB37=Datos!$C$17,Datos!$D$17,IF(Evalucion!DB37=Datos!$C$18,Datos!$D$18,IF(Evalucion!DB37=Datos!$C$19,Datos!$D$19,"=")))))</f>
        <v>3</v>
      </c>
      <c r="DB39">
        <f>IF(Evalucion!DC37=Datos!$C$15,Datos!$D$15,IF(Evalucion!DC37=Datos!$C$16,Datos!$D$16,IF(Evalucion!DC37=Datos!$C$17,Datos!$D$17,IF(Evalucion!DC37=Datos!$C$18,Datos!$D$18,IF(Evalucion!DC37=Datos!$C$19,Datos!$D$19,"=")))))</f>
        <v>5</v>
      </c>
      <c r="DC39">
        <f>IF(Evalucion!DD37=Datos!$C$15,Datos!$D$15,IF(Evalucion!DD37=Datos!$C$16,Datos!$D$16,IF(Evalucion!DD37=Datos!$C$17,Datos!$D$17,IF(Evalucion!DD37=Datos!$C$18,Datos!$D$18,IF(Evalucion!DD37=Datos!$C$19,Datos!$D$19,"=")))))</f>
        <v>5</v>
      </c>
      <c r="DD39">
        <f>IF(Evalucion!DE37=Datos!$C$15,Datos!$D$15,IF(Evalucion!DE37=Datos!$C$16,Datos!$D$16,IF(Evalucion!DE37=Datos!$C$17,Datos!$D$17,IF(Evalucion!DE37=Datos!$C$18,Datos!$D$18,IF(Evalucion!DE37=Datos!$C$19,Datos!$D$19,"=")))))</f>
        <v>1</v>
      </c>
      <c r="DE39">
        <f>IF(Evalucion!DF37=Datos!$C$15,Datos!$D$15,IF(Evalucion!DF37=Datos!$C$16,Datos!$D$16,IF(Evalucion!DF37=Datos!$C$17,Datos!$D$17,IF(Evalucion!DF37=Datos!$C$18,Datos!$D$18,IF(Evalucion!DF37=Datos!$C$19,Datos!$D$19,"=")))))</f>
        <v>1</v>
      </c>
      <c r="DF39">
        <f>IF(Evalucion!DG37=Datos!$C$15,Datos!$D$15,IF(Evalucion!DG37=Datos!$C$16,Datos!$D$16,IF(Evalucion!DG37=Datos!$C$17,Datos!$D$17,IF(Evalucion!DG37=Datos!$C$18,Datos!$D$18,IF(Evalucion!DG37=Datos!$C$19,Datos!$D$19,"=")))))</f>
        <v>5</v>
      </c>
      <c r="DG39">
        <f>IF(Evalucion!DH37=Datos!$C$15,Datos!$D$15,IF(Evalucion!DH37=Datos!$C$16,Datos!$D$16,IF(Evalucion!DH37=Datos!$C$17,Datos!$D$17,IF(Evalucion!DH37=Datos!$C$18,Datos!$D$18,IF(Evalucion!DH37=Datos!$C$19,Datos!$D$19,"=")))))</f>
        <v>3</v>
      </c>
      <c r="DH39">
        <f>IF(Evalucion!DI37=Datos!$C$15,Datos!$D$15,IF(Evalucion!DI37=Datos!$C$16,Datos!$D$16,IF(Evalucion!DI37=Datos!$C$17,Datos!$D$17,IF(Evalucion!DI37=Datos!$C$18,Datos!$D$18,IF(Evalucion!DI37=Datos!$C$19,Datos!$D$19,"=")))))</f>
        <v>1</v>
      </c>
      <c r="DI39">
        <f>IF(Evalucion!DJ37=Datos!$C$15,Datos!$D$15,IF(Evalucion!DJ37=Datos!$C$16,Datos!$D$16,IF(Evalucion!DJ37=Datos!$C$17,Datos!$D$17,IF(Evalucion!DJ37=Datos!$C$18,Datos!$D$18,IF(Evalucion!DJ37=Datos!$C$19,Datos!$D$19,"=")))))</f>
        <v>1</v>
      </c>
      <c r="DJ39">
        <f>IF(Evalucion!DK37=Datos!$C$15,Datos!$D$15,IF(Evalucion!DK37=Datos!$C$16,Datos!$D$16,IF(Evalucion!DK37=Datos!$C$17,Datos!$D$17,IF(Evalucion!DK37=Datos!$C$18,Datos!$D$18,IF(Evalucion!DK37=Datos!$C$19,Datos!$D$19,"=")))))</f>
        <v>1</v>
      </c>
      <c r="DK39">
        <f>IF(Evalucion!DL37=Datos!$C$15,Datos!$D$15,IF(Evalucion!DL37=Datos!$C$16,Datos!$D$16,IF(Evalucion!DL37=Datos!$C$17,Datos!$D$17,IF(Evalucion!DL37=Datos!$C$18,Datos!$D$18,IF(Evalucion!DL37=Datos!$C$19,Datos!$D$19,"=")))))</f>
        <v>1</v>
      </c>
      <c r="DL39">
        <f>IF(Evalucion!DM37=Datos!$C$15,Datos!$D$15,IF(Evalucion!DM37=Datos!$C$16,Datos!$D$16,IF(Evalucion!DM37=Datos!$C$17,Datos!$D$17,IF(Evalucion!DM37=Datos!$C$18,Datos!$D$18,IF(Evalucion!DM37=Datos!$C$19,Datos!$D$19,"=")))))</f>
        <v>1</v>
      </c>
      <c r="DM39">
        <f>IF(Evalucion!DN37=Datos!$C$15,Datos!$D$15,IF(Evalucion!DN37=Datos!$C$16,Datos!$D$16,IF(Evalucion!DN37=Datos!$C$17,Datos!$D$17,IF(Evalucion!DN37=Datos!$C$18,Datos!$D$18,IF(Evalucion!DN37=Datos!$C$19,Datos!$D$19,"=")))))</f>
        <v>1</v>
      </c>
      <c r="DN39">
        <f>IF(Evalucion!DO37=Datos!$C$15,Datos!$D$15,IF(Evalucion!DO37=Datos!$C$16,Datos!$D$16,IF(Evalucion!DO37=Datos!$C$17,Datos!$D$17,IF(Evalucion!DO37=Datos!$C$18,Datos!$D$18,IF(Evalucion!DO37=Datos!$C$19,Datos!$D$19,"=")))))</f>
        <v>5</v>
      </c>
      <c r="DO39">
        <f>IF(Evalucion!DP37=Datos!$C$15,Datos!$D$15,IF(Evalucion!DP37=Datos!$C$16,Datos!$D$16,IF(Evalucion!DP37=Datos!$C$17,Datos!$D$17,IF(Evalucion!DP37=Datos!$C$18,Datos!$D$18,IF(Evalucion!DP37=Datos!$C$19,Datos!$D$19,"=")))))</f>
        <v>1</v>
      </c>
      <c r="DP39">
        <f>IF(Evalucion!DQ37=Datos!$C$15,Datos!$D$15,IF(Evalucion!DQ37=Datos!$C$16,Datos!$D$16,IF(Evalucion!DQ37=Datos!$C$17,Datos!$D$17,IF(Evalucion!DQ37=Datos!$C$18,Datos!$D$18,IF(Evalucion!DQ37=Datos!$C$19,Datos!$D$19,"=")))))</f>
        <v>5</v>
      </c>
      <c r="DQ39">
        <f>IF(Evalucion!DR37=Datos!$C$15,Datos!$D$15,IF(Evalucion!DR37=Datos!$C$16,Datos!$D$16,IF(Evalucion!DR37=Datos!$C$17,Datos!$D$17,IF(Evalucion!DR37=Datos!$C$18,Datos!$D$18,IF(Evalucion!DR37=Datos!$C$19,Datos!$D$19,"=")))))</f>
        <v>3</v>
      </c>
      <c r="DR39">
        <f>IF(Evalucion!DS37=Datos!$C$15,Datos!$D$15,IF(Evalucion!DS37=Datos!$C$16,Datos!$D$16,IF(Evalucion!DS37=Datos!$C$17,Datos!$D$17,IF(Evalucion!DS37=Datos!$C$18,Datos!$D$18,IF(Evalucion!DS37=Datos!$C$19,Datos!$D$19,"=")))))</f>
        <v>1</v>
      </c>
      <c r="DS39">
        <f>IF(Evalucion!DT37=Datos!$C$15,Datos!$D$15,IF(Evalucion!DT37=Datos!$C$16,Datos!$D$16,IF(Evalucion!DT37=Datos!$C$17,Datos!$D$17,IF(Evalucion!DT37=Datos!$C$18,Datos!$D$18,IF(Evalucion!DT37=Datos!$C$19,Datos!$D$19,"=")))))</f>
        <v>1</v>
      </c>
      <c r="DT39">
        <f>IF(Evalucion!DU37=Datos!$C$15,Datos!$D$15,IF(Evalucion!DU37=Datos!$C$16,Datos!$D$16,IF(Evalucion!DU37=Datos!$C$17,Datos!$D$17,IF(Evalucion!DU37=Datos!$C$18,Datos!$D$18,IF(Evalucion!DU37=Datos!$C$19,Datos!$D$19,"=")))))</f>
        <v>5</v>
      </c>
      <c r="DU39">
        <f>IF(Evalucion!DV37=Datos!$C$15,Datos!$D$15,IF(Evalucion!DV37=Datos!$C$16,Datos!$D$16,IF(Evalucion!DV37=Datos!$C$17,Datos!$D$17,IF(Evalucion!DV37=Datos!$C$18,Datos!$D$18,IF(Evalucion!DV37=Datos!$C$19,Datos!$D$19,"=")))))</f>
        <v>3</v>
      </c>
      <c r="DV39">
        <f>IF(Evalucion!DW37=Datos!$C$15,Datos!$D$15,IF(Evalucion!DW37=Datos!$C$16,Datos!$D$16,IF(Evalucion!DW37=Datos!$C$17,Datos!$D$17,IF(Evalucion!DW37=Datos!$C$18,Datos!$D$18,IF(Evalucion!DW37=Datos!$C$19,Datos!$D$19,"=")))))</f>
        <v>1</v>
      </c>
      <c r="DW39">
        <f>IF(Evalucion!DX37=Datos!$C$15,Datos!$D$15,IF(Evalucion!DX37=Datos!$C$16,Datos!$D$16,IF(Evalucion!DX37=Datos!$C$17,Datos!$D$17,IF(Evalucion!DX37=Datos!$C$18,Datos!$D$18,IF(Evalucion!DX37=Datos!$C$19,Datos!$D$19,"=")))))</f>
        <v>1</v>
      </c>
      <c r="DX39">
        <f>IF(Evalucion!DY37=Datos!$C$15,Datos!$D$15,IF(Evalucion!DY37=Datos!$C$16,Datos!$D$16,IF(Evalucion!DY37=Datos!$C$17,Datos!$D$17,IF(Evalucion!DY37=Datos!$C$18,Datos!$D$18,IF(Evalucion!DY37=Datos!$C$19,Datos!$D$19,"=")))))</f>
        <v>1</v>
      </c>
      <c r="DY39">
        <f>IF(Evalucion!DZ37=Datos!$C$15,Datos!$D$15,IF(Evalucion!DZ37=Datos!$C$16,Datos!$D$16,IF(Evalucion!DZ37=Datos!$C$17,Datos!$D$17,IF(Evalucion!DZ37=Datos!$C$18,Datos!$D$18,IF(Evalucion!DZ37=Datos!$C$19,Datos!$D$19,"=")))))</f>
        <v>1</v>
      </c>
      <c r="DZ39">
        <f>IF(Evalucion!EA37=Datos!$C$15,Datos!$D$15,IF(Evalucion!EA37=Datos!$C$16,Datos!$D$16,IF(Evalucion!EA37=Datos!$C$17,Datos!$D$17,IF(Evalucion!EA37=Datos!$C$18,Datos!$D$18,IF(Evalucion!EA37=Datos!$C$19,Datos!$D$19,"=")))))</f>
        <v>5</v>
      </c>
      <c r="EA39">
        <f>IF(Evalucion!EB37=Datos!$C$15,Datos!$D$15,IF(Evalucion!EB37=Datos!$C$16,Datos!$D$16,IF(Evalucion!EB37=Datos!$C$17,Datos!$D$17,IF(Evalucion!EB37=Datos!$C$18,Datos!$D$18,IF(Evalucion!EB37=Datos!$C$19,Datos!$D$19,"=")))))</f>
        <v>5</v>
      </c>
      <c r="EB39">
        <f>IF(Evalucion!EC37=Datos!$C$15,Datos!$D$15,IF(Evalucion!EC37=Datos!$C$16,Datos!$D$16,IF(Evalucion!EC37=Datos!$C$17,Datos!$D$17,IF(Evalucion!EC37=Datos!$C$18,Datos!$D$18,IF(Evalucion!EC37=Datos!$C$19,Datos!$D$19,"=")))))</f>
        <v>5</v>
      </c>
      <c r="EC39">
        <f>IF(Evalucion!ED37=Datos!$C$15,Datos!$D$15,IF(Evalucion!ED37=Datos!$C$16,Datos!$D$16,IF(Evalucion!ED37=Datos!$C$17,Datos!$D$17,IF(Evalucion!ED37=Datos!$C$18,Datos!$D$18,IF(Evalucion!ED37=Datos!$C$19,Datos!$D$19,"=")))))</f>
        <v>3</v>
      </c>
      <c r="ED39">
        <f>IF(Evalucion!EE37=Datos!$C$15,Datos!$D$15,IF(Evalucion!EE37=Datos!$C$16,Datos!$D$16,IF(Evalucion!EE37=Datos!$C$17,Datos!$D$17,IF(Evalucion!EE37=Datos!$C$18,Datos!$D$18,IF(Evalucion!EE37=Datos!$C$19,Datos!$D$19,"=")))))</f>
        <v>5</v>
      </c>
      <c r="EE39">
        <f>IF(Evalucion!EF37=Datos!$C$15,Datos!$D$15,IF(Evalucion!EF37=Datos!$C$16,Datos!$D$16,IF(Evalucion!EF37=Datos!$C$17,Datos!$D$17,IF(Evalucion!EF37=Datos!$C$18,Datos!$D$18,IF(Evalucion!EF37=Datos!$C$19,Datos!$D$19,"=")))))</f>
        <v>1</v>
      </c>
      <c r="EF39">
        <f>IF(Evalucion!EG37=Datos!$C$15,Datos!$D$15,IF(Evalucion!EG37=Datos!$C$16,Datos!$D$16,IF(Evalucion!EG37=Datos!$C$17,Datos!$D$17,IF(Evalucion!EG37=Datos!$C$18,Datos!$D$18,IF(Evalucion!EG37=Datos!$C$19,Datos!$D$19,"=")))))</f>
        <v>5</v>
      </c>
      <c r="EG39">
        <f>IF(Evalucion!EH37=Datos!$C$15,Datos!$D$15,IF(Evalucion!EH37=Datos!$C$16,Datos!$D$16,IF(Evalucion!EH37=Datos!$C$17,Datos!$D$17,IF(Evalucion!EH37=Datos!$C$18,Datos!$D$18,IF(Evalucion!EH37=Datos!$C$19,Datos!$D$19,"=")))))</f>
        <v>5</v>
      </c>
      <c r="EH39">
        <f>IF(Evalucion!EI37=Datos!$C$15,Datos!$D$15,IF(Evalucion!EI37=Datos!$C$16,Datos!$D$16,IF(Evalucion!EI37=Datos!$C$17,Datos!$D$17,IF(Evalucion!EI37=Datos!$C$18,Datos!$D$18,IF(Evalucion!EI37=Datos!$C$19,Datos!$D$19,"=")))))</f>
        <v>1</v>
      </c>
      <c r="EI39">
        <f>IF(Evalucion!EJ37=Datos!$C$15,Datos!$D$15,IF(Evalucion!EJ37=Datos!$C$16,Datos!$D$16,IF(Evalucion!EJ37=Datos!$C$17,Datos!$D$17,IF(Evalucion!EJ37=Datos!$C$18,Datos!$D$18,IF(Evalucion!EJ37=Datos!$C$19,Datos!$D$19,"=")))))</f>
        <v>1</v>
      </c>
      <c r="EJ39">
        <f>IF(Evalucion!EK37=Datos!$C$15,Datos!$D$15,IF(Evalucion!EK37=Datos!$C$16,Datos!$D$16,IF(Evalucion!EK37=Datos!$C$17,Datos!$D$17,IF(Evalucion!EK37=Datos!$C$18,Datos!$D$18,IF(Evalucion!EK37=Datos!$C$19,Datos!$D$19,"=")))))</f>
        <v>1</v>
      </c>
      <c r="EK39">
        <f>IF(Evalucion!EL37=Datos!$C$15,Datos!$D$15,IF(Evalucion!EL37=Datos!$C$16,Datos!$D$16,IF(Evalucion!EL37=Datos!$C$17,Datos!$D$17,IF(Evalucion!EL37=Datos!$C$18,Datos!$D$18,IF(Evalucion!EL37=Datos!$C$19,Datos!$D$19,"=")))))</f>
        <v>1</v>
      </c>
      <c r="EL39">
        <f>IF(Evalucion!EM37=Datos!$C$15,Datos!$D$15,IF(Evalucion!EM37=Datos!$C$16,Datos!$D$16,IF(Evalucion!EM37=Datos!$C$17,Datos!$D$17,IF(Evalucion!EM37=Datos!$C$18,Datos!$D$18,IF(Evalucion!EM37=Datos!$C$19,Datos!$D$19,"=")))))</f>
        <v>5</v>
      </c>
      <c r="EM39">
        <f>IF(Evalucion!EN37=Datos!$C$15,Datos!$D$15,IF(Evalucion!EN37=Datos!$C$16,Datos!$D$16,IF(Evalucion!EN37=Datos!$C$17,Datos!$D$17,IF(Evalucion!EN37=Datos!$C$18,Datos!$D$18,IF(Evalucion!EN37=Datos!$C$19,Datos!$D$19,"=")))))</f>
        <v>5</v>
      </c>
      <c r="EN39">
        <f>IF(Evalucion!EO37=Datos!$C$15,Datos!$D$15,IF(Evalucion!EO37=Datos!$C$16,Datos!$D$16,IF(Evalucion!EO37=Datos!$C$17,Datos!$D$17,IF(Evalucion!EO37=Datos!$C$18,Datos!$D$18,IF(Evalucion!EO37=Datos!$C$19,Datos!$D$19,"=")))))</f>
        <v>1</v>
      </c>
      <c r="EO39">
        <f>IF(Evalucion!EP37=Datos!$C$15,Datos!$D$15,IF(Evalucion!EP37=Datos!$C$16,Datos!$D$16,IF(Evalucion!EP37=Datos!$C$17,Datos!$D$17,IF(Evalucion!EP37=Datos!$C$18,Datos!$D$18,IF(Evalucion!EP37=Datos!$C$19,Datos!$D$19,"=")))))</f>
        <v>1</v>
      </c>
      <c r="EP39">
        <f>IF(Evalucion!EQ37=Datos!$C$15,Datos!$D$15,IF(Evalucion!EQ37=Datos!$C$16,Datos!$D$16,IF(Evalucion!EQ37=Datos!$C$17,Datos!$D$17,IF(Evalucion!EQ37=Datos!$C$18,Datos!$D$18,IF(Evalucion!EQ37=Datos!$C$19,Datos!$D$19,"=")))))</f>
        <v>1</v>
      </c>
      <c r="EQ39">
        <f>IF(Evalucion!ER37=Datos!$C$15,Datos!$D$15,IF(Evalucion!ER37=Datos!$C$16,Datos!$D$16,IF(Evalucion!ER37=Datos!$C$17,Datos!$D$17,IF(Evalucion!ER37=Datos!$C$18,Datos!$D$18,IF(Evalucion!ER37=Datos!$C$19,Datos!$D$19,"=")))))</f>
        <v>1</v>
      </c>
      <c r="ER39">
        <f>IF(Evalucion!ES37=Datos!$C$15,Datos!$D$15,IF(Evalucion!ES37=Datos!$C$16,Datos!$D$16,IF(Evalucion!ES37=Datos!$C$17,Datos!$D$17,IF(Evalucion!ES37=Datos!$C$18,Datos!$D$18,IF(Evalucion!ES37=Datos!$C$19,Datos!$D$19,"=")))))</f>
        <v>5</v>
      </c>
      <c r="ES39">
        <f>IF(Evalucion!ET37=Datos!$C$15,Datos!$D$15,IF(Evalucion!ET37=Datos!$C$16,Datos!$D$16,IF(Evalucion!ET37=Datos!$C$17,Datos!$D$17,IF(Evalucion!ET37=Datos!$C$18,Datos!$D$18,IF(Evalucion!ET37=Datos!$C$19,Datos!$D$19,"=")))))</f>
        <v>5</v>
      </c>
      <c r="ET39">
        <f>IF(Evalucion!EU37=Datos!$C$15,Datos!$D$15,IF(Evalucion!EU37=Datos!$C$16,Datos!$D$16,IF(Evalucion!EU37=Datos!$C$17,Datos!$D$17,IF(Evalucion!EU37=Datos!$C$18,Datos!$D$18,IF(Evalucion!EU37=Datos!$C$19,Datos!$D$19,"=")))))</f>
        <v>5</v>
      </c>
      <c r="EU39">
        <f>IF(Evalucion!EV37=Datos!$C$15,Datos!$D$15,IF(Evalucion!EV37=Datos!$C$16,Datos!$D$16,IF(Evalucion!EV37=Datos!$C$17,Datos!$D$17,IF(Evalucion!EV37=Datos!$C$18,Datos!$D$18,IF(Evalucion!EV37=Datos!$C$19,Datos!$D$19,"=")))))</f>
        <v>1</v>
      </c>
      <c r="EV39">
        <f>IF(Evalucion!EW37=Datos!$C$15,Datos!$D$15,IF(Evalucion!EW37=Datos!$C$16,Datos!$D$16,IF(Evalucion!EW37=Datos!$C$17,Datos!$D$17,IF(Evalucion!EW37=Datos!$C$18,Datos!$D$18,IF(Evalucion!EW37=Datos!$C$19,Datos!$D$19,"=")))))</f>
        <v>5</v>
      </c>
      <c r="EW39">
        <f>IF(Evalucion!EX37=Datos!$C$15,Datos!$D$15,IF(Evalucion!EX37=Datos!$C$16,Datos!$D$16,IF(Evalucion!EX37=Datos!$C$17,Datos!$D$17,IF(Evalucion!EX37=Datos!$C$18,Datos!$D$18,IF(Evalucion!EX37=Datos!$C$19,Datos!$D$19,"=")))))</f>
        <v>5</v>
      </c>
      <c r="EX39">
        <f>IF(Evalucion!EY37=Datos!$C$15,Datos!$D$15,IF(Evalucion!EY37=Datos!$C$16,Datos!$D$16,IF(Evalucion!EY37=Datos!$C$17,Datos!$D$17,IF(Evalucion!EY37=Datos!$C$18,Datos!$D$18,IF(Evalucion!EY37=Datos!$C$19,Datos!$D$19,"=")))))</f>
        <v>5</v>
      </c>
      <c r="EY39">
        <f>IF(Evalucion!EZ37=Datos!$C$15,Datos!$D$15,IF(Evalucion!EZ37=Datos!$C$16,Datos!$D$16,IF(Evalucion!EZ37=Datos!$C$17,Datos!$D$17,IF(Evalucion!EZ37=Datos!$C$18,Datos!$D$18,IF(Evalucion!EZ37=Datos!$C$19,Datos!$D$19,"=")))))</f>
        <v>1</v>
      </c>
      <c r="FA39">
        <f t="shared" si="8"/>
        <v>207</v>
      </c>
      <c r="FB39">
        <f t="shared" si="8"/>
        <v>161</v>
      </c>
      <c r="FC39" s="3">
        <f t="shared" si="4"/>
        <v>0.42933333333333334</v>
      </c>
      <c r="FD39" t="str">
        <f t="shared" si="9"/>
        <v>NO_Conf</v>
      </c>
      <c r="FF39">
        <f t="shared" si="5"/>
        <v>368</v>
      </c>
      <c r="FG39">
        <f t="shared" si="6"/>
        <v>0</v>
      </c>
    </row>
    <row r="40" spans="1:163" x14ac:dyDescent="0.2">
      <c r="A40">
        <f t="shared" si="7"/>
        <v>37</v>
      </c>
      <c r="B40" t="s">
        <v>283</v>
      </c>
      <c r="C40" t="s">
        <v>190</v>
      </c>
      <c r="D40" s="1">
        <v>43374</v>
      </c>
      <c r="E40">
        <f>IF(Evalucion!F38=Datos!$C$15,Datos!$D$15,IF(Evalucion!F38=Datos!$C$16,Datos!$D$16,IF(Evalucion!F38=Datos!$C$17,Datos!$D$17,IF(Evalucion!F38=Datos!$C$18,Datos!$D$18,IF(Evalucion!F38=Datos!$C$19,Datos!$D$19,"=")))))</f>
        <v>5</v>
      </c>
      <c r="F40">
        <f>IF(Evalucion!G38=Datos!$C$15,Datos!$D$15,IF(Evalucion!G38=Datos!$C$16,Datos!$D$16,IF(Evalucion!G38=Datos!$C$17,Datos!$D$17,IF(Evalucion!G38=Datos!$C$18,Datos!$D$18,IF(Evalucion!G38=Datos!$C$19,Datos!$D$19,"=")))))</f>
        <v>5</v>
      </c>
      <c r="G40">
        <f>IF(Evalucion!H38=Datos!$C$15,Datos!$D$15,IF(Evalucion!H38=Datos!$C$16,Datos!$D$16,IF(Evalucion!H38=Datos!$C$17,Datos!$D$17,IF(Evalucion!H38=Datos!$C$18,Datos!$D$18,IF(Evalucion!H38=Datos!$C$19,Datos!$D$19,"=")))))</f>
        <v>1</v>
      </c>
      <c r="H40">
        <f>IF(Evalucion!I38=Datos!$C$15,Datos!$D$15,IF(Evalucion!I38=Datos!$C$16,Datos!$D$16,IF(Evalucion!I38=Datos!$C$17,Datos!$D$17,IF(Evalucion!I38=Datos!$C$18,Datos!$D$18,IF(Evalucion!I38=Datos!$C$19,Datos!$D$19,"=")))))</f>
        <v>1</v>
      </c>
      <c r="I40">
        <f>IF(Evalucion!J38=Datos!$C$15,Datos!$D$15,IF(Evalucion!J38=Datos!$C$16,Datos!$D$16,IF(Evalucion!J38=Datos!$C$17,Datos!$D$17,IF(Evalucion!J38=Datos!$C$18,Datos!$D$18,IF(Evalucion!J38=Datos!$C$19,Datos!$D$19,"=")))))</f>
        <v>1</v>
      </c>
      <c r="J40">
        <f>IF(Evalucion!K38=Datos!$C$15,Datos!$D$15,IF(Evalucion!K38=Datos!$C$16,Datos!$D$16,IF(Evalucion!K38=Datos!$C$17,Datos!$D$17,IF(Evalucion!K38=Datos!$C$18,Datos!$D$18,IF(Evalucion!K38=Datos!$C$19,Datos!$D$19,"=")))))</f>
        <v>1</v>
      </c>
      <c r="K40">
        <f>IF(Evalucion!L38=Datos!$C$15,Datos!$D$15,IF(Evalucion!L38=Datos!$C$16,Datos!$D$16,IF(Evalucion!L38=Datos!$C$17,Datos!$D$17,IF(Evalucion!L38=Datos!$C$18,Datos!$D$18,IF(Evalucion!L38=Datos!$C$19,Datos!$D$19,"=")))))</f>
        <v>1</v>
      </c>
      <c r="L40">
        <f>IF(Evalucion!M38=Datos!$C$15,Datos!$D$15,IF(Evalucion!M38=Datos!$C$16,Datos!$D$16,IF(Evalucion!M38=Datos!$C$17,Datos!$D$17,IF(Evalucion!M38=Datos!$C$18,Datos!$D$18,IF(Evalucion!M38=Datos!$C$19,Datos!$D$19,"=")))))</f>
        <v>5</v>
      </c>
      <c r="M40">
        <f>IF(Evalucion!N38=Datos!$C$15,Datos!$D$15,IF(Evalucion!N38=Datos!$C$16,Datos!$D$16,IF(Evalucion!N38=Datos!$C$17,Datos!$D$17,IF(Evalucion!N38=Datos!$C$18,Datos!$D$18,IF(Evalucion!N38=Datos!$C$19,Datos!$D$19,"=")))))</f>
        <v>5</v>
      </c>
      <c r="N40">
        <f>IF(Evalucion!O38=Datos!$C$15,Datos!$D$15,IF(Evalucion!O38=Datos!$C$16,Datos!$D$16,IF(Evalucion!O38=Datos!$C$17,Datos!$D$17,IF(Evalucion!O38=Datos!$C$18,Datos!$D$18,IF(Evalucion!O38=Datos!$C$19,Datos!$D$19,"=")))))</f>
        <v>3</v>
      </c>
      <c r="O40">
        <f>IF(Evalucion!P38=Datos!$C$15,Datos!$D$15,IF(Evalucion!P38=Datos!$C$16,Datos!$D$16,IF(Evalucion!P38=Datos!$C$17,Datos!$D$17,IF(Evalucion!P38=Datos!$C$18,Datos!$D$18,IF(Evalucion!P38=Datos!$C$19,Datos!$D$19,"=")))))</f>
        <v>1</v>
      </c>
      <c r="P40">
        <f>IF(Evalucion!Q38=Datos!$C$15,Datos!$D$15,IF(Evalucion!Q38=Datos!$C$16,Datos!$D$16,IF(Evalucion!Q38=Datos!$C$17,Datos!$D$17,IF(Evalucion!Q38=Datos!$C$18,Datos!$D$18,IF(Evalucion!Q38=Datos!$C$19,Datos!$D$19,"=")))))</f>
        <v>1</v>
      </c>
      <c r="Q40">
        <f>IF(Evalucion!R38=Datos!$C$15,Datos!$D$15,IF(Evalucion!R38=Datos!$C$16,Datos!$D$16,IF(Evalucion!R38=Datos!$C$17,Datos!$D$17,IF(Evalucion!R38=Datos!$C$18,Datos!$D$18,IF(Evalucion!R38=Datos!$C$19,Datos!$D$19,"=")))))</f>
        <v>5</v>
      </c>
      <c r="R40">
        <f>IF(Evalucion!S38=Datos!$C$15,Datos!$D$15,IF(Evalucion!S38=Datos!$C$16,Datos!$D$16,IF(Evalucion!S38=Datos!$C$17,Datos!$D$17,IF(Evalucion!S38=Datos!$C$18,Datos!$D$18,IF(Evalucion!S38=Datos!$C$19,Datos!$D$19,"=")))))</f>
        <v>1</v>
      </c>
      <c r="S40">
        <f>IF(Evalucion!T38=Datos!$C$15,Datos!$D$15,IF(Evalucion!T38=Datos!$C$16,Datos!$D$16,IF(Evalucion!T38=Datos!$C$17,Datos!$D$17,IF(Evalucion!T38=Datos!$C$18,Datos!$D$18,IF(Evalucion!T38=Datos!$C$19,Datos!$D$19,"=")))))</f>
        <v>1</v>
      </c>
      <c r="T40">
        <f>IF(Evalucion!U38=Datos!$C$15,Datos!$D$15,IF(Evalucion!U38=Datos!$C$16,Datos!$D$16,IF(Evalucion!U38=Datos!$C$17,Datos!$D$17,IF(Evalucion!U38=Datos!$C$18,Datos!$D$18,IF(Evalucion!U38=Datos!$C$19,Datos!$D$19,"=")))))</f>
        <v>1</v>
      </c>
      <c r="U40">
        <f>IF(Evalucion!V38=Datos!$C$15,Datos!$D$15,IF(Evalucion!V38=Datos!$C$16,Datos!$D$16,IF(Evalucion!V38=Datos!$C$17,Datos!$D$17,IF(Evalucion!V38=Datos!$C$18,Datos!$D$18,IF(Evalucion!V38=Datos!$C$19,Datos!$D$19,"=")))))</f>
        <v>1</v>
      </c>
      <c r="V40">
        <f>IF(Evalucion!W38=Datos!$C$15,Datos!$D$15,IF(Evalucion!W38=Datos!$C$16,Datos!$D$16,IF(Evalucion!W38=Datos!$C$17,Datos!$D$17,IF(Evalucion!W38=Datos!$C$18,Datos!$D$18,IF(Evalucion!W38=Datos!$C$19,Datos!$D$19,"=")))))</f>
        <v>1</v>
      </c>
      <c r="W40">
        <f>IF(Evalucion!X38=Datos!$C$15,Datos!$D$15,IF(Evalucion!X38=Datos!$C$16,Datos!$D$16,IF(Evalucion!X38=Datos!$C$17,Datos!$D$17,IF(Evalucion!X38=Datos!$C$18,Datos!$D$18,IF(Evalucion!X38=Datos!$C$19,Datos!$D$19,"=")))))</f>
        <v>1</v>
      </c>
      <c r="X40">
        <f>IF(Evalucion!Y38=Datos!$C$15,Datos!$D$15,IF(Evalucion!Y38=Datos!$C$16,Datos!$D$16,IF(Evalucion!Y38=Datos!$C$17,Datos!$D$17,IF(Evalucion!Y38=Datos!$C$18,Datos!$D$18,IF(Evalucion!Y38=Datos!$C$19,Datos!$D$19,"=")))))</f>
        <v>1</v>
      </c>
      <c r="Y40">
        <f>IF(Evalucion!Z38=Datos!$C$15,Datos!$D$15,IF(Evalucion!Z38=Datos!$C$16,Datos!$D$16,IF(Evalucion!Z38=Datos!$C$17,Datos!$D$17,IF(Evalucion!Z38=Datos!$C$18,Datos!$D$18,IF(Evalucion!Z38=Datos!$C$19,Datos!$D$19,"=")))))</f>
        <v>1</v>
      </c>
      <c r="Z40">
        <f>IF(Evalucion!AA38=Datos!$C$15,Datos!$D$15,IF(Evalucion!AA38=Datos!$C$16,Datos!$D$16,IF(Evalucion!AA38=Datos!$C$17,Datos!$D$17,IF(Evalucion!AA38=Datos!$C$18,Datos!$D$18,IF(Evalucion!AA38=Datos!$C$19,Datos!$D$19,"=")))))</f>
        <v>1</v>
      </c>
      <c r="AA40">
        <f>IF(Evalucion!AB38=Datos!$C$15,Datos!$D$15,IF(Evalucion!AB38=Datos!$C$16,Datos!$D$16,IF(Evalucion!AB38=Datos!$C$17,Datos!$D$17,IF(Evalucion!AB38=Datos!$C$18,Datos!$D$18,IF(Evalucion!AB38=Datos!$C$19,Datos!$D$19,"=")))))</f>
        <v>1</v>
      </c>
      <c r="AB40">
        <f>IF(Evalucion!AC38=Datos!$C$15,Datos!$D$15,IF(Evalucion!AC38=Datos!$C$16,Datos!$D$16,IF(Evalucion!AC38=Datos!$C$17,Datos!$D$17,IF(Evalucion!AC38=Datos!$C$18,Datos!$D$18,IF(Evalucion!AC38=Datos!$C$19,Datos!$D$19,"=")))))</f>
        <v>1</v>
      </c>
      <c r="AC40">
        <f>IF(Evalucion!AD38=Datos!$C$15,Datos!$D$15,IF(Evalucion!AD38=Datos!$C$16,Datos!$D$16,IF(Evalucion!AD38=Datos!$C$17,Datos!$D$17,IF(Evalucion!AD38=Datos!$C$18,Datos!$D$18,IF(Evalucion!AD38=Datos!$C$19,Datos!$D$19,"=")))))</f>
        <v>5</v>
      </c>
      <c r="AD40">
        <f>IF(Evalucion!AE38=Datos!$C$15,Datos!$D$15,IF(Evalucion!AE38=Datos!$C$16,Datos!$D$16,IF(Evalucion!AE38=Datos!$C$17,Datos!$D$17,IF(Evalucion!AE38=Datos!$C$18,Datos!$D$18,IF(Evalucion!AE38=Datos!$C$19,Datos!$D$19,"=")))))</f>
        <v>3</v>
      </c>
      <c r="AE40">
        <f>IF(Evalucion!AF38=Datos!$C$15,Datos!$D$15,IF(Evalucion!AF38=Datos!$C$16,Datos!$D$16,IF(Evalucion!AF38=Datos!$C$17,Datos!$D$17,IF(Evalucion!AF38=Datos!$C$18,Datos!$D$18,IF(Evalucion!AF38=Datos!$C$19,Datos!$D$19,"=")))))</f>
        <v>5</v>
      </c>
      <c r="AF40">
        <f>IF(Evalucion!AG38=Datos!$C$15,Datos!$D$15,IF(Evalucion!AG38=Datos!$C$16,Datos!$D$16,IF(Evalucion!AG38=Datos!$C$17,Datos!$D$17,IF(Evalucion!AG38=Datos!$C$18,Datos!$D$18,IF(Evalucion!AG38=Datos!$C$19,Datos!$D$19,"=")))))</f>
        <v>1</v>
      </c>
      <c r="AO40">
        <f>IF(Evalucion!AP38=Datos!$C$15,Datos!$D$15,IF(Evalucion!AP38=Datos!$C$16,Datos!$D$16,IF(Evalucion!AP38=Datos!$C$17,Datos!$D$17,IF(Evalucion!AP38=Datos!$C$18,Datos!$D$18,IF(Evalucion!AP38=Datos!$C$19,Datos!$D$19,"=")))))</f>
        <v>5</v>
      </c>
      <c r="AP40">
        <f>IF(Evalucion!AQ38=Datos!$C$15,Datos!$D$15,IF(Evalucion!AQ38=Datos!$C$16,Datos!$D$16,IF(Evalucion!AQ38=Datos!$C$17,Datos!$D$17,IF(Evalucion!AQ38=Datos!$C$18,Datos!$D$18,IF(Evalucion!AQ38=Datos!$C$19,Datos!$D$19,"=")))))</f>
        <v>3</v>
      </c>
      <c r="AQ40">
        <f>IF(Evalucion!AR38=Datos!$C$15,Datos!$D$15,IF(Evalucion!AR38=Datos!$C$16,Datos!$D$16,IF(Evalucion!AR38=Datos!$C$17,Datos!$D$17,IF(Evalucion!AR38=Datos!$C$18,Datos!$D$18,IF(Evalucion!AR38=Datos!$C$19,Datos!$D$19,"=")))))</f>
        <v>1</v>
      </c>
      <c r="AR40">
        <f>IF(Evalucion!AS38=Datos!$C$15,Datos!$D$15,IF(Evalucion!AS38=Datos!$C$16,Datos!$D$16,IF(Evalucion!AS38=Datos!$C$17,Datos!$D$17,IF(Evalucion!AS38=Datos!$C$18,Datos!$D$18,IF(Evalucion!AS38=Datos!$C$19,Datos!$D$19,"=")))))</f>
        <v>1</v>
      </c>
      <c r="AS40">
        <f>IF(Evalucion!AT38=Datos!$C$15,Datos!$D$15,IF(Evalucion!AT38=Datos!$C$16,Datos!$D$16,IF(Evalucion!AT38=Datos!$C$17,Datos!$D$17,IF(Evalucion!AT38=Datos!$C$18,Datos!$D$18,IF(Evalucion!AT38=Datos!$C$19,Datos!$D$19,"=")))))</f>
        <v>5</v>
      </c>
      <c r="AT40">
        <f>IF(Evalucion!AU38=Datos!$C$15,Datos!$D$15,IF(Evalucion!AU38=Datos!$C$16,Datos!$D$16,IF(Evalucion!AU38=Datos!$C$17,Datos!$D$17,IF(Evalucion!AU38=Datos!$C$18,Datos!$D$18,IF(Evalucion!AU38=Datos!$C$19,Datos!$D$19,"=")))))</f>
        <v>5</v>
      </c>
      <c r="AV40">
        <f>IF(Evalucion!AW38=Datos!$C$15,Datos!$D$15,IF(Evalucion!AW38=Datos!$C$16,Datos!$D$16,IF(Evalucion!AW38=Datos!$C$17,Datos!$D$17,IF(Evalucion!AW38=Datos!$C$18,Datos!$D$18,IF(Evalucion!AW38=Datos!$C$19,Datos!$D$19,"=")))))</f>
        <v>1</v>
      </c>
      <c r="AW40">
        <f>IF(Evalucion!AX38=Datos!$C$15,Datos!$D$15,IF(Evalucion!AX38=Datos!$C$16,Datos!$D$16,IF(Evalucion!AX38=Datos!$C$17,Datos!$D$17,IF(Evalucion!AX38=Datos!$C$18,Datos!$D$18,IF(Evalucion!AX38=Datos!$C$19,Datos!$D$19,"=")))))</f>
        <v>1</v>
      </c>
      <c r="AX40">
        <f>IF(Evalucion!AY38=Datos!$C$15,Datos!$D$15,IF(Evalucion!AY38=Datos!$C$16,Datos!$D$16,IF(Evalucion!AY38=Datos!$C$17,Datos!$D$17,IF(Evalucion!AY38=Datos!$C$18,Datos!$D$18,IF(Evalucion!AY38=Datos!$C$19,Datos!$D$19,"=")))))</f>
        <v>5</v>
      </c>
      <c r="AY40">
        <f>IF(Evalucion!AZ38=Datos!$C$15,Datos!$D$15,IF(Evalucion!AZ38=Datos!$C$16,Datos!$D$16,IF(Evalucion!AZ38=Datos!$C$17,Datos!$D$17,IF(Evalucion!AZ38=Datos!$C$18,Datos!$D$18,IF(Evalucion!AZ38=Datos!$C$19,Datos!$D$19,"=")))))</f>
        <v>5</v>
      </c>
      <c r="AZ40">
        <f>IF(Evalucion!BA38=Datos!$C$15,Datos!$D$15,IF(Evalucion!BA38=Datos!$C$16,Datos!$D$16,IF(Evalucion!BA38=Datos!$C$17,Datos!$D$17,IF(Evalucion!BA38=Datos!$C$18,Datos!$D$18,IF(Evalucion!BA38=Datos!$C$19,Datos!$D$19,"=")))))</f>
        <v>5</v>
      </c>
      <c r="BA40">
        <f>IF(Evalucion!BB38=Datos!$C$15,Datos!$D$15,IF(Evalucion!BB38=Datos!$C$16,Datos!$D$16,IF(Evalucion!BB38=Datos!$C$17,Datos!$D$17,IF(Evalucion!BB38=Datos!$C$18,Datos!$D$18,IF(Evalucion!BB38=Datos!$C$19,Datos!$D$19,"=")))))</f>
        <v>5</v>
      </c>
      <c r="BB40">
        <f>IF(Evalucion!BC38=Datos!$C$15,Datos!$D$15,IF(Evalucion!BC38=Datos!$C$16,Datos!$D$16,IF(Evalucion!BC38=Datos!$C$17,Datos!$D$17,IF(Evalucion!BC38=Datos!$C$18,Datos!$D$18,IF(Evalucion!BC38=Datos!$C$19,Datos!$D$19,"=")))))</f>
        <v>1</v>
      </c>
      <c r="BC40">
        <f>IF(Evalucion!BD38=Datos!$C$15,Datos!$D$15,IF(Evalucion!BD38=Datos!$C$16,Datos!$D$16,IF(Evalucion!BD38=Datos!$C$17,Datos!$D$17,IF(Evalucion!BD38=Datos!$C$18,Datos!$D$18,IF(Evalucion!BD38=Datos!$C$19,Datos!$D$19,"=")))))</f>
        <v>1</v>
      </c>
      <c r="BD40">
        <f>IF(Evalucion!BE38=Datos!$C$15,Datos!$D$15,IF(Evalucion!BE38=Datos!$C$16,Datos!$D$16,IF(Evalucion!BE38=Datos!$C$17,Datos!$D$17,IF(Evalucion!BE38=Datos!$C$18,Datos!$D$18,IF(Evalucion!BE38=Datos!$C$19,Datos!$D$19,"=")))))</f>
        <v>1</v>
      </c>
      <c r="BE40">
        <f>IF(Evalucion!BF38=Datos!$C$15,Datos!$D$15,IF(Evalucion!BF38=Datos!$C$16,Datos!$D$16,IF(Evalucion!BF38=Datos!$C$17,Datos!$D$17,IF(Evalucion!BF38=Datos!$C$18,Datos!$D$18,IF(Evalucion!BF38=Datos!$C$19,Datos!$D$19,"=")))))</f>
        <v>1</v>
      </c>
      <c r="BF40">
        <f>IF(Evalucion!BG38=Datos!$C$15,Datos!$D$15,IF(Evalucion!BG38=Datos!$C$16,Datos!$D$16,IF(Evalucion!BG38=Datos!$C$17,Datos!$D$17,IF(Evalucion!BG38=Datos!$C$18,Datos!$D$18,IF(Evalucion!BG38=Datos!$C$19,Datos!$D$19,"=")))))</f>
        <v>5</v>
      </c>
      <c r="BG40">
        <f>IF(Evalucion!BH38=Datos!$C$15,Datos!$D$15,IF(Evalucion!BH38=Datos!$C$16,Datos!$D$16,IF(Evalucion!BH38=Datos!$C$17,Datos!$D$17,IF(Evalucion!BH38=Datos!$C$18,Datos!$D$18,IF(Evalucion!BH38=Datos!$C$19,Datos!$D$19,"=")))))</f>
        <v>5</v>
      </c>
      <c r="BH40">
        <f>IF(Evalucion!BI38=Datos!$C$15,Datos!$D$15,IF(Evalucion!BI38=Datos!$C$16,Datos!$D$16,IF(Evalucion!BI38=Datos!$C$17,Datos!$D$17,IF(Evalucion!BI38=Datos!$C$18,Datos!$D$18,IF(Evalucion!BI38=Datos!$C$19,Datos!$D$19,"=")))))</f>
        <v>1</v>
      </c>
      <c r="BI40">
        <f>IF(Evalucion!BJ38=Datos!$C$15,Datos!$D$15,IF(Evalucion!BJ38=Datos!$C$16,Datos!$D$16,IF(Evalucion!BJ38=Datos!$C$17,Datos!$D$17,IF(Evalucion!BJ38=Datos!$C$18,Datos!$D$18,IF(Evalucion!BJ38=Datos!$C$19,Datos!$D$19,"=")))))</f>
        <v>1</v>
      </c>
      <c r="BJ40">
        <f>IF(Evalucion!BK38=Datos!$C$15,Datos!$D$15,IF(Evalucion!BK38=Datos!$C$16,Datos!$D$16,IF(Evalucion!BK38=Datos!$C$17,Datos!$D$17,IF(Evalucion!BK38=Datos!$C$18,Datos!$D$18,IF(Evalucion!BK38=Datos!$C$19,Datos!$D$19,"=")))))</f>
        <v>1</v>
      </c>
      <c r="BK40">
        <f>IF(Evalucion!BL38=Datos!$C$15,Datos!$D$15,IF(Evalucion!BL38=Datos!$C$16,Datos!$D$16,IF(Evalucion!BL38=Datos!$C$17,Datos!$D$17,IF(Evalucion!BL38=Datos!$C$18,Datos!$D$18,IF(Evalucion!BL38=Datos!$C$19,Datos!$D$19,"=")))))</f>
        <v>1</v>
      </c>
      <c r="BL40">
        <f>IF(Evalucion!BM38=Datos!$C$15,Datos!$D$15,IF(Evalucion!BM38=Datos!$C$16,Datos!$D$16,IF(Evalucion!BM38=Datos!$C$17,Datos!$D$17,IF(Evalucion!BM38=Datos!$C$18,Datos!$D$18,IF(Evalucion!BM38=Datos!$C$19,Datos!$D$19,"=")))))</f>
        <v>1</v>
      </c>
      <c r="BM40">
        <f>IF(Evalucion!BN38=Datos!$C$15,Datos!$D$15,IF(Evalucion!BN38=Datos!$C$16,Datos!$D$16,IF(Evalucion!BN38=Datos!$C$17,Datos!$D$17,IF(Evalucion!BN38=Datos!$C$18,Datos!$D$18,IF(Evalucion!BN38=Datos!$C$19,Datos!$D$19,"=")))))</f>
        <v>1</v>
      </c>
      <c r="BN40">
        <f>IF(Evalucion!BO38=Datos!$C$15,Datos!$D$15,IF(Evalucion!BO38=Datos!$C$16,Datos!$D$16,IF(Evalucion!BO38=Datos!$C$17,Datos!$D$17,IF(Evalucion!BO38=Datos!$C$18,Datos!$D$18,IF(Evalucion!BO38=Datos!$C$19,Datos!$D$19,"=")))))</f>
        <v>5</v>
      </c>
      <c r="BO40">
        <f>IF(Evalucion!BP38=Datos!$C$15,Datos!$D$15,IF(Evalucion!BP38=Datos!$C$16,Datos!$D$16,IF(Evalucion!BP38=Datos!$C$17,Datos!$D$17,IF(Evalucion!BP38=Datos!$C$18,Datos!$D$18,IF(Evalucion!BP38=Datos!$C$19,Datos!$D$19,"=")))))</f>
        <v>5</v>
      </c>
      <c r="BP40">
        <f>IF(Evalucion!BQ38=Datos!$C$15,Datos!$D$15,IF(Evalucion!BQ38=Datos!$C$16,Datos!$D$16,IF(Evalucion!BQ38=Datos!$C$17,Datos!$D$17,IF(Evalucion!BQ38=Datos!$C$18,Datos!$D$18,IF(Evalucion!BQ38=Datos!$C$19,Datos!$D$19,"=")))))</f>
        <v>1</v>
      </c>
      <c r="BQ40">
        <f>IF(Evalucion!BR38=Datos!$C$15,Datos!$D$15,IF(Evalucion!BR38=Datos!$C$16,Datos!$D$16,IF(Evalucion!BR38=Datos!$C$17,Datos!$D$17,IF(Evalucion!BR38=Datos!$C$18,Datos!$D$18,IF(Evalucion!BR38=Datos!$C$19,Datos!$D$19,"=")))))</f>
        <v>1</v>
      </c>
      <c r="BR40">
        <f>IF(Evalucion!BS38=Datos!$C$15,Datos!$D$15,IF(Evalucion!BS38=Datos!$C$16,Datos!$D$16,IF(Evalucion!BS38=Datos!$C$17,Datos!$D$17,IF(Evalucion!BS38=Datos!$C$18,Datos!$D$18,IF(Evalucion!BS38=Datos!$C$19,Datos!$D$19,"=")))))</f>
        <v>1</v>
      </c>
      <c r="BS40">
        <f>IF(Evalucion!BT38=Datos!$C$15,Datos!$D$15,IF(Evalucion!BT38=Datos!$C$16,Datos!$D$16,IF(Evalucion!BT38=Datos!$C$17,Datos!$D$17,IF(Evalucion!BT38=Datos!$C$18,Datos!$D$18,IF(Evalucion!BT38=Datos!$C$19,Datos!$D$19,"=")))))</f>
        <v>1</v>
      </c>
      <c r="BT40">
        <f>IF(Evalucion!BU38=Datos!$C$15,Datos!$D$15,IF(Evalucion!BU38=Datos!$C$16,Datos!$D$16,IF(Evalucion!BU38=Datos!$C$17,Datos!$D$17,IF(Evalucion!BU38=Datos!$C$18,Datos!$D$18,IF(Evalucion!BU38=Datos!$C$19,Datos!$D$19,"=")))))</f>
        <v>1</v>
      </c>
      <c r="BU40">
        <f>IF(Evalucion!BV38=Datos!$C$15,Datos!$D$15,IF(Evalucion!BV38=Datos!$C$16,Datos!$D$16,IF(Evalucion!BV38=Datos!$C$17,Datos!$D$17,IF(Evalucion!BV38=Datos!$C$18,Datos!$D$18,IF(Evalucion!BV38=Datos!$C$19,Datos!$D$19,"=")))))</f>
        <v>1</v>
      </c>
      <c r="BV40">
        <f>IF(Evalucion!BW38=Datos!$C$15,Datos!$D$15,IF(Evalucion!BW38=Datos!$C$16,Datos!$D$16,IF(Evalucion!BW38=Datos!$C$17,Datos!$D$17,IF(Evalucion!BW38=Datos!$C$18,Datos!$D$18,IF(Evalucion!BW38=Datos!$C$19,Datos!$D$19,"=")))))</f>
        <v>5</v>
      </c>
      <c r="BW40">
        <f>IF(Evalucion!BX38=Datos!$C$15,Datos!$D$15,IF(Evalucion!BX38=Datos!$C$16,Datos!$D$16,IF(Evalucion!BX38=Datos!$C$17,Datos!$D$17,IF(Evalucion!BX38=Datos!$C$18,Datos!$D$18,IF(Evalucion!BX38=Datos!$C$19,Datos!$D$19,"=")))))</f>
        <v>5</v>
      </c>
      <c r="BX40">
        <f>IF(Evalucion!BY38=Datos!$C$15,Datos!$D$15,IF(Evalucion!BY38=Datos!$C$16,Datos!$D$16,IF(Evalucion!BY38=Datos!$C$17,Datos!$D$17,IF(Evalucion!BY38=Datos!$C$18,Datos!$D$18,IF(Evalucion!BY38=Datos!$C$19,Datos!$D$19,"=")))))</f>
        <v>1</v>
      </c>
      <c r="BY40">
        <f>IF(Evalucion!BZ38=Datos!$C$15,Datos!$D$15,IF(Evalucion!BZ38=Datos!$C$16,Datos!$D$16,IF(Evalucion!BZ38=Datos!$C$17,Datos!$D$17,IF(Evalucion!BZ38=Datos!$C$18,Datos!$D$18,IF(Evalucion!BZ38=Datos!$C$19,Datos!$D$19,"=")))))</f>
        <v>1</v>
      </c>
      <c r="BZ40">
        <f>IF(Evalucion!CA38=Datos!$C$15,Datos!$D$15,IF(Evalucion!CA38=Datos!$C$16,Datos!$D$16,IF(Evalucion!CA38=Datos!$C$17,Datos!$D$17,IF(Evalucion!CA38=Datos!$C$18,Datos!$D$18,IF(Evalucion!CA38=Datos!$C$19,Datos!$D$19,"=")))))</f>
        <v>1</v>
      </c>
      <c r="CA40">
        <f>IF(Evalucion!CB38=Datos!$C$15,Datos!$D$15,IF(Evalucion!CB38=Datos!$C$16,Datos!$D$16,IF(Evalucion!CB38=Datos!$C$17,Datos!$D$17,IF(Evalucion!CB38=Datos!$C$18,Datos!$D$18,IF(Evalucion!CB38=Datos!$C$19,Datos!$D$19,"=")))))</f>
        <v>1</v>
      </c>
      <c r="CB40">
        <f>IF(Evalucion!CC38=Datos!$C$15,Datos!$D$15,IF(Evalucion!CC38=Datos!$C$16,Datos!$D$16,IF(Evalucion!CC38=Datos!$C$17,Datos!$D$17,IF(Evalucion!CC38=Datos!$C$18,Datos!$D$18,IF(Evalucion!CC38=Datos!$C$19,Datos!$D$19,"=")))))</f>
        <v>5</v>
      </c>
      <c r="CC40">
        <f>IF(Evalucion!CD38=Datos!$C$15,Datos!$D$15,IF(Evalucion!CD38=Datos!$C$16,Datos!$D$16,IF(Evalucion!CD38=Datos!$C$17,Datos!$D$17,IF(Evalucion!CD38=Datos!$C$18,Datos!$D$18,IF(Evalucion!CD38=Datos!$C$19,Datos!$D$19,"=")))))</f>
        <v>5</v>
      </c>
      <c r="CD40">
        <f>IF(Evalucion!CE38=Datos!$C$15,Datos!$D$15,IF(Evalucion!CE38=Datos!$C$16,Datos!$D$16,IF(Evalucion!CE38=Datos!$C$17,Datos!$D$17,IF(Evalucion!CE38=Datos!$C$18,Datos!$D$18,IF(Evalucion!CE38=Datos!$C$19,Datos!$D$19,"=")))))</f>
        <v>5</v>
      </c>
      <c r="CE40">
        <f>IF(Evalucion!CF38=Datos!$C$15,Datos!$D$15,IF(Evalucion!CF38=Datos!$C$16,Datos!$D$16,IF(Evalucion!CF38=Datos!$C$17,Datos!$D$17,IF(Evalucion!CF38=Datos!$C$18,Datos!$D$18,IF(Evalucion!CF38=Datos!$C$19,Datos!$D$19,"=")))))</f>
        <v>1</v>
      </c>
      <c r="CF40">
        <f>IF(Evalucion!CG38=Datos!$C$15,Datos!$D$15,IF(Evalucion!CG38=Datos!$C$16,Datos!$D$16,IF(Evalucion!CG38=Datos!$C$17,Datos!$D$17,IF(Evalucion!CG38=Datos!$C$18,Datos!$D$18,IF(Evalucion!CG38=Datos!$C$19,Datos!$D$19,"=")))))</f>
        <v>1</v>
      </c>
      <c r="CG40">
        <f>IF(Evalucion!CH38=Datos!$C$15,Datos!$D$15,IF(Evalucion!CH38=Datos!$C$16,Datos!$D$16,IF(Evalucion!CH38=Datos!$C$17,Datos!$D$17,IF(Evalucion!CH38=Datos!$C$18,Datos!$D$18,IF(Evalucion!CH38=Datos!$C$19,Datos!$D$19,"=")))))</f>
        <v>1</v>
      </c>
      <c r="CH40">
        <f>IF(Evalucion!CI38=Datos!$C$15,Datos!$D$15,IF(Evalucion!CI38=Datos!$C$16,Datos!$D$16,IF(Evalucion!CI38=Datos!$C$17,Datos!$D$17,IF(Evalucion!CI38=Datos!$C$18,Datos!$D$18,IF(Evalucion!CI38=Datos!$C$19,Datos!$D$19,"=")))))</f>
        <v>1</v>
      </c>
      <c r="CI40">
        <f>IF(Evalucion!CJ38=Datos!$C$15,Datos!$D$15,IF(Evalucion!CJ38=Datos!$C$16,Datos!$D$16,IF(Evalucion!CJ38=Datos!$C$17,Datos!$D$17,IF(Evalucion!CJ38=Datos!$C$18,Datos!$D$18,IF(Evalucion!CJ38=Datos!$C$19,Datos!$D$19,"=")))))</f>
        <v>1</v>
      </c>
      <c r="CJ40">
        <f>IF(Evalucion!CK38=Datos!$C$15,Datos!$D$15,IF(Evalucion!CK38=Datos!$C$16,Datos!$D$16,IF(Evalucion!CK38=Datos!$C$17,Datos!$D$17,IF(Evalucion!CK38=Datos!$C$18,Datos!$D$18,IF(Evalucion!CK38=Datos!$C$19,Datos!$D$19,"=")))))</f>
        <v>5</v>
      </c>
      <c r="CK40">
        <f>IF(Evalucion!CL38=Datos!$C$15,Datos!$D$15,IF(Evalucion!CL38=Datos!$C$16,Datos!$D$16,IF(Evalucion!CL38=Datos!$C$17,Datos!$D$17,IF(Evalucion!CL38=Datos!$C$18,Datos!$D$18,IF(Evalucion!CL38=Datos!$C$19,Datos!$D$19,"=")))))</f>
        <v>5</v>
      </c>
      <c r="CL40">
        <f>IF(Evalucion!CM38=Datos!$C$15,Datos!$D$15,IF(Evalucion!CM38=Datos!$C$16,Datos!$D$16,IF(Evalucion!CM38=Datos!$C$17,Datos!$D$17,IF(Evalucion!CM38=Datos!$C$18,Datos!$D$18,IF(Evalucion!CM38=Datos!$C$19,Datos!$D$19,"=")))))</f>
        <v>5</v>
      </c>
      <c r="CM40">
        <f>IF(Evalucion!CN38=Datos!$C$15,Datos!$D$15,IF(Evalucion!CN38=Datos!$C$16,Datos!$D$16,IF(Evalucion!CN38=Datos!$C$17,Datos!$D$17,IF(Evalucion!CN38=Datos!$C$18,Datos!$D$18,IF(Evalucion!CN38=Datos!$C$19,Datos!$D$19,"=")))))</f>
        <v>3</v>
      </c>
      <c r="CN40">
        <f>IF(Evalucion!CO38=Datos!$C$15,Datos!$D$15,IF(Evalucion!CO38=Datos!$C$16,Datos!$D$16,IF(Evalucion!CO38=Datos!$C$17,Datos!$D$17,IF(Evalucion!CO38=Datos!$C$18,Datos!$D$18,IF(Evalucion!CO38=Datos!$C$19,Datos!$D$19,"=")))))</f>
        <v>5</v>
      </c>
      <c r="CO40">
        <f>IF(Evalucion!CP38=Datos!$C$15,Datos!$D$15,IF(Evalucion!CP38=Datos!$C$16,Datos!$D$16,IF(Evalucion!CP38=Datos!$C$17,Datos!$D$17,IF(Evalucion!CP38=Datos!$C$18,Datos!$D$18,IF(Evalucion!CP38=Datos!$C$19,Datos!$D$19,"=")))))</f>
        <v>5</v>
      </c>
      <c r="CP40">
        <f>IF(Evalucion!CQ38=Datos!$C$15,Datos!$D$15,IF(Evalucion!CQ38=Datos!$C$16,Datos!$D$16,IF(Evalucion!CQ38=Datos!$C$17,Datos!$D$17,IF(Evalucion!CQ38=Datos!$C$18,Datos!$D$18,IF(Evalucion!CQ38=Datos!$C$19,Datos!$D$19,"=")))))</f>
        <v>1</v>
      </c>
      <c r="CQ40">
        <f>IF(Evalucion!CR38=Datos!$C$15,Datos!$D$15,IF(Evalucion!CR38=Datos!$C$16,Datos!$D$16,IF(Evalucion!CR38=Datos!$C$17,Datos!$D$17,IF(Evalucion!CR38=Datos!$C$18,Datos!$D$18,IF(Evalucion!CR38=Datos!$C$19,Datos!$D$19,"=")))))</f>
        <v>1</v>
      </c>
      <c r="CR40">
        <f>IF(Evalucion!CS38=Datos!$C$15,Datos!$D$15,IF(Evalucion!CS38=Datos!$C$16,Datos!$D$16,IF(Evalucion!CS38=Datos!$C$17,Datos!$D$17,IF(Evalucion!CS38=Datos!$C$18,Datos!$D$18,IF(Evalucion!CS38=Datos!$C$19,Datos!$D$19,"=")))))</f>
        <v>1</v>
      </c>
      <c r="CS40">
        <f>IF(Evalucion!CT38=Datos!$C$15,Datos!$D$15,IF(Evalucion!CT38=Datos!$C$16,Datos!$D$16,IF(Evalucion!CT38=Datos!$C$17,Datos!$D$17,IF(Evalucion!CT38=Datos!$C$18,Datos!$D$18,IF(Evalucion!CT38=Datos!$C$19,Datos!$D$19,"=")))))</f>
        <v>1</v>
      </c>
      <c r="CT40">
        <f>IF(Evalucion!CU38=Datos!$C$15,Datos!$D$15,IF(Evalucion!CU38=Datos!$C$16,Datos!$D$16,IF(Evalucion!CU38=Datos!$C$17,Datos!$D$17,IF(Evalucion!CU38=Datos!$C$18,Datos!$D$18,IF(Evalucion!CU38=Datos!$C$19,Datos!$D$19,"=")))))</f>
        <v>1</v>
      </c>
      <c r="CU40">
        <f>IF(Evalucion!CV38=Datos!$C$15,Datos!$D$15,IF(Evalucion!CV38=Datos!$C$16,Datos!$D$16,IF(Evalucion!CV38=Datos!$C$17,Datos!$D$17,IF(Evalucion!CV38=Datos!$C$18,Datos!$D$18,IF(Evalucion!CV38=Datos!$C$19,Datos!$D$19,"=")))))</f>
        <v>1</v>
      </c>
      <c r="CV40">
        <f>IF(Evalucion!CW38=Datos!$C$15,Datos!$D$15,IF(Evalucion!CW38=Datos!$C$16,Datos!$D$16,IF(Evalucion!CW38=Datos!$C$17,Datos!$D$17,IF(Evalucion!CW38=Datos!$C$18,Datos!$D$18,IF(Evalucion!CW38=Datos!$C$19,Datos!$D$19,"=")))))</f>
        <v>5</v>
      </c>
      <c r="CW40">
        <f>IF(Evalucion!CX38=Datos!$C$15,Datos!$D$15,IF(Evalucion!CX38=Datos!$C$16,Datos!$D$16,IF(Evalucion!CX38=Datos!$C$17,Datos!$D$17,IF(Evalucion!CX38=Datos!$C$18,Datos!$D$18,IF(Evalucion!CX38=Datos!$C$19,Datos!$D$19,"=")))))</f>
        <v>3</v>
      </c>
      <c r="CX40">
        <f>IF(Evalucion!CY38=Datos!$C$15,Datos!$D$15,IF(Evalucion!CY38=Datos!$C$16,Datos!$D$16,IF(Evalucion!CY38=Datos!$C$17,Datos!$D$17,IF(Evalucion!CY38=Datos!$C$18,Datos!$D$18,IF(Evalucion!CY38=Datos!$C$19,Datos!$D$19,"=")))))</f>
        <v>5</v>
      </c>
      <c r="CY40">
        <f>IF(Evalucion!CZ38=Datos!$C$15,Datos!$D$15,IF(Evalucion!CZ38=Datos!$C$16,Datos!$D$16,IF(Evalucion!CZ38=Datos!$C$17,Datos!$D$17,IF(Evalucion!CZ38=Datos!$C$18,Datos!$D$18,IF(Evalucion!CZ38=Datos!$C$19,Datos!$D$19,"=")))))</f>
        <v>3</v>
      </c>
      <c r="CZ40">
        <f>IF(Evalucion!DA38=Datos!$C$15,Datos!$D$15,IF(Evalucion!DA38=Datos!$C$16,Datos!$D$16,IF(Evalucion!DA38=Datos!$C$17,Datos!$D$17,IF(Evalucion!DA38=Datos!$C$18,Datos!$D$18,IF(Evalucion!DA38=Datos!$C$19,Datos!$D$19,"=")))))</f>
        <v>5</v>
      </c>
      <c r="DA40">
        <f>IF(Evalucion!DB38=Datos!$C$15,Datos!$D$15,IF(Evalucion!DB38=Datos!$C$16,Datos!$D$16,IF(Evalucion!DB38=Datos!$C$17,Datos!$D$17,IF(Evalucion!DB38=Datos!$C$18,Datos!$D$18,IF(Evalucion!DB38=Datos!$C$19,Datos!$D$19,"=")))))</f>
        <v>3</v>
      </c>
      <c r="DB40">
        <f>IF(Evalucion!DC38=Datos!$C$15,Datos!$D$15,IF(Evalucion!DC38=Datos!$C$16,Datos!$D$16,IF(Evalucion!DC38=Datos!$C$17,Datos!$D$17,IF(Evalucion!DC38=Datos!$C$18,Datos!$D$18,IF(Evalucion!DC38=Datos!$C$19,Datos!$D$19,"=")))))</f>
        <v>5</v>
      </c>
      <c r="DC40">
        <f>IF(Evalucion!DD38=Datos!$C$15,Datos!$D$15,IF(Evalucion!DD38=Datos!$C$16,Datos!$D$16,IF(Evalucion!DD38=Datos!$C$17,Datos!$D$17,IF(Evalucion!DD38=Datos!$C$18,Datos!$D$18,IF(Evalucion!DD38=Datos!$C$19,Datos!$D$19,"=")))))</f>
        <v>5</v>
      </c>
      <c r="DD40">
        <f>IF(Evalucion!DE38=Datos!$C$15,Datos!$D$15,IF(Evalucion!DE38=Datos!$C$16,Datos!$D$16,IF(Evalucion!DE38=Datos!$C$17,Datos!$D$17,IF(Evalucion!DE38=Datos!$C$18,Datos!$D$18,IF(Evalucion!DE38=Datos!$C$19,Datos!$D$19,"=")))))</f>
        <v>1</v>
      </c>
      <c r="DE40">
        <f>IF(Evalucion!DF38=Datos!$C$15,Datos!$D$15,IF(Evalucion!DF38=Datos!$C$16,Datos!$D$16,IF(Evalucion!DF38=Datos!$C$17,Datos!$D$17,IF(Evalucion!DF38=Datos!$C$18,Datos!$D$18,IF(Evalucion!DF38=Datos!$C$19,Datos!$D$19,"=")))))</f>
        <v>1</v>
      </c>
      <c r="DF40">
        <f>IF(Evalucion!DG38=Datos!$C$15,Datos!$D$15,IF(Evalucion!DG38=Datos!$C$16,Datos!$D$16,IF(Evalucion!DG38=Datos!$C$17,Datos!$D$17,IF(Evalucion!DG38=Datos!$C$18,Datos!$D$18,IF(Evalucion!DG38=Datos!$C$19,Datos!$D$19,"=")))))</f>
        <v>5</v>
      </c>
      <c r="DG40">
        <f>IF(Evalucion!DH38=Datos!$C$15,Datos!$D$15,IF(Evalucion!DH38=Datos!$C$16,Datos!$D$16,IF(Evalucion!DH38=Datos!$C$17,Datos!$D$17,IF(Evalucion!DH38=Datos!$C$18,Datos!$D$18,IF(Evalucion!DH38=Datos!$C$19,Datos!$D$19,"=")))))</f>
        <v>3</v>
      </c>
      <c r="DH40">
        <f>IF(Evalucion!DI38=Datos!$C$15,Datos!$D$15,IF(Evalucion!DI38=Datos!$C$16,Datos!$D$16,IF(Evalucion!DI38=Datos!$C$17,Datos!$D$17,IF(Evalucion!DI38=Datos!$C$18,Datos!$D$18,IF(Evalucion!DI38=Datos!$C$19,Datos!$D$19,"=")))))</f>
        <v>1</v>
      </c>
      <c r="DI40">
        <f>IF(Evalucion!DJ38=Datos!$C$15,Datos!$D$15,IF(Evalucion!DJ38=Datos!$C$16,Datos!$D$16,IF(Evalucion!DJ38=Datos!$C$17,Datos!$D$17,IF(Evalucion!DJ38=Datos!$C$18,Datos!$D$18,IF(Evalucion!DJ38=Datos!$C$19,Datos!$D$19,"=")))))</f>
        <v>1</v>
      </c>
      <c r="DJ40">
        <f>IF(Evalucion!DK38=Datos!$C$15,Datos!$D$15,IF(Evalucion!DK38=Datos!$C$16,Datos!$D$16,IF(Evalucion!DK38=Datos!$C$17,Datos!$D$17,IF(Evalucion!DK38=Datos!$C$18,Datos!$D$18,IF(Evalucion!DK38=Datos!$C$19,Datos!$D$19,"=")))))</f>
        <v>1</v>
      </c>
      <c r="DK40">
        <f>IF(Evalucion!DL38=Datos!$C$15,Datos!$D$15,IF(Evalucion!DL38=Datos!$C$16,Datos!$D$16,IF(Evalucion!DL38=Datos!$C$17,Datos!$D$17,IF(Evalucion!DL38=Datos!$C$18,Datos!$D$18,IF(Evalucion!DL38=Datos!$C$19,Datos!$D$19,"=")))))</f>
        <v>1</v>
      </c>
      <c r="DL40">
        <f>IF(Evalucion!DM38=Datos!$C$15,Datos!$D$15,IF(Evalucion!DM38=Datos!$C$16,Datos!$D$16,IF(Evalucion!DM38=Datos!$C$17,Datos!$D$17,IF(Evalucion!DM38=Datos!$C$18,Datos!$D$18,IF(Evalucion!DM38=Datos!$C$19,Datos!$D$19,"=")))))</f>
        <v>1</v>
      </c>
      <c r="DM40">
        <f>IF(Evalucion!DN38=Datos!$C$15,Datos!$D$15,IF(Evalucion!DN38=Datos!$C$16,Datos!$D$16,IF(Evalucion!DN38=Datos!$C$17,Datos!$D$17,IF(Evalucion!DN38=Datos!$C$18,Datos!$D$18,IF(Evalucion!DN38=Datos!$C$19,Datos!$D$19,"=")))))</f>
        <v>1</v>
      </c>
      <c r="DN40">
        <f>IF(Evalucion!DO38=Datos!$C$15,Datos!$D$15,IF(Evalucion!DO38=Datos!$C$16,Datos!$D$16,IF(Evalucion!DO38=Datos!$C$17,Datos!$D$17,IF(Evalucion!DO38=Datos!$C$18,Datos!$D$18,IF(Evalucion!DO38=Datos!$C$19,Datos!$D$19,"=")))))</f>
        <v>5</v>
      </c>
      <c r="DO40">
        <f>IF(Evalucion!DP38=Datos!$C$15,Datos!$D$15,IF(Evalucion!DP38=Datos!$C$16,Datos!$D$16,IF(Evalucion!DP38=Datos!$C$17,Datos!$D$17,IF(Evalucion!DP38=Datos!$C$18,Datos!$D$18,IF(Evalucion!DP38=Datos!$C$19,Datos!$D$19,"=")))))</f>
        <v>1</v>
      </c>
      <c r="DP40">
        <f>IF(Evalucion!DQ38=Datos!$C$15,Datos!$D$15,IF(Evalucion!DQ38=Datos!$C$16,Datos!$D$16,IF(Evalucion!DQ38=Datos!$C$17,Datos!$D$17,IF(Evalucion!DQ38=Datos!$C$18,Datos!$D$18,IF(Evalucion!DQ38=Datos!$C$19,Datos!$D$19,"=")))))</f>
        <v>5</v>
      </c>
      <c r="DQ40">
        <f>IF(Evalucion!DR38=Datos!$C$15,Datos!$D$15,IF(Evalucion!DR38=Datos!$C$16,Datos!$D$16,IF(Evalucion!DR38=Datos!$C$17,Datos!$D$17,IF(Evalucion!DR38=Datos!$C$18,Datos!$D$18,IF(Evalucion!DR38=Datos!$C$19,Datos!$D$19,"=")))))</f>
        <v>3</v>
      </c>
      <c r="DR40">
        <f>IF(Evalucion!DS38=Datos!$C$15,Datos!$D$15,IF(Evalucion!DS38=Datos!$C$16,Datos!$D$16,IF(Evalucion!DS38=Datos!$C$17,Datos!$D$17,IF(Evalucion!DS38=Datos!$C$18,Datos!$D$18,IF(Evalucion!DS38=Datos!$C$19,Datos!$D$19,"=")))))</f>
        <v>1</v>
      </c>
      <c r="DS40">
        <f>IF(Evalucion!DT38=Datos!$C$15,Datos!$D$15,IF(Evalucion!DT38=Datos!$C$16,Datos!$D$16,IF(Evalucion!DT38=Datos!$C$17,Datos!$D$17,IF(Evalucion!DT38=Datos!$C$18,Datos!$D$18,IF(Evalucion!DT38=Datos!$C$19,Datos!$D$19,"=")))))</f>
        <v>1</v>
      </c>
      <c r="DT40">
        <f>IF(Evalucion!DU38=Datos!$C$15,Datos!$D$15,IF(Evalucion!DU38=Datos!$C$16,Datos!$D$16,IF(Evalucion!DU38=Datos!$C$17,Datos!$D$17,IF(Evalucion!DU38=Datos!$C$18,Datos!$D$18,IF(Evalucion!DU38=Datos!$C$19,Datos!$D$19,"=")))))</f>
        <v>5</v>
      </c>
      <c r="DU40">
        <f>IF(Evalucion!DV38=Datos!$C$15,Datos!$D$15,IF(Evalucion!DV38=Datos!$C$16,Datos!$D$16,IF(Evalucion!DV38=Datos!$C$17,Datos!$D$17,IF(Evalucion!DV38=Datos!$C$18,Datos!$D$18,IF(Evalucion!DV38=Datos!$C$19,Datos!$D$19,"=")))))</f>
        <v>3</v>
      </c>
      <c r="DV40">
        <f>IF(Evalucion!DW38=Datos!$C$15,Datos!$D$15,IF(Evalucion!DW38=Datos!$C$16,Datos!$D$16,IF(Evalucion!DW38=Datos!$C$17,Datos!$D$17,IF(Evalucion!DW38=Datos!$C$18,Datos!$D$18,IF(Evalucion!DW38=Datos!$C$19,Datos!$D$19,"=")))))</f>
        <v>1</v>
      </c>
      <c r="DW40">
        <f>IF(Evalucion!DX38=Datos!$C$15,Datos!$D$15,IF(Evalucion!DX38=Datos!$C$16,Datos!$D$16,IF(Evalucion!DX38=Datos!$C$17,Datos!$D$17,IF(Evalucion!DX38=Datos!$C$18,Datos!$D$18,IF(Evalucion!DX38=Datos!$C$19,Datos!$D$19,"=")))))</f>
        <v>1</v>
      </c>
      <c r="DX40">
        <f>IF(Evalucion!DY38=Datos!$C$15,Datos!$D$15,IF(Evalucion!DY38=Datos!$C$16,Datos!$D$16,IF(Evalucion!DY38=Datos!$C$17,Datos!$D$17,IF(Evalucion!DY38=Datos!$C$18,Datos!$D$18,IF(Evalucion!DY38=Datos!$C$19,Datos!$D$19,"=")))))</f>
        <v>1</v>
      </c>
      <c r="DY40">
        <f>IF(Evalucion!DZ38=Datos!$C$15,Datos!$D$15,IF(Evalucion!DZ38=Datos!$C$16,Datos!$D$16,IF(Evalucion!DZ38=Datos!$C$17,Datos!$D$17,IF(Evalucion!DZ38=Datos!$C$18,Datos!$D$18,IF(Evalucion!DZ38=Datos!$C$19,Datos!$D$19,"=")))))</f>
        <v>1</v>
      </c>
      <c r="DZ40">
        <f>IF(Evalucion!EA38=Datos!$C$15,Datos!$D$15,IF(Evalucion!EA38=Datos!$C$16,Datos!$D$16,IF(Evalucion!EA38=Datos!$C$17,Datos!$D$17,IF(Evalucion!EA38=Datos!$C$18,Datos!$D$18,IF(Evalucion!EA38=Datos!$C$19,Datos!$D$19,"=")))))</f>
        <v>5</v>
      </c>
      <c r="EA40">
        <f>IF(Evalucion!EB38=Datos!$C$15,Datos!$D$15,IF(Evalucion!EB38=Datos!$C$16,Datos!$D$16,IF(Evalucion!EB38=Datos!$C$17,Datos!$D$17,IF(Evalucion!EB38=Datos!$C$18,Datos!$D$18,IF(Evalucion!EB38=Datos!$C$19,Datos!$D$19,"=")))))</f>
        <v>5</v>
      </c>
      <c r="EB40">
        <f>IF(Evalucion!EC38=Datos!$C$15,Datos!$D$15,IF(Evalucion!EC38=Datos!$C$16,Datos!$D$16,IF(Evalucion!EC38=Datos!$C$17,Datos!$D$17,IF(Evalucion!EC38=Datos!$C$18,Datos!$D$18,IF(Evalucion!EC38=Datos!$C$19,Datos!$D$19,"=")))))</f>
        <v>5</v>
      </c>
      <c r="EC40">
        <f>IF(Evalucion!ED38=Datos!$C$15,Datos!$D$15,IF(Evalucion!ED38=Datos!$C$16,Datos!$D$16,IF(Evalucion!ED38=Datos!$C$17,Datos!$D$17,IF(Evalucion!ED38=Datos!$C$18,Datos!$D$18,IF(Evalucion!ED38=Datos!$C$19,Datos!$D$19,"=")))))</f>
        <v>3</v>
      </c>
      <c r="ED40">
        <f>IF(Evalucion!EE38=Datos!$C$15,Datos!$D$15,IF(Evalucion!EE38=Datos!$C$16,Datos!$D$16,IF(Evalucion!EE38=Datos!$C$17,Datos!$D$17,IF(Evalucion!EE38=Datos!$C$18,Datos!$D$18,IF(Evalucion!EE38=Datos!$C$19,Datos!$D$19,"=")))))</f>
        <v>5</v>
      </c>
      <c r="EE40">
        <f>IF(Evalucion!EF38=Datos!$C$15,Datos!$D$15,IF(Evalucion!EF38=Datos!$C$16,Datos!$D$16,IF(Evalucion!EF38=Datos!$C$17,Datos!$D$17,IF(Evalucion!EF38=Datos!$C$18,Datos!$D$18,IF(Evalucion!EF38=Datos!$C$19,Datos!$D$19,"=")))))</f>
        <v>1</v>
      </c>
      <c r="EF40">
        <f>IF(Evalucion!EG38=Datos!$C$15,Datos!$D$15,IF(Evalucion!EG38=Datos!$C$16,Datos!$D$16,IF(Evalucion!EG38=Datos!$C$17,Datos!$D$17,IF(Evalucion!EG38=Datos!$C$18,Datos!$D$18,IF(Evalucion!EG38=Datos!$C$19,Datos!$D$19,"=")))))</f>
        <v>5</v>
      </c>
      <c r="EG40">
        <f>IF(Evalucion!EH38=Datos!$C$15,Datos!$D$15,IF(Evalucion!EH38=Datos!$C$16,Datos!$D$16,IF(Evalucion!EH38=Datos!$C$17,Datos!$D$17,IF(Evalucion!EH38=Datos!$C$18,Datos!$D$18,IF(Evalucion!EH38=Datos!$C$19,Datos!$D$19,"=")))))</f>
        <v>5</v>
      </c>
      <c r="EH40">
        <f>IF(Evalucion!EI38=Datos!$C$15,Datos!$D$15,IF(Evalucion!EI38=Datos!$C$16,Datos!$D$16,IF(Evalucion!EI38=Datos!$C$17,Datos!$D$17,IF(Evalucion!EI38=Datos!$C$18,Datos!$D$18,IF(Evalucion!EI38=Datos!$C$19,Datos!$D$19,"=")))))</f>
        <v>1</v>
      </c>
      <c r="EI40">
        <f>IF(Evalucion!EJ38=Datos!$C$15,Datos!$D$15,IF(Evalucion!EJ38=Datos!$C$16,Datos!$D$16,IF(Evalucion!EJ38=Datos!$C$17,Datos!$D$17,IF(Evalucion!EJ38=Datos!$C$18,Datos!$D$18,IF(Evalucion!EJ38=Datos!$C$19,Datos!$D$19,"=")))))</f>
        <v>1</v>
      </c>
      <c r="EJ40">
        <f>IF(Evalucion!EK38=Datos!$C$15,Datos!$D$15,IF(Evalucion!EK38=Datos!$C$16,Datos!$D$16,IF(Evalucion!EK38=Datos!$C$17,Datos!$D$17,IF(Evalucion!EK38=Datos!$C$18,Datos!$D$18,IF(Evalucion!EK38=Datos!$C$19,Datos!$D$19,"=")))))</f>
        <v>1</v>
      </c>
      <c r="EK40">
        <f>IF(Evalucion!EL38=Datos!$C$15,Datos!$D$15,IF(Evalucion!EL38=Datos!$C$16,Datos!$D$16,IF(Evalucion!EL38=Datos!$C$17,Datos!$D$17,IF(Evalucion!EL38=Datos!$C$18,Datos!$D$18,IF(Evalucion!EL38=Datos!$C$19,Datos!$D$19,"=")))))</f>
        <v>1</v>
      </c>
      <c r="EL40">
        <f>IF(Evalucion!EM38=Datos!$C$15,Datos!$D$15,IF(Evalucion!EM38=Datos!$C$16,Datos!$D$16,IF(Evalucion!EM38=Datos!$C$17,Datos!$D$17,IF(Evalucion!EM38=Datos!$C$18,Datos!$D$18,IF(Evalucion!EM38=Datos!$C$19,Datos!$D$19,"=")))))</f>
        <v>5</v>
      </c>
      <c r="EM40">
        <f>IF(Evalucion!EN38=Datos!$C$15,Datos!$D$15,IF(Evalucion!EN38=Datos!$C$16,Datos!$D$16,IF(Evalucion!EN38=Datos!$C$17,Datos!$D$17,IF(Evalucion!EN38=Datos!$C$18,Datos!$D$18,IF(Evalucion!EN38=Datos!$C$19,Datos!$D$19,"=")))))</f>
        <v>5</v>
      </c>
      <c r="EN40">
        <f>IF(Evalucion!EO38=Datos!$C$15,Datos!$D$15,IF(Evalucion!EO38=Datos!$C$16,Datos!$D$16,IF(Evalucion!EO38=Datos!$C$17,Datos!$D$17,IF(Evalucion!EO38=Datos!$C$18,Datos!$D$18,IF(Evalucion!EO38=Datos!$C$19,Datos!$D$19,"=")))))</f>
        <v>1</v>
      </c>
      <c r="EO40">
        <f>IF(Evalucion!EP38=Datos!$C$15,Datos!$D$15,IF(Evalucion!EP38=Datos!$C$16,Datos!$D$16,IF(Evalucion!EP38=Datos!$C$17,Datos!$D$17,IF(Evalucion!EP38=Datos!$C$18,Datos!$D$18,IF(Evalucion!EP38=Datos!$C$19,Datos!$D$19,"=")))))</f>
        <v>1</v>
      </c>
      <c r="EP40">
        <f>IF(Evalucion!EQ38=Datos!$C$15,Datos!$D$15,IF(Evalucion!EQ38=Datos!$C$16,Datos!$D$16,IF(Evalucion!EQ38=Datos!$C$17,Datos!$D$17,IF(Evalucion!EQ38=Datos!$C$18,Datos!$D$18,IF(Evalucion!EQ38=Datos!$C$19,Datos!$D$19,"=")))))</f>
        <v>1</v>
      </c>
      <c r="EQ40">
        <f>IF(Evalucion!ER38=Datos!$C$15,Datos!$D$15,IF(Evalucion!ER38=Datos!$C$16,Datos!$D$16,IF(Evalucion!ER38=Datos!$C$17,Datos!$D$17,IF(Evalucion!ER38=Datos!$C$18,Datos!$D$18,IF(Evalucion!ER38=Datos!$C$19,Datos!$D$19,"=")))))</f>
        <v>1</v>
      </c>
      <c r="ER40">
        <f>IF(Evalucion!ES38=Datos!$C$15,Datos!$D$15,IF(Evalucion!ES38=Datos!$C$16,Datos!$D$16,IF(Evalucion!ES38=Datos!$C$17,Datos!$D$17,IF(Evalucion!ES38=Datos!$C$18,Datos!$D$18,IF(Evalucion!ES38=Datos!$C$19,Datos!$D$19,"=")))))</f>
        <v>5</v>
      </c>
      <c r="ES40">
        <f>IF(Evalucion!ET38=Datos!$C$15,Datos!$D$15,IF(Evalucion!ET38=Datos!$C$16,Datos!$D$16,IF(Evalucion!ET38=Datos!$C$17,Datos!$D$17,IF(Evalucion!ET38=Datos!$C$18,Datos!$D$18,IF(Evalucion!ET38=Datos!$C$19,Datos!$D$19,"=")))))</f>
        <v>5</v>
      </c>
      <c r="ET40">
        <f>IF(Evalucion!EU38=Datos!$C$15,Datos!$D$15,IF(Evalucion!EU38=Datos!$C$16,Datos!$D$16,IF(Evalucion!EU38=Datos!$C$17,Datos!$D$17,IF(Evalucion!EU38=Datos!$C$18,Datos!$D$18,IF(Evalucion!EU38=Datos!$C$19,Datos!$D$19,"=")))))</f>
        <v>5</v>
      </c>
      <c r="EU40">
        <f>IF(Evalucion!EV38=Datos!$C$15,Datos!$D$15,IF(Evalucion!EV38=Datos!$C$16,Datos!$D$16,IF(Evalucion!EV38=Datos!$C$17,Datos!$D$17,IF(Evalucion!EV38=Datos!$C$18,Datos!$D$18,IF(Evalucion!EV38=Datos!$C$19,Datos!$D$19,"=")))))</f>
        <v>1</v>
      </c>
      <c r="EV40">
        <f>IF(Evalucion!EW38=Datos!$C$15,Datos!$D$15,IF(Evalucion!EW38=Datos!$C$16,Datos!$D$16,IF(Evalucion!EW38=Datos!$C$17,Datos!$D$17,IF(Evalucion!EW38=Datos!$C$18,Datos!$D$18,IF(Evalucion!EW38=Datos!$C$19,Datos!$D$19,"=")))))</f>
        <v>5</v>
      </c>
      <c r="EW40">
        <f>IF(Evalucion!EX38=Datos!$C$15,Datos!$D$15,IF(Evalucion!EX38=Datos!$C$16,Datos!$D$16,IF(Evalucion!EX38=Datos!$C$17,Datos!$D$17,IF(Evalucion!EX38=Datos!$C$18,Datos!$D$18,IF(Evalucion!EX38=Datos!$C$19,Datos!$D$19,"=")))))</f>
        <v>5</v>
      </c>
      <c r="EX40">
        <f>IF(Evalucion!EY38=Datos!$C$15,Datos!$D$15,IF(Evalucion!EY38=Datos!$C$16,Datos!$D$16,IF(Evalucion!EY38=Datos!$C$17,Datos!$D$17,IF(Evalucion!EY38=Datos!$C$18,Datos!$D$18,IF(Evalucion!EY38=Datos!$C$19,Datos!$D$19,"=")))))</f>
        <v>5</v>
      </c>
      <c r="EY40">
        <f>IF(Evalucion!EZ38=Datos!$C$15,Datos!$D$15,IF(Evalucion!EZ38=Datos!$C$16,Datos!$D$16,IF(Evalucion!EZ38=Datos!$C$17,Datos!$D$17,IF(Evalucion!EZ38=Datos!$C$18,Datos!$D$18,IF(Evalucion!EZ38=Datos!$C$19,Datos!$D$19,"=")))))</f>
        <v>1</v>
      </c>
      <c r="FA40">
        <f t="shared" si="8"/>
        <v>207</v>
      </c>
      <c r="FB40">
        <f t="shared" si="8"/>
        <v>161</v>
      </c>
      <c r="FC40" s="3">
        <f t="shared" si="4"/>
        <v>0.42933333333333334</v>
      </c>
      <c r="FD40" t="str">
        <f t="shared" si="9"/>
        <v>NO_Conf</v>
      </c>
      <c r="FF40">
        <f t="shared" si="5"/>
        <v>368</v>
      </c>
      <c r="FG40">
        <f t="shared" si="6"/>
        <v>0</v>
      </c>
    </row>
    <row r="41" spans="1:163" x14ac:dyDescent="0.2">
      <c r="A41">
        <f t="shared" si="7"/>
        <v>38</v>
      </c>
      <c r="B41" t="s">
        <v>278</v>
      </c>
      <c r="C41" t="s">
        <v>190</v>
      </c>
      <c r="D41" s="1">
        <v>43374</v>
      </c>
      <c r="E41">
        <f>IF(Evalucion!F39=Datos!$C$15,Datos!$D$15,IF(Evalucion!F39=Datos!$C$16,Datos!$D$16,IF(Evalucion!F39=Datos!$C$17,Datos!$D$17,IF(Evalucion!F39=Datos!$C$18,Datos!$D$18,IF(Evalucion!F39=Datos!$C$19,Datos!$D$19,"=")))))</f>
        <v>5</v>
      </c>
      <c r="F41">
        <f>IF(Evalucion!G39=Datos!$C$15,Datos!$D$15,IF(Evalucion!G39=Datos!$C$16,Datos!$D$16,IF(Evalucion!G39=Datos!$C$17,Datos!$D$17,IF(Evalucion!G39=Datos!$C$18,Datos!$D$18,IF(Evalucion!G39=Datos!$C$19,Datos!$D$19,"=")))))</f>
        <v>5</v>
      </c>
      <c r="G41">
        <f>IF(Evalucion!H39=Datos!$C$15,Datos!$D$15,IF(Evalucion!H39=Datos!$C$16,Datos!$D$16,IF(Evalucion!H39=Datos!$C$17,Datos!$D$17,IF(Evalucion!H39=Datos!$C$18,Datos!$D$18,IF(Evalucion!H39=Datos!$C$19,Datos!$D$19,"=")))))</f>
        <v>1</v>
      </c>
      <c r="H41">
        <f>IF(Evalucion!I39=Datos!$C$15,Datos!$D$15,IF(Evalucion!I39=Datos!$C$16,Datos!$D$16,IF(Evalucion!I39=Datos!$C$17,Datos!$D$17,IF(Evalucion!I39=Datos!$C$18,Datos!$D$18,IF(Evalucion!I39=Datos!$C$19,Datos!$D$19,"=")))))</f>
        <v>1</v>
      </c>
      <c r="I41">
        <f>IF(Evalucion!J39=Datos!$C$15,Datos!$D$15,IF(Evalucion!J39=Datos!$C$16,Datos!$D$16,IF(Evalucion!J39=Datos!$C$17,Datos!$D$17,IF(Evalucion!J39=Datos!$C$18,Datos!$D$18,IF(Evalucion!J39=Datos!$C$19,Datos!$D$19,"=")))))</f>
        <v>1</v>
      </c>
      <c r="J41">
        <f>IF(Evalucion!K39=Datos!$C$15,Datos!$D$15,IF(Evalucion!K39=Datos!$C$16,Datos!$D$16,IF(Evalucion!K39=Datos!$C$17,Datos!$D$17,IF(Evalucion!K39=Datos!$C$18,Datos!$D$18,IF(Evalucion!K39=Datos!$C$19,Datos!$D$19,"=")))))</f>
        <v>1</v>
      </c>
      <c r="K41">
        <f>IF(Evalucion!L39=Datos!$C$15,Datos!$D$15,IF(Evalucion!L39=Datos!$C$16,Datos!$D$16,IF(Evalucion!L39=Datos!$C$17,Datos!$D$17,IF(Evalucion!L39=Datos!$C$18,Datos!$D$18,IF(Evalucion!L39=Datos!$C$19,Datos!$D$19,"=")))))</f>
        <v>1</v>
      </c>
      <c r="L41">
        <f>IF(Evalucion!M39=Datos!$C$15,Datos!$D$15,IF(Evalucion!M39=Datos!$C$16,Datos!$D$16,IF(Evalucion!M39=Datos!$C$17,Datos!$D$17,IF(Evalucion!M39=Datos!$C$18,Datos!$D$18,IF(Evalucion!M39=Datos!$C$19,Datos!$D$19,"=")))))</f>
        <v>5</v>
      </c>
      <c r="M41">
        <f>IF(Evalucion!N39=Datos!$C$15,Datos!$D$15,IF(Evalucion!N39=Datos!$C$16,Datos!$D$16,IF(Evalucion!N39=Datos!$C$17,Datos!$D$17,IF(Evalucion!N39=Datos!$C$18,Datos!$D$18,IF(Evalucion!N39=Datos!$C$19,Datos!$D$19,"=")))))</f>
        <v>5</v>
      </c>
      <c r="N41">
        <f>IF(Evalucion!O39=Datos!$C$15,Datos!$D$15,IF(Evalucion!O39=Datos!$C$16,Datos!$D$16,IF(Evalucion!O39=Datos!$C$17,Datos!$D$17,IF(Evalucion!O39=Datos!$C$18,Datos!$D$18,IF(Evalucion!O39=Datos!$C$19,Datos!$D$19,"=")))))</f>
        <v>3</v>
      </c>
      <c r="O41">
        <f>IF(Evalucion!P39=Datos!$C$15,Datos!$D$15,IF(Evalucion!P39=Datos!$C$16,Datos!$D$16,IF(Evalucion!P39=Datos!$C$17,Datos!$D$17,IF(Evalucion!P39=Datos!$C$18,Datos!$D$18,IF(Evalucion!P39=Datos!$C$19,Datos!$D$19,"=")))))</f>
        <v>1</v>
      </c>
      <c r="P41">
        <f>IF(Evalucion!Q39=Datos!$C$15,Datos!$D$15,IF(Evalucion!Q39=Datos!$C$16,Datos!$D$16,IF(Evalucion!Q39=Datos!$C$17,Datos!$D$17,IF(Evalucion!Q39=Datos!$C$18,Datos!$D$18,IF(Evalucion!Q39=Datos!$C$19,Datos!$D$19,"=")))))</f>
        <v>1</v>
      </c>
      <c r="Q41">
        <f>IF(Evalucion!R39=Datos!$C$15,Datos!$D$15,IF(Evalucion!R39=Datos!$C$16,Datos!$D$16,IF(Evalucion!R39=Datos!$C$17,Datos!$D$17,IF(Evalucion!R39=Datos!$C$18,Datos!$D$18,IF(Evalucion!R39=Datos!$C$19,Datos!$D$19,"=")))))</f>
        <v>5</v>
      </c>
      <c r="R41">
        <f>IF(Evalucion!S39=Datos!$C$15,Datos!$D$15,IF(Evalucion!S39=Datos!$C$16,Datos!$D$16,IF(Evalucion!S39=Datos!$C$17,Datos!$D$17,IF(Evalucion!S39=Datos!$C$18,Datos!$D$18,IF(Evalucion!S39=Datos!$C$19,Datos!$D$19,"=")))))</f>
        <v>1</v>
      </c>
      <c r="S41">
        <f>IF(Evalucion!T39=Datos!$C$15,Datos!$D$15,IF(Evalucion!T39=Datos!$C$16,Datos!$D$16,IF(Evalucion!T39=Datos!$C$17,Datos!$D$17,IF(Evalucion!T39=Datos!$C$18,Datos!$D$18,IF(Evalucion!T39=Datos!$C$19,Datos!$D$19,"=")))))</f>
        <v>1</v>
      </c>
      <c r="T41">
        <f>IF(Evalucion!U39=Datos!$C$15,Datos!$D$15,IF(Evalucion!U39=Datos!$C$16,Datos!$D$16,IF(Evalucion!U39=Datos!$C$17,Datos!$D$17,IF(Evalucion!U39=Datos!$C$18,Datos!$D$18,IF(Evalucion!U39=Datos!$C$19,Datos!$D$19,"=")))))</f>
        <v>1</v>
      </c>
      <c r="U41">
        <f>IF(Evalucion!V39=Datos!$C$15,Datos!$D$15,IF(Evalucion!V39=Datos!$C$16,Datos!$D$16,IF(Evalucion!V39=Datos!$C$17,Datos!$D$17,IF(Evalucion!V39=Datos!$C$18,Datos!$D$18,IF(Evalucion!V39=Datos!$C$19,Datos!$D$19,"=")))))</f>
        <v>1</v>
      </c>
      <c r="V41">
        <f>IF(Evalucion!W39=Datos!$C$15,Datos!$D$15,IF(Evalucion!W39=Datos!$C$16,Datos!$D$16,IF(Evalucion!W39=Datos!$C$17,Datos!$D$17,IF(Evalucion!W39=Datos!$C$18,Datos!$D$18,IF(Evalucion!W39=Datos!$C$19,Datos!$D$19,"=")))))</f>
        <v>1</v>
      </c>
      <c r="W41">
        <f>IF(Evalucion!X39=Datos!$C$15,Datos!$D$15,IF(Evalucion!X39=Datos!$C$16,Datos!$D$16,IF(Evalucion!X39=Datos!$C$17,Datos!$D$17,IF(Evalucion!X39=Datos!$C$18,Datos!$D$18,IF(Evalucion!X39=Datos!$C$19,Datos!$D$19,"=")))))</f>
        <v>1</v>
      </c>
      <c r="X41">
        <f>IF(Evalucion!Y39=Datos!$C$15,Datos!$D$15,IF(Evalucion!Y39=Datos!$C$16,Datos!$D$16,IF(Evalucion!Y39=Datos!$C$17,Datos!$D$17,IF(Evalucion!Y39=Datos!$C$18,Datos!$D$18,IF(Evalucion!Y39=Datos!$C$19,Datos!$D$19,"=")))))</f>
        <v>1</v>
      </c>
      <c r="Y41">
        <f>IF(Evalucion!Z39=Datos!$C$15,Datos!$D$15,IF(Evalucion!Z39=Datos!$C$16,Datos!$D$16,IF(Evalucion!Z39=Datos!$C$17,Datos!$D$17,IF(Evalucion!Z39=Datos!$C$18,Datos!$D$18,IF(Evalucion!Z39=Datos!$C$19,Datos!$D$19,"=")))))</f>
        <v>1</v>
      </c>
      <c r="Z41">
        <f>IF(Evalucion!AA39=Datos!$C$15,Datos!$D$15,IF(Evalucion!AA39=Datos!$C$16,Datos!$D$16,IF(Evalucion!AA39=Datos!$C$17,Datos!$D$17,IF(Evalucion!AA39=Datos!$C$18,Datos!$D$18,IF(Evalucion!AA39=Datos!$C$19,Datos!$D$19,"=")))))</f>
        <v>1</v>
      </c>
      <c r="AA41">
        <f>IF(Evalucion!AB39=Datos!$C$15,Datos!$D$15,IF(Evalucion!AB39=Datos!$C$16,Datos!$D$16,IF(Evalucion!AB39=Datos!$C$17,Datos!$D$17,IF(Evalucion!AB39=Datos!$C$18,Datos!$D$18,IF(Evalucion!AB39=Datos!$C$19,Datos!$D$19,"=")))))</f>
        <v>1</v>
      </c>
      <c r="AB41">
        <f>IF(Evalucion!AC39=Datos!$C$15,Datos!$D$15,IF(Evalucion!AC39=Datos!$C$16,Datos!$D$16,IF(Evalucion!AC39=Datos!$C$17,Datos!$D$17,IF(Evalucion!AC39=Datos!$C$18,Datos!$D$18,IF(Evalucion!AC39=Datos!$C$19,Datos!$D$19,"=")))))</f>
        <v>1</v>
      </c>
      <c r="AC41">
        <f>IF(Evalucion!AD39=Datos!$C$15,Datos!$D$15,IF(Evalucion!AD39=Datos!$C$16,Datos!$D$16,IF(Evalucion!AD39=Datos!$C$17,Datos!$D$17,IF(Evalucion!AD39=Datos!$C$18,Datos!$D$18,IF(Evalucion!AD39=Datos!$C$19,Datos!$D$19,"=")))))</f>
        <v>5</v>
      </c>
      <c r="AD41">
        <f>IF(Evalucion!AE39=Datos!$C$15,Datos!$D$15,IF(Evalucion!AE39=Datos!$C$16,Datos!$D$16,IF(Evalucion!AE39=Datos!$C$17,Datos!$D$17,IF(Evalucion!AE39=Datos!$C$18,Datos!$D$18,IF(Evalucion!AE39=Datos!$C$19,Datos!$D$19,"=")))))</f>
        <v>3</v>
      </c>
      <c r="AE41">
        <f>IF(Evalucion!AF39=Datos!$C$15,Datos!$D$15,IF(Evalucion!AF39=Datos!$C$16,Datos!$D$16,IF(Evalucion!AF39=Datos!$C$17,Datos!$D$17,IF(Evalucion!AF39=Datos!$C$18,Datos!$D$18,IF(Evalucion!AF39=Datos!$C$19,Datos!$D$19,"=")))))</f>
        <v>5</v>
      </c>
      <c r="AF41">
        <f>IF(Evalucion!AG39=Datos!$C$15,Datos!$D$15,IF(Evalucion!AG39=Datos!$C$16,Datos!$D$16,IF(Evalucion!AG39=Datos!$C$17,Datos!$D$17,IF(Evalucion!AG39=Datos!$C$18,Datos!$D$18,IF(Evalucion!AG39=Datos!$C$19,Datos!$D$19,"=")))))</f>
        <v>1</v>
      </c>
      <c r="AO41">
        <f>IF(Evalucion!AP39=Datos!$C$15,Datos!$D$15,IF(Evalucion!AP39=Datos!$C$16,Datos!$D$16,IF(Evalucion!AP39=Datos!$C$17,Datos!$D$17,IF(Evalucion!AP39=Datos!$C$18,Datos!$D$18,IF(Evalucion!AP39=Datos!$C$19,Datos!$D$19,"=")))))</f>
        <v>5</v>
      </c>
      <c r="AP41">
        <f>IF(Evalucion!AQ39=Datos!$C$15,Datos!$D$15,IF(Evalucion!AQ39=Datos!$C$16,Datos!$D$16,IF(Evalucion!AQ39=Datos!$C$17,Datos!$D$17,IF(Evalucion!AQ39=Datos!$C$18,Datos!$D$18,IF(Evalucion!AQ39=Datos!$C$19,Datos!$D$19,"=")))))</f>
        <v>3</v>
      </c>
      <c r="AQ41">
        <f>IF(Evalucion!AR39=Datos!$C$15,Datos!$D$15,IF(Evalucion!AR39=Datos!$C$16,Datos!$D$16,IF(Evalucion!AR39=Datos!$C$17,Datos!$D$17,IF(Evalucion!AR39=Datos!$C$18,Datos!$D$18,IF(Evalucion!AR39=Datos!$C$19,Datos!$D$19,"=")))))</f>
        <v>1</v>
      </c>
      <c r="AR41">
        <f>IF(Evalucion!AS39=Datos!$C$15,Datos!$D$15,IF(Evalucion!AS39=Datos!$C$16,Datos!$D$16,IF(Evalucion!AS39=Datos!$C$17,Datos!$D$17,IF(Evalucion!AS39=Datos!$C$18,Datos!$D$18,IF(Evalucion!AS39=Datos!$C$19,Datos!$D$19,"=")))))</f>
        <v>1</v>
      </c>
      <c r="AS41">
        <f>IF(Evalucion!AT39=Datos!$C$15,Datos!$D$15,IF(Evalucion!AT39=Datos!$C$16,Datos!$D$16,IF(Evalucion!AT39=Datos!$C$17,Datos!$D$17,IF(Evalucion!AT39=Datos!$C$18,Datos!$D$18,IF(Evalucion!AT39=Datos!$C$19,Datos!$D$19,"=")))))</f>
        <v>5</v>
      </c>
      <c r="AT41">
        <f>IF(Evalucion!AU39=Datos!$C$15,Datos!$D$15,IF(Evalucion!AU39=Datos!$C$16,Datos!$D$16,IF(Evalucion!AU39=Datos!$C$17,Datos!$D$17,IF(Evalucion!AU39=Datos!$C$18,Datos!$D$18,IF(Evalucion!AU39=Datos!$C$19,Datos!$D$19,"=")))))</f>
        <v>5</v>
      </c>
      <c r="AV41">
        <f>IF(Evalucion!AW39=Datos!$C$15,Datos!$D$15,IF(Evalucion!AW39=Datos!$C$16,Datos!$D$16,IF(Evalucion!AW39=Datos!$C$17,Datos!$D$17,IF(Evalucion!AW39=Datos!$C$18,Datos!$D$18,IF(Evalucion!AW39=Datos!$C$19,Datos!$D$19,"=")))))</f>
        <v>1</v>
      </c>
      <c r="AW41">
        <f>IF(Evalucion!AX39=Datos!$C$15,Datos!$D$15,IF(Evalucion!AX39=Datos!$C$16,Datos!$D$16,IF(Evalucion!AX39=Datos!$C$17,Datos!$D$17,IF(Evalucion!AX39=Datos!$C$18,Datos!$D$18,IF(Evalucion!AX39=Datos!$C$19,Datos!$D$19,"=")))))</f>
        <v>1</v>
      </c>
      <c r="AX41">
        <f>IF(Evalucion!AY39=Datos!$C$15,Datos!$D$15,IF(Evalucion!AY39=Datos!$C$16,Datos!$D$16,IF(Evalucion!AY39=Datos!$C$17,Datos!$D$17,IF(Evalucion!AY39=Datos!$C$18,Datos!$D$18,IF(Evalucion!AY39=Datos!$C$19,Datos!$D$19,"=")))))</f>
        <v>5</v>
      </c>
      <c r="AY41">
        <f>IF(Evalucion!AZ39=Datos!$C$15,Datos!$D$15,IF(Evalucion!AZ39=Datos!$C$16,Datos!$D$16,IF(Evalucion!AZ39=Datos!$C$17,Datos!$D$17,IF(Evalucion!AZ39=Datos!$C$18,Datos!$D$18,IF(Evalucion!AZ39=Datos!$C$19,Datos!$D$19,"=")))))</f>
        <v>5</v>
      </c>
      <c r="AZ41">
        <f>IF(Evalucion!BA39=Datos!$C$15,Datos!$D$15,IF(Evalucion!BA39=Datos!$C$16,Datos!$D$16,IF(Evalucion!BA39=Datos!$C$17,Datos!$D$17,IF(Evalucion!BA39=Datos!$C$18,Datos!$D$18,IF(Evalucion!BA39=Datos!$C$19,Datos!$D$19,"=")))))</f>
        <v>5</v>
      </c>
      <c r="BA41">
        <f>IF(Evalucion!BB39=Datos!$C$15,Datos!$D$15,IF(Evalucion!BB39=Datos!$C$16,Datos!$D$16,IF(Evalucion!BB39=Datos!$C$17,Datos!$D$17,IF(Evalucion!BB39=Datos!$C$18,Datos!$D$18,IF(Evalucion!BB39=Datos!$C$19,Datos!$D$19,"=")))))</f>
        <v>5</v>
      </c>
      <c r="BB41">
        <f>IF(Evalucion!BC39=Datos!$C$15,Datos!$D$15,IF(Evalucion!BC39=Datos!$C$16,Datos!$D$16,IF(Evalucion!BC39=Datos!$C$17,Datos!$D$17,IF(Evalucion!BC39=Datos!$C$18,Datos!$D$18,IF(Evalucion!BC39=Datos!$C$19,Datos!$D$19,"=")))))</f>
        <v>1</v>
      </c>
      <c r="BC41">
        <f>IF(Evalucion!BD39=Datos!$C$15,Datos!$D$15,IF(Evalucion!BD39=Datos!$C$16,Datos!$D$16,IF(Evalucion!BD39=Datos!$C$17,Datos!$D$17,IF(Evalucion!BD39=Datos!$C$18,Datos!$D$18,IF(Evalucion!BD39=Datos!$C$19,Datos!$D$19,"=")))))</f>
        <v>1</v>
      </c>
      <c r="BD41">
        <f>IF(Evalucion!BE39=Datos!$C$15,Datos!$D$15,IF(Evalucion!BE39=Datos!$C$16,Datos!$D$16,IF(Evalucion!BE39=Datos!$C$17,Datos!$D$17,IF(Evalucion!BE39=Datos!$C$18,Datos!$D$18,IF(Evalucion!BE39=Datos!$C$19,Datos!$D$19,"=")))))</f>
        <v>1</v>
      </c>
      <c r="BE41">
        <f>IF(Evalucion!BF39=Datos!$C$15,Datos!$D$15,IF(Evalucion!BF39=Datos!$C$16,Datos!$D$16,IF(Evalucion!BF39=Datos!$C$17,Datos!$D$17,IF(Evalucion!BF39=Datos!$C$18,Datos!$D$18,IF(Evalucion!BF39=Datos!$C$19,Datos!$D$19,"=")))))</f>
        <v>1</v>
      </c>
      <c r="BF41">
        <f>IF(Evalucion!BG39=Datos!$C$15,Datos!$D$15,IF(Evalucion!BG39=Datos!$C$16,Datos!$D$16,IF(Evalucion!BG39=Datos!$C$17,Datos!$D$17,IF(Evalucion!BG39=Datos!$C$18,Datos!$D$18,IF(Evalucion!BG39=Datos!$C$19,Datos!$D$19,"=")))))</f>
        <v>5</v>
      </c>
      <c r="BG41">
        <f>IF(Evalucion!BH39=Datos!$C$15,Datos!$D$15,IF(Evalucion!BH39=Datos!$C$16,Datos!$D$16,IF(Evalucion!BH39=Datos!$C$17,Datos!$D$17,IF(Evalucion!BH39=Datos!$C$18,Datos!$D$18,IF(Evalucion!BH39=Datos!$C$19,Datos!$D$19,"=")))))</f>
        <v>5</v>
      </c>
      <c r="BH41">
        <f>IF(Evalucion!BI39=Datos!$C$15,Datos!$D$15,IF(Evalucion!BI39=Datos!$C$16,Datos!$D$16,IF(Evalucion!BI39=Datos!$C$17,Datos!$D$17,IF(Evalucion!BI39=Datos!$C$18,Datos!$D$18,IF(Evalucion!BI39=Datos!$C$19,Datos!$D$19,"=")))))</f>
        <v>1</v>
      </c>
      <c r="BI41">
        <f>IF(Evalucion!BJ39=Datos!$C$15,Datos!$D$15,IF(Evalucion!BJ39=Datos!$C$16,Datos!$D$16,IF(Evalucion!BJ39=Datos!$C$17,Datos!$D$17,IF(Evalucion!BJ39=Datos!$C$18,Datos!$D$18,IF(Evalucion!BJ39=Datos!$C$19,Datos!$D$19,"=")))))</f>
        <v>1</v>
      </c>
      <c r="BJ41">
        <f>IF(Evalucion!BK39=Datos!$C$15,Datos!$D$15,IF(Evalucion!BK39=Datos!$C$16,Datos!$D$16,IF(Evalucion!BK39=Datos!$C$17,Datos!$D$17,IF(Evalucion!BK39=Datos!$C$18,Datos!$D$18,IF(Evalucion!BK39=Datos!$C$19,Datos!$D$19,"=")))))</f>
        <v>1</v>
      </c>
      <c r="BK41">
        <f>IF(Evalucion!BL39=Datos!$C$15,Datos!$D$15,IF(Evalucion!BL39=Datos!$C$16,Datos!$D$16,IF(Evalucion!BL39=Datos!$C$17,Datos!$D$17,IF(Evalucion!BL39=Datos!$C$18,Datos!$D$18,IF(Evalucion!BL39=Datos!$C$19,Datos!$D$19,"=")))))</f>
        <v>1</v>
      </c>
      <c r="BL41">
        <f>IF(Evalucion!BM39=Datos!$C$15,Datos!$D$15,IF(Evalucion!BM39=Datos!$C$16,Datos!$D$16,IF(Evalucion!BM39=Datos!$C$17,Datos!$D$17,IF(Evalucion!BM39=Datos!$C$18,Datos!$D$18,IF(Evalucion!BM39=Datos!$C$19,Datos!$D$19,"=")))))</f>
        <v>1</v>
      </c>
      <c r="BM41">
        <f>IF(Evalucion!BN39=Datos!$C$15,Datos!$D$15,IF(Evalucion!BN39=Datos!$C$16,Datos!$D$16,IF(Evalucion!BN39=Datos!$C$17,Datos!$D$17,IF(Evalucion!BN39=Datos!$C$18,Datos!$D$18,IF(Evalucion!BN39=Datos!$C$19,Datos!$D$19,"=")))))</f>
        <v>1</v>
      </c>
      <c r="BN41">
        <f>IF(Evalucion!BO39=Datos!$C$15,Datos!$D$15,IF(Evalucion!BO39=Datos!$C$16,Datos!$D$16,IF(Evalucion!BO39=Datos!$C$17,Datos!$D$17,IF(Evalucion!BO39=Datos!$C$18,Datos!$D$18,IF(Evalucion!BO39=Datos!$C$19,Datos!$D$19,"=")))))</f>
        <v>5</v>
      </c>
      <c r="BO41">
        <f>IF(Evalucion!BP39=Datos!$C$15,Datos!$D$15,IF(Evalucion!BP39=Datos!$C$16,Datos!$D$16,IF(Evalucion!BP39=Datos!$C$17,Datos!$D$17,IF(Evalucion!BP39=Datos!$C$18,Datos!$D$18,IF(Evalucion!BP39=Datos!$C$19,Datos!$D$19,"=")))))</f>
        <v>5</v>
      </c>
      <c r="BP41">
        <f>IF(Evalucion!BQ39=Datos!$C$15,Datos!$D$15,IF(Evalucion!BQ39=Datos!$C$16,Datos!$D$16,IF(Evalucion!BQ39=Datos!$C$17,Datos!$D$17,IF(Evalucion!BQ39=Datos!$C$18,Datos!$D$18,IF(Evalucion!BQ39=Datos!$C$19,Datos!$D$19,"=")))))</f>
        <v>1</v>
      </c>
      <c r="BQ41">
        <f>IF(Evalucion!BR39=Datos!$C$15,Datos!$D$15,IF(Evalucion!BR39=Datos!$C$16,Datos!$D$16,IF(Evalucion!BR39=Datos!$C$17,Datos!$D$17,IF(Evalucion!BR39=Datos!$C$18,Datos!$D$18,IF(Evalucion!BR39=Datos!$C$19,Datos!$D$19,"=")))))</f>
        <v>1</v>
      </c>
      <c r="BR41">
        <f>IF(Evalucion!BS39=Datos!$C$15,Datos!$D$15,IF(Evalucion!BS39=Datos!$C$16,Datos!$D$16,IF(Evalucion!BS39=Datos!$C$17,Datos!$D$17,IF(Evalucion!BS39=Datos!$C$18,Datos!$D$18,IF(Evalucion!BS39=Datos!$C$19,Datos!$D$19,"=")))))</f>
        <v>1</v>
      </c>
      <c r="BS41">
        <f>IF(Evalucion!BT39=Datos!$C$15,Datos!$D$15,IF(Evalucion!BT39=Datos!$C$16,Datos!$D$16,IF(Evalucion!BT39=Datos!$C$17,Datos!$D$17,IF(Evalucion!BT39=Datos!$C$18,Datos!$D$18,IF(Evalucion!BT39=Datos!$C$19,Datos!$D$19,"=")))))</f>
        <v>1</v>
      </c>
      <c r="BT41">
        <f>IF(Evalucion!BU39=Datos!$C$15,Datos!$D$15,IF(Evalucion!BU39=Datos!$C$16,Datos!$D$16,IF(Evalucion!BU39=Datos!$C$17,Datos!$D$17,IF(Evalucion!BU39=Datos!$C$18,Datos!$D$18,IF(Evalucion!BU39=Datos!$C$19,Datos!$D$19,"=")))))</f>
        <v>1</v>
      </c>
      <c r="BU41">
        <f>IF(Evalucion!BV39=Datos!$C$15,Datos!$D$15,IF(Evalucion!BV39=Datos!$C$16,Datos!$D$16,IF(Evalucion!BV39=Datos!$C$17,Datos!$D$17,IF(Evalucion!BV39=Datos!$C$18,Datos!$D$18,IF(Evalucion!BV39=Datos!$C$19,Datos!$D$19,"=")))))</f>
        <v>1</v>
      </c>
      <c r="BV41">
        <f>IF(Evalucion!BW39=Datos!$C$15,Datos!$D$15,IF(Evalucion!BW39=Datos!$C$16,Datos!$D$16,IF(Evalucion!BW39=Datos!$C$17,Datos!$D$17,IF(Evalucion!BW39=Datos!$C$18,Datos!$D$18,IF(Evalucion!BW39=Datos!$C$19,Datos!$D$19,"=")))))</f>
        <v>5</v>
      </c>
      <c r="BW41">
        <f>IF(Evalucion!BX39=Datos!$C$15,Datos!$D$15,IF(Evalucion!BX39=Datos!$C$16,Datos!$D$16,IF(Evalucion!BX39=Datos!$C$17,Datos!$D$17,IF(Evalucion!BX39=Datos!$C$18,Datos!$D$18,IF(Evalucion!BX39=Datos!$C$19,Datos!$D$19,"=")))))</f>
        <v>5</v>
      </c>
      <c r="BX41">
        <f>IF(Evalucion!BY39=Datos!$C$15,Datos!$D$15,IF(Evalucion!BY39=Datos!$C$16,Datos!$D$16,IF(Evalucion!BY39=Datos!$C$17,Datos!$D$17,IF(Evalucion!BY39=Datos!$C$18,Datos!$D$18,IF(Evalucion!BY39=Datos!$C$19,Datos!$D$19,"=")))))</f>
        <v>1</v>
      </c>
      <c r="BY41">
        <f>IF(Evalucion!BZ39=Datos!$C$15,Datos!$D$15,IF(Evalucion!BZ39=Datos!$C$16,Datos!$D$16,IF(Evalucion!BZ39=Datos!$C$17,Datos!$D$17,IF(Evalucion!BZ39=Datos!$C$18,Datos!$D$18,IF(Evalucion!BZ39=Datos!$C$19,Datos!$D$19,"=")))))</f>
        <v>1</v>
      </c>
      <c r="BZ41">
        <f>IF(Evalucion!CA39=Datos!$C$15,Datos!$D$15,IF(Evalucion!CA39=Datos!$C$16,Datos!$D$16,IF(Evalucion!CA39=Datos!$C$17,Datos!$D$17,IF(Evalucion!CA39=Datos!$C$18,Datos!$D$18,IF(Evalucion!CA39=Datos!$C$19,Datos!$D$19,"=")))))</f>
        <v>1</v>
      </c>
      <c r="CA41">
        <f>IF(Evalucion!CB39=Datos!$C$15,Datos!$D$15,IF(Evalucion!CB39=Datos!$C$16,Datos!$D$16,IF(Evalucion!CB39=Datos!$C$17,Datos!$D$17,IF(Evalucion!CB39=Datos!$C$18,Datos!$D$18,IF(Evalucion!CB39=Datos!$C$19,Datos!$D$19,"=")))))</f>
        <v>1</v>
      </c>
      <c r="CB41">
        <f>IF(Evalucion!CC39=Datos!$C$15,Datos!$D$15,IF(Evalucion!CC39=Datos!$C$16,Datos!$D$16,IF(Evalucion!CC39=Datos!$C$17,Datos!$D$17,IF(Evalucion!CC39=Datos!$C$18,Datos!$D$18,IF(Evalucion!CC39=Datos!$C$19,Datos!$D$19,"=")))))</f>
        <v>5</v>
      </c>
      <c r="CC41">
        <f>IF(Evalucion!CD39=Datos!$C$15,Datos!$D$15,IF(Evalucion!CD39=Datos!$C$16,Datos!$D$16,IF(Evalucion!CD39=Datos!$C$17,Datos!$D$17,IF(Evalucion!CD39=Datos!$C$18,Datos!$D$18,IF(Evalucion!CD39=Datos!$C$19,Datos!$D$19,"=")))))</f>
        <v>5</v>
      </c>
      <c r="CD41">
        <f>IF(Evalucion!CE39=Datos!$C$15,Datos!$D$15,IF(Evalucion!CE39=Datos!$C$16,Datos!$D$16,IF(Evalucion!CE39=Datos!$C$17,Datos!$D$17,IF(Evalucion!CE39=Datos!$C$18,Datos!$D$18,IF(Evalucion!CE39=Datos!$C$19,Datos!$D$19,"=")))))</f>
        <v>5</v>
      </c>
      <c r="CE41">
        <f>IF(Evalucion!CF39=Datos!$C$15,Datos!$D$15,IF(Evalucion!CF39=Datos!$C$16,Datos!$D$16,IF(Evalucion!CF39=Datos!$C$17,Datos!$D$17,IF(Evalucion!CF39=Datos!$C$18,Datos!$D$18,IF(Evalucion!CF39=Datos!$C$19,Datos!$D$19,"=")))))</f>
        <v>1</v>
      </c>
      <c r="CF41">
        <f>IF(Evalucion!CG39=Datos!$C$15,Datos!$D$15,IF(Evalucion!CG39=Datos!$C$16,Datos!$D$16,IF(Evalucion!CG39=Datos!$C$17,Datos!$D$17,IF(Evalucion!CG39=Datos!$C$18,Datos!$D$18,IF(Evalucion!CG39=Datos!$C$19,Datos!$D$19,"=")))))</f>
        <v>1</v>
      </c>
      <c r="CG41">
        <f>IF(Evalucion!CH39=Datos!$C$15,Datos!$D$15,IF(Evalucion!CH39=Datos!$C$16,Datos!$D$16,IF(Evalucion!CH39=Datos!$C$17,Datos!$D$17,IF(Evalucion!CH39=Datos!$C$18,Datos!$D$18,IF(Evalucion!CH39=Datos!$C$19,Datos!$D$19,"=")))))</f>
        <v>1</v>
      </c>
      <c r="CH41">
        <f>IF(Evalucion!CI39=Datos!$C$15,Datos!$D$15,IF(Evalucion!CI39=Datos!$C$16,Datos!$D$16,IF(Evalucion!CI39=Datos!$C$17,Datos!$D$17,IF(Evalucion!CI39=Datos!$C$18,Datos!$D$18,IF(Evalucion!CI39=Datos!$C$19,Datos!$D$19,"=")))))</f>
        <v>1</v>
      </c>
      <c r="CI41">
        <f>IF(Evalucion!CJ39=Datos!$C$15,Datos!$D$15,IF(Evalucion!CJ39=Datos!$C$16,Datos!$D$16,IF(Evalucion!CJ39=Datos!$C$17,Datos!$D$17,IF(Evalucion!CJ39=Datos!$C$18,Datos!$D$18,IF(Evalucion!CJ39=Datos!$C$19,Datos!$D$19,"=")))))</f>
        <v>1</v>
      </c>
      <c r="CJ41">
        <f>IF(Evalucion!CK39=Datos!$C$15,Datos!$D$15,IF(Evalucion!CK39=Datos!$C$16,Datos!$D$16,IF(Evalucion!CK39=Datos!$C$17,Datos!$D$17,IF(Evalucion!CK39=Datos!$C$18,Datos!$D$18,IF(Evalucion!CK39=Datos!$C$19,Datos!$D$19,"=")))))</f>
        <v>5</v>
      </c>
      <c r="CK41">
        <f>IF(Evalucion!CL39=Datos!$C$15,Datos!$D$15,IF(Evalucion!CL39=Datos!$C$16,Datos!$D$16,IF(Evalucion!CL39=Datos!$C$17,Datos!$D$17,IF(Evalucion!CL39=Datos!$C$18,Datos!$D$18,IF(Evalucion!CL39=Datos!$C$19,Datos!$D$19,"=")))))</f>
        <v>5</v>
      </c>
      <c r="CL41">
        <f>IF(Evalucion!CM39=Datos!$C$15,Datos!$D$15,IF(Evalucion!CM39=Datos!$C$16,Datos!$D$16,IF(Evalucion!CM39=Datos!$C$17,Datos!$D$17,IF(Evalucion!CM39=Datos!$C$18,Datos!$D$18,IF(Evalucion!CM39=Datos!$C$19,Datos!$D$19,"=")))))</f>
        <v>5</v>
      </c>
      <c r="CM41">
        <f>IF(Evalucion!CN39=Datos!$C$15,Datos!$D$15,IF(Evalucion!CN39=Datos!$C$16,Datos!$D$16,IF(Evalucion!CN39=Datos!$C$17,Datos!$D$17,IF(Evalucion!CN39=Datos!$C$18,Datos!$D$18,IF(Evalucion!CN39=Datos!$C$19,Datos!$D$19,"=")))))</f>
        <v>3</v>
      </c>
      <c r="CN41">
        <f>IF(Evalucion!CO39=Datos!$C$15,Datos!$D$15,IF(Evalucion!CO39=Datos!$C$16,Datos!$D$16,IF(Evalucion!CO39=Datos!$C$17,Datos!$D$17,IF(Evalucion!CO39=Datos!$C$18,Datos!$D$18,IF(Evalucion!CO39=Datos!$C$19,Datos!$D$19,"=")))))</f>
        <v>5</v>
      </c>
      <c r="CO41">
        <f>IF(Evalucion!CP39=Datos!$C$15,Datos!$D$15,IF(Evalucion!CP39=Datos!$C$16,Datos!$D$16,IF(Evalucion!CP39=Datos!$C$17,Datos!$D$17,IF(Evalucion!CP39=Datos!$C$18,Datos!$D$18,IF(Evalucion!CP39=Datos!$C$19,Datos!$D$19,"=")))))</f>
        <v>5</v>
      </c>
      <c r="CP41">
        <f>IF(Evalucion!CQ39=Datos!$C$15,Datos!$D$15,IF(Evalucion!CQ39=Datos!$C$16,Datos!$D$16,IF(Evalucion!CQ39=Datos!$C$17,Datos!$D$17,IF(Evalucion!CQ39=Datos!$C$18,Datos!$D$18,IF(Evalucion!CQ39=Datos!$C$19,Datos!$D$19,"=")))))</f>
        <v>1</v>
      </c>
      <c r="CQ41">
        <f>IF(Evalucion!CR39=Datos!$C$15,Datos!$D$15,IF(Evalucion!CR39=Datos!$C$16,Datos!$D$16,IF(Evalucion!CR39=Datos!$C$17,Datos!$D$17,IF(Evalucion!CR39=Datos!$C$18,Datos!$D$18,IF(Evalucion!CR39=Datos!$C$19,Datos!$D$19,"=")))))</f>
        <v>1</v>
      </c>
      <c r="CR41">
        <f>IF(Evalucion!CS39=Datos!$C$15,Datos!$D$15,IF(Evalucion!CS39=Datos!$C$16,Datos!$D$16,IF(Evalucion!CS39=Datos!$C$17,Datos!$D$17,IF(Evalucion!CS39=Datos!$C$18,Datos!$D$18,IF(Evalucion!CS39=Datos!$C$19,Datos!$D$19,"=")))))</f>
        <v>1</v>
      </c>
      <c r="CS41">
        <f>IF(Evalucion!CT39=Datos!$C$15,Datos!$D$15,IF(Evalucion!CT39=Datos!$C$16,Datos!$D$16,IF(Evalucion!CT39=Datos!$C$17,Datos!$D$17,IF(Evalucion!CT39=Datos!$C$18,Datos!$D$18,IF(Evalucion!CT39=Datos!$C$19,Datos!$D$19,"=")))))</f>
        <v>1</v>
      </c>
      <c r="CT41">
        <f>IF(Evalucion!CU39=Datos!$C$15,Datos!$D$15,IF(Evalucion!CU39=Datos!$C$16,Datos!$D$16,IF(Evalucion!CU39=Datos!$C$17,Datos!$D$17,IF(Evalucion!CU39=Datos!$C$18,Datos!$D$18,IF(Evalucion!CU39=Datos!$C$19,Datos!$D$19,"=")))))</f>
        <v>1</v>
      </c>
      <c r="CU41">
        <f>IF(Evalucion!CV39=Datos!$C$15,Datos!$D$15,IF(Evalucion!CV39=Datos!$C$16,Datos!$D$16,IF(Evalucion!CV39=Datos!$C$17,Datos!$D$17,IF(Evalucion!CV39=Datos!$C$18,Datos!$D$18,IF(Evalucion!CV39=Datos!$C$19,Datos!$D$19,"=")))))</f>
        <v>1</v>
      </c>
      <c r="CV41">
        <f>IF(Evalucion!CW39=Datos!$C$15,Datos!$D$15,IF(Evalucion!CW39=Datos!$C$16,Datos!$D$16,IF(Evalucion!CW39=Datos!$C$17,Datos!$D$17,IF(Evalucion!CW39=Datos!$C$18,Datos!$D$18,IF(Evalucion!CW39=Datos!$C$19,Datos!$D$19,"=")))))</f>
        <v>5</v>
      </c>
      <c r="CW41">
        <f>IF(Evalucion!CX39=Datos!$C$15,Datos!$D$15,IF(Evalucion!CX39=Datos!$C$16,Datos!$D$16,IF(Evalucion!CX39=Datos!$C$17,Datos!$D$17,IF(Evalucion!CX39=Datos!$C$18,Datos!$D$18,IF(Evalucion!CX39=Datos!$C$19,Datos!$D$19,"=")))))</f>
        <v>3</v>
      </c>
      <c r="CX41">
        <f>IF(Evalucion!CY39=Datos!$C$15,Datos!$D$15,IF(Evalucion!CY39=Datos!$C$16,Datos!$D$16,IF(Evalucion!CY39=Datos!$C$17,Datos!$D$17,IF(Evalucion!CY39=Datos!$C$18,Datos!$D$18,IF(Evalucion!CY39=Datos!$C$19,Datos!$D$19,"=")))))</f>
        <v>5</v>
      </c>
      <c r="CY41">
        <f>IF(Evalucion!CZ39=Datos!$C$15,Datos!$D$15,IF(Evalucion!CZ39=Datos!$C$16,Datos!$D$16,IF(Evalucion!CZ39=Datos!$C$17,Datos!$D$17,IF(Evalucion!CZ39=Datos!$C$18,Datos!$D$18,IF(Evalucion!CZ39=Datos!$C$19,Datos!$D$19,"=")))))</f>
        <v>3</v>
      </c>
      <c r="CZ41">
        <f>IF(Evalucion!DA39=Datos!$C$15,Datos!$D$15,IF(Evalucion!DA39=Datos!$C$16,Datos!$D$16,IF(Evalucion!DA39=Datos!$C$17,Datos!$D$17,IF(Evalucion!DA39=Datos!$C$18,Datos!$D$18,IF(Evalucion!DA39=Datos!$C$19,Datos!$D$19,"=")))))</f>
        <v>5</v>
      </c>
      <c r="DA41">
        <f>IF(Evalucion!DB39=Datos!$C$15,Datos!$D$15,IF(Evalucion!DB39=Datos!$C$16,Datos!$D$16,IF(Evalucion!DB39=Datos!$C$17,Datos!$D$17,IF(Evalucion!DB39=Datos!$C$18,Datos!$D$18,IF(Evalucion!DB39=Datos!$C$19,Datos!$D$19,"=")))))</f>
        <v>3</v>
      </c>
      <c r="DB41">
        <f>IF(Evalucion!DC39=Datos!$C$15,Datos!$D$15,IF(Evalucion!DC39=Datos!$C$16,Datos!$D$16,IF(Evalucion!DC39=Datos!$C$17,Datos!$D$17,IF(Evalucion!DC39=Datos!$C$18,Datos!$D$18,IF(Evalucion!DC39=Datos!$C$19,Datos!$D$19,"=")))))</f>
        <v>5</v>
      </c>
      <c r="DC41">
        <f>IF(Evalucion!DD39=Datos!$C$15,Datos!$D$15,IF(Evalucion!DD39=Datos!$C$16,Datos!$D$16,IF(Evalucion!DD39=Datos!$C$17,Datos!$D$17,IF(Evalucion!DD39=Datos!$C$18,Datos!$D$18,IF(Evalucion!DD39=Datos!$C$19,Datos!$D$19,"=")))))</f>
        <v>5</v>
      </c>
      <c r="DD41">
        <f>IF(Evalucion!DE39=Datos!$C$15,Datos!$D$15,IF(Evalucion!DE39=Datos!$C$16,Datos!$D$16,IF(Evalucion!DE39=Datos!$C$17,Datos!$D$17,IF(Evalucion!DE39=Datos!$C$18,Datos!$D$18,IF(Evalucion!DE39=Datos!$C$19,Datos!$D$19,"=")))))</f>
        <v>1</v>
      </c>
      <c r="DE41">
        <f>IF(Evalucion!DF39=Datos!$C$15,Datos!$D$15,IF(Evalucion!DF39=Datos!$C$16,Datos!$D$16,IF(Evalucion!DF39=Datos!$C$17,Datos!$D$17,IF(Evalucion!DF39=Datos!$C$18,Datos!$D$18,IF(Evalucion!DF39=Datos!$C$19,Datos!$D$19,"=")))))</f>
        <v>1</v>
      </c>
      <c r="DF41">
        <f>IF(Evalucion!DG39=Datos!$C$15,Datos!$D$15,IF(Evalucion!DG39=Datos!$C$16,Datos!$D$16,IF(Evalucion!DG39=Datos!$C$17,Datos!$D$17,IF(Evalucion!DG39=Datos!$C$18,Datos!$D$18,IF(Evalucion!DG39=Datos!$C$19,Datos!$D$19,"=")))))</f>
        <v>5</v>
      </c>
      <c r="DG41">
        <f>IF(Evalucion!DH39=Datos!$C$15,Datos!$D$15,IF(Evalucion!DH39=Datos!$C$16,Datos!$D$16,IF(Evalucion!DH39=Datos!$C$17,Datos!$D$17,IF(Evalucion!DH39=Datos!$C$18,Datos!$D$18,IF(Evalucion!DH39=Datos!$C$19,Datos!$D$19,"=")))))</f>
        <v>3</v>
      </c>
      <c r="DH41">
        <f>IF(Evalucion!DI39=Datos!$C$15,Datos!$D$15,IF(Evalucion!DI39=Datos!$C$16,Datos!$D$16,IF(Evalucion!DI39=Datos!$C$17,Datos!$D$17,IF(Evalucion!DI39=Datos!$C$18,Datos!$D$18,IF(Evalucion!DI39=Datos!$C$19,Datos!$D$19,"=")))))</f>
        <v>1</v>
      </c>
      <c r="DI41">
        <f>IF(Evalucion!DJ39=Datos!$C$15,Datos!$D$15,IF(Evalucion!DJ39=Datos!$C$16,Datos!$D$16,IF(Evalucion!DJ39=Datos!$C$17,Datos!$D$17,IF(Evalucion!DJ39=Datos!$C$18,Datos!$D$18,IF(Evalucion!DJ39=Datos!$C$19,Datos!$D$19,"=")))))</f>
        <v>1</v>
      </c>
      <c r="DJ41">
        <f>IF(Evalucion!DK39=Datos!$C$15,Datos!$D$15,IF(Evalucion!DK39=Datos!$C$16,Datos!$D$16,IF(Evalucion!DK39=Datos!$C$17,Datos!$D$17,IF(Evalucion!DK39=Datos!$C$18,Datos!$D$18,IF(Evalucion!DK39=Datos!$C$19,Datos!$D$19,"=")))))</f>
        <v>1</v>
      </c>
      <c r="DK41">
        <f>IF(Evalucion!DL39=Datos!$C$15,Datos!$D$15,IF(Evalucion!DL39=Datos!$C$16,Datos!$D$16,IF(Evalucion!DL39=Datos!$C$17,Datos!$D$17,IF(Evalucion!DL39=Datos!$C$18,Datos!$D$18,IF(Evalucion!DL39=Datos!$C$19,Datos!$D$19,"=")))))</f>
        <v>1</v>
      </c>
      <c r="DL41">
        <f>IF(Evalucion!DM39=Datos!$C$15,Datos!$D$15,IF(Evalucion!DM39=Datos!$C$16,Datos!$D$16,IF(Evalucion!DM39=Datos!$C$17,Datos!$D$17,IF(Evalucion!DM39=Datos!$C$18,Datos!$D$18,IF(Evalucion!DM39=Datos!$C$19,Datos!$D$19,"=")))))</f>
        <v>1</v>
      </c>
      <c r="DM41">
        <f>IF(Evalucion!DN39=Datos!$C$15,Datos!$D$15,IF(Evalucion!DN39=Datos!$C$16,Datos!$D$16,IF(Evalucion!DN39=Datos!$C$17,Datos!$D$17,IF(Evalucion!DN39=Datos!$C$18,Datos!$D$18,IF(Evalucion!DN39=Datos!$C$19,Datos!$D$19,"=")))))</f>
        <v>1</v>
      </c>
      <c r="DN41">
        <f>IF(Evalucion!DO39=Datos!$C$15,Datos!$D$15,IF(Evalucion!DO39=Datos!$C$16,Datos!$D$16,IF(Evalucion!DO39=Datos!$C$17,Datos!$D$17,IF(Evalucion!DO39=Datos!$C$18,Datos!$D$18,IF(Evalucion!DO39=Datos!$C$19,Datos!$D$19,"=")))))</f>
        <v>5</v>
      </c>
      <c r="DO41">
        <f>IF(Evalucion!DP39=Datos!$C$15,Datos!$D$15,IF(Evalucion!DP39=Datos!$C$16,Datos!$D$16,IF(Evalucion!DP39=Datos!$C$17,Datos!$D$17,IF(Evalucion!DP39=Datos!$C$18,Datos!$D$18,IF(Evalucion!DP39=Datos!$C$19,Datos!$D$19,"=")))))</f>
        <v>1</v>
      </c>
      <c r="DP41">
        <f>IF(Evalucion!DQ39=Datos!$C$15,Datos!$D$15,IF(Evalucion!DQ39=Datos!$C$16,Datos!$D$16,IF(Evalucion!DQ39=Datos!$C$17,Datos!$D$17,IF(Evalucion!DQ39=Datos!$C$18,Datos!$D$18,IF(Evalucion!DQ39=Datos!$C$19,Datos!$D$19,"=")))))</f>
        <v>5</v>
      </c>
      <c r="DQ41">
        <f>IF(Evalucion!DR39=Datos!$C$15,Datos!$D$15,IF(Evalucion!DR39=Datos!$C$16,Datos!$D$16,IF(Evalucion!DR39=Datos!$C$17,Datos!$D$17,IF(Evalucion!DR39=Datos!$C$18,Datos!$D$18,IF(Evalucion!DR39=Datos!$C$19,Datos!$D$19,"=")))))</f>
        <v>3</v>
      </c>
      <c r="DR41">
        <f>IF(Evalucion!DS39=Datos!$C$15,Datos!$D$15,IF(Evalucion!DS39=Datos!$C$16,Datos!$D$16,IF(Evalucion!DS39=Datos!$C$17,Datos!$D$17,IF(Evalucion!DS39=Datos!$C$18,Datos!$D$18,IF(Evalucion!DS39=Datos!$C$19,Datos!$D$19,"=")))))</f>
        <v>1</v>
      </c>
      <c r="DS41">
        <f>IF(Evalucion!DT39=Datos!$C$15,Datos!$D$15,IF(Evalucion!DT39=Datos!$C$16,Datos!$D$16,IF(Evalucion!DT39=Datos!$C$17,Datos!$D$17,IF(Evalucion!DT39=Datos!$C$18,Datos!$D$18,IF(Evalucion!DT39=Datos!$C$19,Datos!$D$19,"=")))))</f>
        <v>1</v>
      </c>
      <c r="DT41">
        <f>IF(Evalucion!DU39=Datos!$C$15,Datos!$D$15,IF(Evalucion!DU39=Datos!$C$16,Datos!$D$16,IF(Evalucion!DU39=Datos!$C$17,Datos!$D$17,IF(Evalucion!DU39=Datos!$C$18,Datos!$D$18,IF(Evalucion!DU39=Datos!$C$19,Datos!$D$19,"=")))))</f>
        <v>5</v>
      </c>
      <c r="DU41">
        <f>IF(Evalucion!DV39=Datos!$C$15,Datos!$D$15,IF(Evalucion!DV39=Datos!$C$16,Datos!$D$16,IF(Evalucion!DV39=Datos!$C$17,Datos!$D$17,IF(Evalucion!DV39=Datos!$C$18,Datos!$D$18,IF(Evalucion!DV39=Datos!$C$19,Datos!$D$19,"=")))))</f>
        <v>3</v>
      </c>
      <c r="DV41">
        <f>IF(Evalucion!DW39=Datos!$C$15,Datos!$D$15,IF(Evalucion!DW39=Datos!$C$16,Datos!$D$16,IF(Evalucion!DW39=Datos!$C$17,Datos!$D$17,IF(Evalucion!DW39=Datos!$C$18,Datos!$D$18,IF(Evalucion!DW39=Datos!$C$19,Datos!$D$19,"=")))))</f>
        <v>1</v>
      </c>
      <c r="DW41">
        <f>IF(Evalucion!DX39=Datos!$C$15,Datos!$D$15,IF(Evalucion!DX39=Datos!$C$16,Datos!$D$16,IF(Evalucion!DX39=Datos!$C$17,Datos!$D$17,IF(Evalucion!DX39=Datos!$C$18,Datos!$D$18,IF(Evalucion!DX39=Datos!$C$19,Datos!$D$19,"=")))))</f>
        <v>1</v>
      </c>
      <c r="DX41">
        <f>IF(Evalucion!DY39=Datos!$C$15,Datos!$D$15,IF(Evalucion!DY39=Datos!$C$16,Datos!$D$16,IF(Evalucion!DY39=Datos!$C$17,Datos!$D$17,IF(Evalucion!DY39=Datos!$C$18,Datos!$D$18,IF(Evalucion!DY39=Datos!$C$19,Datos!$D$19,"=")))))</f>
        <v>1</v>
      </c>
      <c r="DY41">
        <f>IF(Evalucion!DZ39=Datos!$C$15,Datos!$D$15,IF(Evalucion!DZ39=Datos!$C$16,Datos!$D$16,IF(Evalucion!DZ39=Datos!$C$17,Datos!$D$17,IF(Evalucion!DZ39=Datos!$C$18,Datos!$D$18,IF(Evalucion!DZ39=Datos!$C$19,Datos!$D$19,"=")))))</f>
        <v>1</v>
      </c>
      <c r="DZ41">
        <f>IF(Evalucion!EA39=Datos!$C$15,Datos!$D$15,IF(Evalucion!EA39=Datos!$C$16,Datos!$D$16,IF(Evalucion!EA39=Datos!$C$17,Datos!$D$17,IF(Evalucion!EA39=Datos!$C$18,Datos!$D$18,IF(Evalucion!EA39=Datos!$C$19,Datos!$D$19,"=")))))</f>
        <v>5</v>
      </c>
      <c r="EA41">
        <f>IF(Evalucion!EB39=Datos!$C$15,Datos!$D$15,IF(Evalucion!EB39=Datos!$C$16,Datos!$D$16,IF(Evalucion!EB39=Datos!$C$17,Datos!$D$17,IF(Evalucion!EB39=Datos!$C$18,Datos!$D$18,IF(Evalucion!EB39=Datos!$C$19,Datos!$D$19,"=")))))</f>
        <v>5</v>
      </c>
      <c r="EB41">
        <f>IF(Evalucion!EC39=Datos!$C$15,Datos!$D$15,IF(Evalucion!EC39=Datos!$C$16,Datos!$D$16,IF(Evalucion!EC39=Datos!$C$17,Datos!$D$17,IF(Evalucion!EC39=Datos!$C$18,Datos!$D$18,IF(Evalucion!EC39=Datos!$C$19,Datos!$D$19,"=")))))</f>
        <v>5</v>
      </c>
      <c r="EC41">
        <f>IF(Evalucion!ED39=Datos!$C$15,Datos!$D$15,IF(Evalucion!ED39=Datos!$C$16,Datos!$D$16,IF(Evalucion!ED39=Datos!$C$17,Datos!$D$17,IF(Evalucion!ED39=Datos!$C$18,Datos!$D$18,IF(Evalucion!ED39=Datos!$C$19,Datos!$D$19,"=")))))</f>
        <v>3</v>
      </c>
      <c r="ED41">
        <f>IF(Evalucion!EE39=Datos!$C$15,Datos!$D$15,IF(Evalucion!EE39=Datos!$C$16,Datos!$D$16,IF(Evalucion!EE39=Datos!$C$17,Datos!$D$17,IF(Evalucion!EE39=Datos!$C$18,Datos!$D$18,IF(Evalucion!EE39=Datos!$C$19,Datos!$D$19,"=")))))</f>
        <v>5</v>
      </c>
      <c r="EE41">
        <f>IF(Evalucion!EF39=Datos!$C$15,Datos!$D$15,IF(Evalucion!EF39=Datos!$C$16,Datos!$D$16,IF(Evalucion!EF39=Datos!$C$17,Datos!$D$17,IF(Evalucion!EF39=Datos!$C$18,Datos!$D$18,IF(Evalucion!EF39=Datos!$C$19,Datos!$D$19,"=")))))</f>
        <v>1</v>
      </c>
      <c r="EF41">
        <f>IF(Evalucion!EG39=Datos!$C$15,Datos!$D$15,IF(Evalucion!EG39=Datos!$C$16,Datos!$D$16,IF(Evalucion!EG39=Datos!$C$17,Datos!$D$17,IF(Evalucion!EG39=Datos!$C$18,Datos!$D$18,IF(Evalucion!EG39=Datos!$C$19,Datos!$D$19,"=")))))</f>
        <v>5</v>
      </c>
      <c r="EG41">
        <f>IF(Evalucion!EH39=Datos!$C$15,Datos!$D$15,IF(Evalucion!EH39=Datos!$C$16,Datos!$D$16,IF(Evalucion!EH39=Datos!$C$17,Datos!$D$17,IF(Evalucion!EH39=Datos!$C$18,Datos!$D$18,IF(Evalucion!EH39=Datos!$C$19,Datos!$D$19,"=")))))</f>
        <v>5</v>
      </c>
      <c r="EH41">
        <f>IF(Evalucion!EI39=Datos!$C$15,Datos!$D$15,IF(Evalucion!EI39=Datos!$C$16,Datos!$D$16,IF(Evalucion!EI39=Datos!$C$17,Datos!$D$17,IF(Evalucion!EI39=Datos!$C$18,Datos!$D$18,IF(Evalucion!EI39=Datos!$C$19,Datos!$D$19,"=")))))</f>
        <v>1</v>
      </c>
      <c r="EI41">
        <f>IF(Evalucion!EJ39=Datos!$C$15,Datos!$D$15,IF(Evalucion!EJ39=Datos!$C$16,Datos!$D$16,IF(Evalucion!EJ39=Datos!$C$17,Datos!$D$17,IF(Evalucion!EJ39=Datos!$C$18,Datos!$D$18,IF(Evalucion!EJ39=Datos!$C$19,Datos!$D$19,"=")))))</f>
        <v>1</v>
      </c>
      <c r="EJ41">
        <f>IF(Evalucion!EK39=Datos!$C$15,Datos!$D$15,IF(Evalucion!EK39=Datos!$C$16,Datos!$D$16,IF(Evalucion!EK39=Datos!$C$17,Datos!$D$17,IF(Evalucion!EK39=Datos!$C$18,Datos!$D$18,IF(Evalucion!EK39=Datos!$C$19,Datos!$D$19,"=")))))</f>
        <v>1</v>
      </c>
      <c r="EK41">
        <f>IF(Evalucion!EL39=Datos!$C$15,Datos!$D$15,IF(Evalucion!EL39=Datos!$C$16,Datos!$D$16,IF(Evalucion!EL39=Datos!$C$17,Datos!$D$17,IF(Evalucion!EL39=Datos!$C$18,Datos!$D$18,IF(Evalucion!EL39=Datos!$C$19,Datos!$D$19,"=")))))</f>
        <v>1</v>
      </c>
      <c r="EL41">
        <f>IF(Evalucion!EM39=Datos!$C$15,Datos!$D$15,IF(Evalucion!EM39=Datos!$C$16,Datos!$D$16,IF(Evalucion!EM39=Datos!$C$17,Datos!$D$17,IF(Evalucion!EM39=Datos!$C$18,Datos!$D$18,IF(Evalucion!EM39=Datos!$C$19,Datos!$D$19,"=")))))</f>
        <v>5</v>
      </c>
      <c r="EM41">
        <f>IF(Evalucion!EN39=Datos!$C$15,Datos!$D$15,IF(Evalucion!EN39=Datos!$C$16,Datos!$D$16,IF(Evalucion!EN39=Datos!$C$17,Datos!$D$17,IF(Evalucion!EN39=Datos!$C$18,Datos!$D$18,IF(Evalucion!EN39=Datos!$C$19,Datos!$D$19,"=")))))</f>
        <v>5</v>
      </c>
      <c r="EN41">
        <f>IF(Evalucion!EO39=Datos!$C$15,Datos!$D$15,IF(Evalucion!EO39=Datos!$C$16,Datos!$D$16,IF(Evalucion!EO39=Datos!$C$17,Datos!$D$17,IF(Evalucion!EO39=Datos!$C$18,Datos!$D$18,IF(Evalucion!EO39=Datos!$C$19,Datos!$D$19,"=")))))</f>
        <v>1</v>
      </c>
      <c r="EO41">
        <f>IF(Evalucion!EP39=Datos!$C$15,Datos!$D$15,IF(Evalucion!EP39=Datos!$C$16,Datos!$D$16,IF(Evalucion!EP39=Datos!$C$17,Datos!$D$17,IF(Evalucion!EP39=Datos!$C$18,Datos!$D$18,IF(Evalucion!EP39=Datos!$C$19,Datos!$D$19,"=")))))</f>
        <v>1</v>
      </c>
      <c r="EP41">
        <f>IF(Evalucion!EQ39=Datos!$C$15,Datos!$D$15,IF(Evalucion!EQ39=Datos!$C$16,Datos!$D$16,IF(Evalucion!EQ39=Datos!$C$17,Datos!$D$17,IF(Evalucion!EQ39=Datos!$C$18,Datos!$D$18,IF(Evalucion!EQ39=Datos!$C$19,Datos!$D$19,"=")))))</f>
        <v>1</v>
      </c>
      <c r="EQ41">
        <f>IF(Evalucion!ER39=Datos!$C$15,Datos!$D$15,IF(Evalucion!ER39=Datos!$C$16,Datos!$D$16,IF(Evalucion!ER39=Datos!$C$17,Datos!$D$17,IF(Evalucion!ER39=Datos!$C$18,Datos!$D$18,IF(Evalucion!ER39=Datos!$C$19,Datos!$D$19,"=")))))</f>
        <v>1</v>
      </c>
      <c r="ER41">
        <f>IF(Evalucion!ES39=Datos!$C$15,Datos!$D$15,IF(Evalucion!ES39=Datos!$C$16,Datos!$D$16,IF(Evalucion!ES39=Datos!$C$17,Datos!$D$17,IF(Evalucion!ES39=Datos!$C$18,Datos!$D$18,IF(Evalucion!ES39=Datos!$C$19,Datos!$D$19,"=")))))</f>
        <v>5</v>
      </c>
      <c r="ES41">
        <f>IF(Evalucion!ET39=Datos!$C$15,Datos!$D$15,IF(Evalucion!ET39=Datos!$C$16,Datos!$D$16,IF(Evalucion!ET39=Datos!$C$17,Datos!$D$17,IF(Evalucion!ET39=Datos!$C$18,Datos!$D$18,IF(Evalucion!ET39=Datos!$C$19,Datos!$D$19,"=")))))</f>
        <v>5</v>
      </c>
      <c r="ET41">
        <f>IF(Evalucion!EU39=Datos!$C$15,Datos!$D$15,IF(Evalucion!EU39=Datos!$C$16,Datos!$D$16,IF(Evalucion!EU39=Datos!$C$17,Datos!$D$17,IF(Evalucion!EU39=Datos!$C$18,Datos!$D$18,IF(Evalucion!EU39=Datos!$C$19,Datos!$D$19,"=")))))</f>
        <v>5</v>
      </c>
      <c r="EU41">
        <f>IF(Evalucion!EV39=Datos!$C$15,Datos!$D$15,IF(Evalucion!EV39=Datos!$C$16,Datos!$D$16,IF(Evalucion!EV39=Datos!$C$17,Datos!$D$17,IF(Evalucion!EV39=Datos!$C$18,Datos!$D$18,IF(Evalucion!EV39=Datos!$C$19,Datos!$D$19,"=")))))</f>
        <v>1</v>
      </c>
      <c r="EV41">
        <f>IF(Evalucion!EW39=Datos!$C$15,Datos!$D$15,IF(Evalucion!EW39=Datos!$C$16,Datos!$D$16,IF(Evalucion!EW39=Datos!$C$17,Datos!$D$17,IF(Evalucion!EW39=Datos!$C$18,Datos!$D$18,IF(Evalucion!EW39=Datos!$C$19,Datos!$D$19,"=")))))</f>
        <v>5</v>
      </c>
      <c r="EW41">
        <f>IF(Evalucion!EX39=Datos!$C$15,Datos!$D$15,IF(Evalucion!EX39=Datos!$C$16,Datos!$D$16,IF(Evalucion!EX39=Datos!$C$17,Datos!$D$17,IF(Evalucion!EX39=Datos!$C$18,Datos!$D$18,IF(Evalucion!EX39=Datos!$C$19,Datos!$D$19,"=")))))</f>
        <v>5</v>
      </c>
      <c r="EX41">
        <f>IF(Evalucion!EY39=Datos!$C$15,Datos!$D$15,IF(Evalucion!EY39=Datos!$C$16,Datos!$D$16,IF(Evalucion!EY39=Datos!$C$17,Datos!$D$17,IF(Evalucion!EY39=Datos!$C$18,Datos!$D$18,IF(Evalucion!EY39=Datos!$C$19,Datos!$D$19,"=")))))</f>
        <v>5</v>
      </c>
      <c r="EY41">
        <f>IF(Evalucion!EZ39=Datos!$C$15,Datos!$D$15,IF(Evalucion!EZ39=Datos!$C$16,Datos!$D$16,IF(Evalucion!EZ39=Datos!$C$17,Datos!$D$17,IF(Evalucion!EZ39=Datos!$C$18,Datos!$D$18,IF(Evalucion!EZ39=Datos!$C$19,Datos!$D$19,"=")))))</f>
        <v>1</v>
      </c>
      <c r="FA41">
        <f t="shared" si="8"/>
        <v>207</v>
      </c>
      <c r="FB41">
        <f t="shared" si="8"/>
        <v>161</v>
      </c>
      <c r="FC41" s="3">
        <f t="shared" si="4"/>
        <v>0.42933333333333334</v>
      </c>
      <c r="FD41" t="str">
        <f t="shared" si="9"/>
        <v>NO_Conf</v>
      </c>
      <c r="FF41">
        <f t="shared" si="5"/>
        <v>368</v>
      </c>
      <c r="FG41">
        <f t="shared" si="6"/>
        <v>0</v>
      </c>
    </row>
    <row r="42" spans="1:163" x14ac:dyDescent="0.2">
      <c r="A42">
        <f t="shared" si="7"/>
        <v>39</v>
      </c>
      <c r="B42" t="s">
        <v>279</v>
      </c>
      <c r="C42" t="s">
        <v>190</v>
      </c>
      <c r="D42" s="1">
        <v>43374</v>
      </c>
      <c r="E42">
        <f>IF(Evalucion!F40=Datos!$C$15,Datos!$D$15,IF(Evalucion!F40=Datos!$C$16,Datos!$D$16,IF(Evalucion!F40=Datos!$C$17,Datos!$D$17,IF(Evalucion!F40=Datos!$C$18,Datos!$D$18,IF(Evalucion!F40=Datos!$C$19,Datos!$D$19,"=")))))</f>
        <v>5</v>
      </c>
      <c r="F42">
        <f>IF(Evalucion!G40=Datos!$C$15,Datos!$D$15,IF(Evalucion!G40=Datos!$C$16,Datos!$D$16,IF(Evalucion!G40=Datos!$C$17,Datos!$D$17,IF(Evalucion!G40=Datos!$C$18,Datos!$D$18,IF(Evalucion!G40=Datos!$C$19,Datos!$D$19,"=")))))</f>
        <v>5</v>
      </c>
      <c r="G42">
        <f>IF(Evalucion!H40=Datos!$C$15,Datos!$D$15,IF(Evalucion!H40=Datos!$C$16,Datos!$D$16,IF(Evalucion!H40=Datos!$C$17,Datos!$D$17,IF(Evalucion!H40=Datos!$C$18,Datos!$D$18,IF(Evalucion!H40=Datos!$C$19,Datos!$D$19,"=")))))</f>
        <v>1</v>
      </c>
      <c r="H42">
        <f>IF(Evalucion!I40=Datos!$C$15,Datos!$D$15,IF(Evalucion!I40=Datos!$C$16,Datos!$D$16,IF(Evalucion!I40=Datos!$C$17,Datos!$D$17,IF(Evalucion!I40=Datos!$C$18,Datos!$D$18,IF(Evalucion!I40=Datos!$C$19,Datos!$D$19,"=")))))</f>
        <v>1</v>
      </c>
      <c r="I42">
        <f>IF(Evalucion!J40=Datos!$C$15,Datos!$D$15,IF(Evalucion!J40=Datos!$C$16,Datos!$D$16,IF(Evalucion!J40=Datos!$C$17,Datos!$D$17,IF(Evalucion!J40=Datos!$C$18,Datos!$D$18,IF(Evalucion!J40=Datos!$C$19,Datos!$D$19,"=")))))</f>
        <v>1</v>
      </c>
      <c r="J42">
        <f>IF(Evalucion!K40=Datos!$C$15,Datos!$D$15,IF(Evalucion!K40=Datos!$C$16,Datos!$D$16,IF(Evalucion!K40=Datos!$C$17,Datos!$D$17,IF(Evalucion!K40=Datos!$C$18,Datos!$D$18,IF(Evalucion!K40=Datos!$C$19,Datos!$D$19,"=")))))</f>
        <v>1</v>
      </c>
      <c r="K42">
        <f>IF(Evalucion!L40=Datos!$C$15,Datos!$D$15,IF(Evalucion!L40=Datos!$C$16,Datos!$D$16,IF(Evalucion!L40=Datos!$C$17,Datos!$D$17,IF(Evalucion!L40=Datos!$C$18,Datos!$D$18,IF(Evalucion!L40=Datos!$C$19,Datos!$D$19,"=")))))</f>
        <v>1</v>
      </c>
      <c r="L42">
        <f>IF(Evalucion!M40=Datos!$C$15,Datos!$D$15,IF(Evalucion!M40=Datos!$C$16,Datos!$D$16,IF(Evalucion!M40=Datos!$C$17,Datos!$D$17,IF(Evalucion!M40=Datos!$C$18,Datos!$D$18,IF(Evalucion!M40=Datos!$C$19,Datos!$D$19,"=")))))</f>
        <v>5</v>
      </c>
      <c r="M42">
        <f>IF(Evalucion!N40=Datos!$C$15,Datos!$D$15,IF(Evalucion!N40=Datos!$C$16,Datos!$D$16,IF(Evalucion!N40=Datos!$C$17,Datos!$D$17,IF(Evalucion!N40=Datos!$C$18,Datos!$D$18,IF(Evalucion!N40=Datos!$C$19,Datos!$D$19,"=")))))</f>
        <v>5</v>
      </c>
      <c r="N42">
        <f>IF(Evalucion!O40=Datos!$C$15,Datos!$D$15,IF(Evalucion!O40=Datos!$C$16,Datos!$D$16,IF(Evalucion!O40=Datos!$C$17,Datos!$D$17,IF(Evalucion!O40=Datos!$C$18,Datos!$D$18,IF(Evalucion!O40=Datos!$C$19,Datos!$D$19,"=")))))</f>
        <v>3</v>
      </c>
      <c r="O42">
        <f>IF(Evalucion!P40=Datos!$C$15,Datos!$D$15,IF(Evalucion!P40=Datos!$C$16,Datos!$D$16,IF(Evalucion!P40=Datos!$C$17,Datos!$D$17,IF(Evalucion!P40=Datos!$C$18,Datos!$D$18,IF(Evalucion!P40=Datos!$C$19,Datos!$D$19,"=")))))</f>
        <v>1</v>
      </c>
      <c r="P42">
        <f>IF(Evalucion!Q40=Datos!$C$15,Datos!$D$15,IF(Evalucion!Q40=Datos!$C$16,Datos!$D$16,IF(Evalucion!Q40=Datos!$C$17,Datos!$D$17,IF(Evalucion!Q40=Datos!$C$18,Datos!$D$18,IF(Evalucion!Q40=Datos!$C$19,Datos!$D$19,"=")))))</f>
        <v>1</v>
      </c>
      <c r="Q42">
        <f>IF(Evalucion!R40=Datos!$C$15,Datos!$D$15,IF(Evalucion!R40=Datos!$C$16,Datos!$D$16,IF(Evalucion!R40=Datos!$C$17,Datos!$D$17,IF(Evalucion!R40=Datos!$C$18,Datos!$D$18,IF(Evalucion!R40=Datos!$C$19,Datos!$D$19,"=")))))</f>
        <v>5</v>
      </c>
      <c r="R42">
        <f>IF(Evalucion!S40=Datos!$C$15,Datos!$D$15,IF(Evalucion!S40=Datos!$C$16,Datos!$D$16,IF(Evalucion!S40=Datos!$C$17,Datos!$D$17,IF(Evalucion!S40=Datos!$C$18,Datos!$D$18,IF(Evalucion!S40=Datos!$C$19,Datos!$D$19,"=")))))</f>
        <v>1</v>
      </c>
      <c r="S42">
        <f>IF(Evalucion!T40=Datos!$C$15,Datos!$D$15,IF(Evalucion!T40=Datos!$C$16,Datos!$D$16,IF(Evalucion!T40=Datos!$C$17,Datos!$D$17,IF(Evalucion!T40=Datos!$C$18,Datos!$D$18,IF(Evalucion!T40=Datos!$C$19,Datos!$D$19,"=")))))</f>
        <v>1</v>
      </c>
      <c r="T42">
        <f>IF(Evalucion!U40=Datos!$C$15,Datos!$D$15,IF(Evalucion!U40=Datos!$C$16,Datos!$D$16,IF(Evalucion!U40=Datos!$C$17,Datos!$D$17,IF(Evalucion!U40=Datos!$C$18,Datos!$D$18,IF(Evalucion!U40=Datos!$C$19,Datos!$D$19,"=")))))</f>
        <v>1</v>
      </c>
      <c r="U42">
        <f>IF(Evalucion!V40=Datos!$C$15,Datos!$D$15,IF(Evalucion!V40=Datos!$C$16,Datos!$D$16,IF(Evalucion!V40=Datos!$C$17,Datos!$D$17,IF(Evalucion!V40=Datos!$C$18,Datos!$D$18,IF(Evalucion!V40=Datos!$C$19,Datos!$D$19,"=")))))</f>
        <v>1</v>
      </c>
      <c r="V42">
        <f>IF(Evalucion!W40=Datos!$C$15,Datos!$D$15,IF(Evalucion!W40=Datos!$C$16,Datos!$D$16,IF(Evalucion!W40=Datos!$C$17,Datos!$D$17,IF(Evalucion!W40=Datos!$C$18,Datos!$D$18,IF(Evalucion!W40=Datos!$C$19,Datos!$D$19,"=")))))</f>
        <v>1</v>
      </c>
      <c r="W42">
        <f>IF(Evalucion!X40=Datos!$C$15,Datos!$D$15,IF(Evalucion!X40=Datos!$C$16,Datos!$D$16,IF(Evalucion!X40=Datos!$C$17,Datos!$D$17,IF(Evalucion!X40=Datos!$C$18,Datos!$D$18,IF(Evalucion!X40=Datos!$C$19,Datos!$D$19,"=")))))</f>
        <v>1</v>
      </c>
      <c r="X42">
        <f>IF(Evalucion!Y40=Datos!$C$15,Datos!$D$15,IF(Evalucion!Y40=Datos!$C$16,Datos!$D$16,IF(Evalucion!Y40=Datos!$C$17,Datos!$D$17,IF(Evalucion!Y40=Datos!$C$18,Datos!$D$18,IF(Evalucion!Y40=Datos!$C$19,Datos!$D$19,"=")))))</f>
        <v>1</v>
      </c>
      <c r="Y42">
        <f>IF(Evalucion!Z40=Datos!$C$15,Datos!$D$15,IF(Evalucion!Z40=Datos!$C$16,Datos!$D$16,IF(Evalucion!Z40=Datos!$C$17,Datos!$D$17,IF(Evalucion!Z40=Datos!$C$18,Datos!$D$18,IF(Evalucion!Z40=Datos!$C$19,Datos!$D$19,"=")))))</f>
        <v>1</v>
      </c>
      <c r="Z42">
        <f>IF(Evalucion!AA40=Datos!$C$15,Datos!$D$15,IF(Evalucion!AA40=Datos!$C$16,Datos!$D$16,IF(Evalucion!AA40=Datos!$C$17,Datos!$D$17,IF(Evalucion!AA40=Datos!$C$18,Datos!$D$18,IF(Evalucion!AA40=Datos!$C$19,Datos!$D$19,"=")))))</f>
        <v>1</v>
      </c>
      <c r="AA42">
        <f>IF(Evalucion!AB40=Datos!$C$15,Datos!$D$15,IF(Evalucion!AB40=Datos!$C$16,Datos!$D$16,IF(Evalucion!AB40=Datos!$C$17,Datos!$D$17,IF(Evalucion!AB40=Datos!$C$18,Datos!$D$18,IF(Evalucion!AB40=Datos!$C$19,Datos!$D$19,"=")))))</f>
        <v>1</v>
      </c>
      <c r="AB42">
        <f>IF(Evalucion!AC40=Datos!$C$15,Datos!$D$15,IF(Evalucion!AC40=Datos!$C$16,Datos!$D$16,IF(Evalucion!AC40=Datos!$C$17,Datos!$D$17,IF(Evalucion!AC40=Datos!$C$18,Datos!$D$18,IF(Evalucion!AC40=Datos!$C$19,Datos!$D$19,"=")))))</f>
        <v>1</v>
      </c>
      <c r="AC42">
        <f>IF(Evalucion!AD40=Datos!$C$15,Datos!$D$15,IF(Evalucion!AD40=Datos!$C$16,Datos!$D$16,IF(Evalucion!AD40=Datos!$C$17,Datos!$D$17,IF(Evalucion!AD40=Datos!$C$18,Datos!$D$18,IF(Evalucion!AD40=Datos!$C$19,Datos!$D$19,"=")))))</f>
        <v>5</v>
      </c>
      <c r="AD42">
        <f>IF(Evalucion!AE40=Datos!$C$15,Datos!$D$15,IF(Evalucion!AE40=Datos!$C$16,Datos!$D$16,IF(Evalucion!AE40=Datos!$C$17,Datos!$D$17,IF(Evalucion!AE40=Datos!$C$18,Datos!$D$18,IF(Evalucion!AE40=Datos!$C$19,Datos!$D$19,"=")))))</f>
        <v>3</v>
      </c>
      <c r="AE42">
        <f>IF(Evalucion!AF40=Datos!$C$15,Datos!$D$15,IF(Evalucion!AF40=Datos!$C$16,Datos!$D$16,IF(Evalucion!AF40=Datos!$C$17,Datos!$D$17,IF(Evalucion!AF40=Datos!$C$18,Datos!$D$18,IF(Evalucion!AF40=Datos!$C$19,Datos!$D$19,"=")))))</f>
        <v>5</v>
      </c>
      <c r="AF42">
        <f>IF(Evalucion!AG40=Datos!$C$15,Datos!$D$15,IF(Evalucion!AG40=Datos!$C$16,Datos!$D$16,IF(Evalucion!AG40=Datos!$C$17,Datos!$D$17,IF(Evalucion!AG40=Datos!$C$18,Datos!$D$18,IF(Evalucion!AG40=Datos!$C$19,Datos!$D$19,"=")))))</f>
        <v>1</v>
      </c>
      <c r="AO42">
        <f>IF(Evalucion!AP40=Datos!$C$15,Datos!$D$15,IF(Evalucion!AP40=Datos!$C$16,Datos!$D$16,IF(Evalucion!AP40=Datos!$C$17,Datos!$D$17,IF(Evalucion!AP40=Datos!$C$18,Datos!$D$18,IF(Evalucion!AP40=Datos!$C$19,Datos!$D$19,"=")))))</f>
        <v>5</v>
      </c>
      <c r="AP42">
        <f>IF(Evalucion!AQ40=Datos!$C$15,Datos!$D$15,IF(Evalucion!AQ40=Datos!$C$16,Datos!$D$16,IF(Evalucion!AQ40=Datos!$C$17,Datos!$D$17,IF(Evalucion!AQ40=Datos!$C$18,Datos!$D$18,IF(Evalucion!AQ40=Datos!$C$19,Datos!$D$19,"=")))))</f>
        <v>3</v>
      </c>
      <c r="AQ42">
        <f>IF(Evalucion!AR40=Datos!$C$15,Datos!$D$15,IF(Evalucion!AR40=Datos!$C$16,Datos!$D$16,IF(Evalucion!AR40=Datos!$C$17,Datos!$D$17,IF(Evalucion!AR40=Datos!$C$18,Datos!$D$18,IF(Evalucion!AR40=Datos!$C$19,Datos!$D$19,"=")))))</f>
        <v>1</v>
      </c>
      <c r="AR42">
        <f>IF(Evalucion!AS40=Datos!$C$15,Datos!$D$15,IF(Evalucion!AS40=Datos!$C$16,Datos!$D$16,IF(Evalucion!AS40=Datos!$C$17,Datos!$D$17,IF(Evalucion!AS40=Datos!$C$18,Datos!$D$18,IF(Evalucion!AS40=Datos!$C$19,Datos!$D$19,"=")))))</f>
        <v>1</v>
      </c>
      <c r="AS42">
        <f>IF(Evalucion!AT40=Datos!$C$15,Datos!$D$15,IF(Evalucion!AT40=Datos!$C$16,Datos!$D$16,IF(Evalucion!AT40=Datos!$C$17,Datos!$D$17,IF(Evalucion!AT40=Datos!$C$18,Datos!$D$18,IF(Evalucion!AT40=Datos!$C$19,Datos!$D$19,"=")))))</f>
        <v>5</v>
      </c>
      <c r="AT42">
        <f>IF(Evalucion!AU40=Datos!$C$15,Datos!$D$15,IF(Evalucion!AU40=Datos!$C$16,Datos!$D$16,IF(Evalucion!AU40=Datos!$C$17,Datos!$D$17,IF(Evalucion!AU40=Datos!$C$18,Datos!$D$18,IF(Evalucion!AU40=Datos!$C$19,Datos!$D$19,"=")))))</f>
        <v>5</v>
      </c>
      <c r="AV42">
        <f>IF(Evalucion!AW40=Datos!$C$15,Datos!$D$15,IF(Evalucion!AW40=Datos!$C$16,Datos!$D$16,IF(Evalucion!AW40=Datos!$C$17,Datos!$D$17,IF(Evalucion!AW40=Datos!$C$18,Datos!$D$18,IF(Evalucion!AW40=Datos!$C$19,Datos!$D$19,"=")))))</f>
        <v>1</v>
      </c>
      <c r="AW42">
        <f>IF(Evalucion!AX40=Datos!$C$15,Datos!$D$15,IF(Evalucion!AX40=Datos!$C$16,Datos!$D$16,IF(Evalucion!AX40=Datos!$C$17,Datos!$D$17,IF(Evalucion!AX40=Datos!$C$18,Datos!$D$18,IF(Evalucion!AX40=Datos!$C$19,Datos!$D$19,"=")))))</f>
        <v>1</v>
      </c>
      <c r="AX42">
        <f>IF(Evalucion!AY40=Datos!$C$15,Datos!$D$15,IF(Evalucion!AY40=Datos!$C$16,Datos!$D$16,IF(Evalucion!AY40=Datos!$C$17,Datos!$D$17,IF(Evalucion!AY40=Datos!$C$18,Datos!$D$18,IF(Evalucion!AY40=Datos!$C$19,Datos!$D$19,"=")))))</f>
        <v>5</v>
      </c>
      <c r="AY42">
        <f>IF(Evalucion!AZ40=Datos!$C$15,Datos!$D$15,IF(Evalucion!AZ40=Datos!$C$16,Datos!$D$16,IF(Evalucion!AZ40=Datos!$C$17,Datos!$D$17,IF(Evalucion!AZ40=Datos!$C$18,Datos!$D$18,IF(Evalucion!AZ40=Datos!$C$19,Datos!$D$19,"=")))))</f>
        <v>5</v>
      </c>
      <c r="AZ42">
        <f>IF(Evalucion!BA40=Datos!$C$15,Datos!$D$15,IF(Evalucion!BA40=Datos!$C$16,Datos!$D$16,IF(Evalucion!BA40=Datos!$C$17,Datos!$D$17,IF(Evalucion!BA40=Datos!$C$18,Datos!$D$18,IF(Evalucion!BA40=Datos!$C$19,Datos!$D$19,"=")))))</f>
        <v>5</v>
      </c>
      <c r="BA42">
        <f>IF(Evalucion!BB40=Datos!$C$15,Datos!$D$15,IF(Evalucion!BB40=Datos!$C$16,Datos!$D$16,IF(Evalucion!BB40=Datos!$C$17,Datos!$D$17,IF(Evalucion!BB40=Datos!$C$18,Datos!$D$18,IF(Evalucion!BB40=Datos!$C$19,Datos!$D$19,"=")))))</f>
        <v>5</v>
      </c>
      <c r="BB42">
        <f>IF(Evalucion!BC40=Datos!$C$15,Datos!$D$15,IF(Evalucion!BC40=Datos!$C$16,Datos!$D$16,IF(Evalucion!BC40=Datos!$C$17,Datos!$D$17,IF(Evalucion!BC40=Datos!$C$18,Datos!$D$18,IF(Evalucion!BC40=Datos!$C$19,Datos!$D$19,"=")))))</f>
        <v>1</v>
      </c>
      <c r="BC42">
        <f>IF(Evalucion!BD40=Datos!$C$15,Datos!$D$15,IF(Evalucion!BD40=Datos!$C$16,Datos!$D$16,IF(Evalucion!BD40=Datos!$C$17,Datos!$D$17,IF(Evalucion!BD40=Datos!$C$18,Datos!$D$18,IF(Evalucion!BD40=Datos!$C$19,Datos!$D$19,"=")))))</f>
        <v>1</v>
      </c>
      <c r="BD42">
        <f>IF(Evalucion!BE40=Datos!$C$15,Datos!$D$15,IF(Evalucion!BE40=Datos!$C$16,Datos!$D$16,IF(Evalucion!BE40=Datos!$C$17,Datos!$D$17,IF(Evalucion!BE40=Datos!$C$18,Datos!$D$18,IF(Evalucion!BE40=Datos!$C$19,Datos!$D$19,"=")))))</f>
        <v>1</v>
      </c>
      <c r="BE42">
        <f>IF(Evalucion!BF40=Datos!$C$15,Datos!$D$15,IF(Evalucion!BF40=Datos!$C$16,Datos!$D$16,IF(Evalucion!BF40=Datos!$C$17,Datos!$D$17,IF(Evalucion!BF40=Datos!$C$18,Datos!$D$18,IF(Evalucion!BF40=Datos!$C$19,Datos!$D$19,"=")))))</f>
        <v>1</v>
      </c>
      <c r="BF42">
        <f>IF(Evalucion!BG40=Datos!$C$15,Datos!$D$15,IF(Evalucion!BG40=Datos!$C$16,Datos!$D$16,IF(Evalucion!BG40=Datos!$C$17,Datos!$D$17,IF(Evalucion!BG40=Datos!$C$18,Datos!$D$18,IF(Evalucion!BG40=Datos!$C$19,Datos!$D$19,"=")))))</f>
        <v>5</v>
      </c>
      <c r="BG42">
        <f>IF(Evalucion!BH40=Datos!$C$15,Datos!$D$15,IF(Evalucion!BH40=Datos!$C$16,Datos!$D$16,IF(Evalucion!BH40=Datos!$C$17,Datos!$D$17,IF(Evalucion!BH40=Datos!$C$18,Datos!$D$18,IF(Evalucion!BH40=Datos!$C$19,Datos!$D$19,"=")))))</f>
        <v>5</v>
      </c>
      <c r="BH42">
        <f>IF(Evalucion!BI40=Datos!$C$15,Datos!$D$15,IF(Evalucion!BI40=Datos!$C$16,Datos!$D$16,IF(Evalucion!BI40=Datos!$C$17,Datos!$D$17,IF(Evalucion!BI40=Datos!$C$18,Datos!$D$18,IF(Evalucion!BI40=Datos!$C$19,Datos!$D$19,"=")))))</f>
        <v>1</v>
      </c>
      <c r="BI42">
        <f>IF(Evalucion!BJ40=Datos!$C$15,Datos!$D$15,IF(Evalucion!BJ40=Datos!$C$16,Datos!$D$16,IF(Evalucion!BJ40=Datos!$C$17,Datos!$D$17,IF(Evalucion!BJ40=Datos!$C$18,Datos!$D$18,IF(Evalucion!BJ40=Datos!$C$19,Datos!$D$19,"=")))))</f>
        <v>1</v>
      </c>
      <c r="BJ42">
        <f>IF(Evalucion!BK40=Datos!$C$15,Datos!$D$15,IF(Evalucion!BK40=Datos!$C$16,Datos!$D$16,IF(Evalucion!BK40=Datos!$C$17,Datos!$D$17,IF(Evalucion!BK40=Datos!$C$18,Datos!$D$18,IF(Evalucion!BK40=Datos!$C$19,Datos!$D$19,"=")))))</f>
        <v>1</v>
      </c>
      <c r="BK42">
        <f>IF(Evalucion!BL40=Datos!$C$15,Datos!$D$15,IF(Evalucion!BL40=Datos!$C$16,Datos!$D$16,IF(Evalucion!BL40=Datos!$C$17,Datos!$D$17,IF(Evalucion!BL40=Datos!$C$18,Datos!$D$18,IF(Evalucion!BL40=Datos!$C$19,Datos!$D$19,"=")))))</f>
        <v>1</v>
      </c>
      <c r="BL42">
        <f>IF(Evalucion!BM40=Datos!$C$15,Datos!$D$15,IF(Evalucion!BM40=Datos!$C$16,Datos!$D$16,IF(Evalucion!BM40=Datos!$C$17,Datos!$D$17,IF(Evalucion!BM40=Datos!$C$18,Datos!$D$18,IF(Evalucion!BM40=Datos!$C$19,Datos!$D$19,"=")))))</f>
        <v>1</v>
      </c>
      <c r="BM42">
        <f>IF(Evalucion!BN40=Datos!$C$15,Datos!$D$15,IF(Evalucion!BN40=Datos!$C$16,Datos!$D$16,IF(Evalucion!BN40=Datos!$C$17,Datos!$D$17,IF(Evalucion!BN40=Datos!$C$18,Datos!$D$18,IF(Evalucion!BN40=Datos!$C$19,Datos!$D$19,"=")))))</f>
        <v>1</v>
      </c>
      <c r="BN42">
        <f>IF(Evalucion!BO40=Datos!$C$15,Datos!$D$15,IF(Evalucion!BO40=Datos!$C$16,Datos!$D$16,IF(Evalucion!BO40=Datos!$C$17,Datos!$D$17,IF(Evalucion!BO40=Datos!$C$18,Datos!$D$18,IF(Evalucion!BO40=Datos!$C$19,Datos!$D$19,"=")))))</f>
        <v>5</v>
      </c>
      <c r="BO42">
        <f>IF(Evalucion!BP40=Datos!$C$15,Datos!$D$15,IF(Evalucion!BP40=Datos!$C$16,Datos!$D$16,IF(Evalucion!BP40=Datos!$C$17,Datos!$D$17,IF(Evalucion!BP40=Datos!$C$18,Datos!$D$18,IF(Evalucion!BP40=Datos!$C$19,Datos!$D$19,"=")))))</f>
        <v>5</v>
      </c>
      <c r="BP42">
        <f>IF(Evalucion!BQ40=Datos!$C$15,Datos!$D$15,IF(Evalucion!BQ40=Datos!$C$16,Datos!$D$16,IF(Evalucion!BQ40=Datos!$C$17,Datos!$D$17,IF(Evalucion!BQ40=Datos!$C$18,Datos!$D$18,IF(Evalucion!BQ40=Datos!$C$19,Datos!$D$19,"=")))))</f>
        <v>1</v>
      </c>
      <c r="BQ42">
        <f>IF(Evalucion!BR40=Datos!$C$15,Datos!$D$15,IF(Evalucion!BR40=Datos!$C$16,Datos!$D$16,IF(Evalucion!BR40=Datos!$C$17,Datos!$D$17,IF(Evalucion!BR40=Datos!$C$18,Datos!$D$18,IF(Evalucion!BR40=Datos!$C$19,Datos!$D$19,"=")))))</f>
        <v>1</v>
      </c>
      <c r="BR42">
        <f>IF(Evalucion!BS40=Datos!$C$15,Datos!$D$15,IF(Evalucion!BS40=Datos!$C$16,Datos!$D$16,IF(Evalucion!BS40=Datos!$C$17,Datos!$D$17,IF(Evalucion!BS40=Datos!$C$18,Datos!$D$18,IF(Evalucion!BS40=Datos!$C$19,Datos!$D$19,"=")))))</f>
        <v>1</v>
      </c>
      <c r="BS42">
        <f>IF(Evalucion!BT40=Datos!$C$15,Datos!$D$15,IF(Evalucion!BT40=Datos!$C$16,Datos!$D$16,IF(Evalucion!BT40=Datos!$C$17,Datos!$D$17,IF(Evalucion!BT40=Datos!$C$18,Datos!$D$18,IF(Evalucion!BT40=Datos!$C$19,Datos!$D$19,"=")))))</f>
        <v>1</v>
      </c>
      <c r="BT42">
        <f>IF(Evalucion!BU40=Datos!$C$15,Datos!$D$15,IF(Evalucion!BU40=Datos!$C$16,Datos!$D$16,IF(Evalucion!BU40=Datos!$C$17,Datos!$D$17,IF(Evalucion!BU40=Datos!$C$18,Datos!$D$18,IF(Evalucion!BU40=Datos!$C$19,Datos!$D$19,"=")))))</f>
        <v>1</v>
      </c>
      <c r="BU42">
        <f>IF(Evalucion!BV40=Datos!$C$15,Datos!$D$15,IF(Evalucion!BV40=Datos!$C$16,Datos!$D$16,IF(Evalucion!BV40=Datos!$C$17,Datos!$D$17,IF(Evalucion!BV40=Datos!$C$18,Datos!$D$18,IF(Evalucion!BV40=Datos!$C$19,Datos!$D$19,"=")))))</f>
        <v>1</v>
      </c>
      <c r="BV42">
        <f>IF(Evalucion!BW40=Datos!$C$15,Datos!$D$15,IF(Evalucion!BW40=Datos!$C$16,Datos!$D$16,IF(Evalucion!BW40=Datos!$C$17,Datos!$D$17,IF(Evalucion!BW40=Datos!$C$18,Datos!$D$18,IF(Evalucion!BW40=Datos!$C$19,Datos!$D$19,"=")))))</f>
        <v>5</v>
      </c>
      <c r="BW42">
        <f>IF(Evalucion!BX40=Datos!$C$15,Datos!$D$15,IF(Evalucion!BX40=Datos!$C$16,Datos!$D$16,IF(Evalucion!BX40=Datos!$C$17,Datos!$D$17,IF(Evalucion!BX40=Datos!$C$18,Datos!$D$18,IF(Evalucion!BX40=Datos!$C$19,Datos!$D$19,"=")))))</f>
        <v>5</v>
      </c>
      <c r="BX42">
        <f>IF(Evalucion!BY40=Datos!$C$15,Datos!$D$15,IF(Evalucion!BY40=Datos!$C$16,Datos!$D$16,IF(Evalucion!BY40=Datos!$C$17,Datos!$D$17,IF(Evalucion!BY40=Datos!$C$18,Datos!$D$18,IF(Evalucion!BY40=Datos!$C$19,Datos!$D$19,"=")))))</f>
        <v>1</v>
      </c>
      <c r="BY42">
        <f>IF(Evalucion!BZ40=Datos!$C$15,Datos!$D$15,IF(Evalucion!BZ40=Datos!$C$16,Datos!$D$16,IF(Evalucion!BZ40=Datos!$C$17,Datos!$D$17,IF(Evalucion!BZ40=Datos!$C$18,Datos!$D$18,IF(Evalucion!BZ40=Datos!$C$19,Datos!$D$19,"=")))))</f>
        <v>1</v>
      </c>
      <c r="BZ42">
        <f>IF(Evalucion!CA40=Datos!$C$15,Datos!$D$15,IF(Evalucion!CA40=Datos!$C$16,Datos!$D$16,IF(Evalucion!CA40=Datos!$C$17,Datos!$D$17,IF(Evalucion!CA40=Datos!$C$18,Datos!$D$18,IF(Evalucion!CA40=Datos!$C$19,Datos!$D$19,"=")))))</f>
        <v>1</v>
      </c>
      <c r="CA42">
        <f>IF(Evalucion!CB40=Datos!$C$15,Datos!$D$15,IF(Evalucion!CB40=Datos!$C$16,Datos!$D$16,IF(Evalucion!CB40=Datos!$C$17,Datos!$D$17,IF(Evalucion!CB40=Datos!$C$18,Datos!$D$18,IF(Evalucion!CB40=Datos!$C$19,Datos!$D$19,"=")))))</f>
        <v>1</v>
      </c>
      <c r="CB42">
        <f>IF(Evalucion!CC40=Datos!$C$15,Datos!$D$15,IF(Evalucion!CC40=Datos!$C$16,Datos!$D$16,IF(Evalucion!CC40=Datos!$C$17,Datos!$D$17,IF(Evalucion!CC40=Datos!$C$18,Datos!$D$18,IF(Evalucion!CC40=Datos!$C$19,Datos!$D$19,"=")))))</f>
        <v>5</v>
      </c>
      <c r="CC42">
        <f>IF(Evalucion!CD40=Datos!$C$15,Datos!$D$15,IF(Evalucion!CD40=Datos!$C$16,Datos!$D$16,IF(Evalucion!CD40=Datos!$C$17,Datos!$D$17,IF(Evalucion!CD40=Datos!$C$18,Datos!$D$18,IF(Evalucion!CD40=Datos!$C$19,Datos!$D$19,"=")))))</f>
        <v>5</v>
      </c>
      <c r="CD42">
        <f>IF(Evalucion!CE40=Datos!$C$15,Datos!$D$15,IF(Evalucion!CE40=Datos!$C$16,Datos!$D$16,IF(Evalucion!CE40=Datos!$C$17,Datos!$D$17,IF(Evalucion!CE40=Datos!$C$18,Datos!$D$18,IF(Evalucion!CE40=Datos!$C$19,Datos!$D$19,"=")))))</f>
        <v>5</v>
      </c>
      <c r="CE42">
        <f>IF(Evalucion!CF40=Datos!$C$15,Datos!$D$15,IF(Evalucion!CF40=Datos!$C$16,Datos!$D$16,IF(Evalucion!CF40=Datos!$C$17,Datos!$D$17,IF(Evalucion!CF40=Datos!$C$18,Datos!$D$18,IF(Evalucion!CF40=Datos!$C$19,Datos!$D$19,"=")))))</f>
        <v>1</v>
      </c>
      <c r="CF42">
        <f>IF(Evalucion!CG40=Datos!$C$15,Datos!$D$15,IF(Evalucion!CG40=Datos!$C$16,Datos!$D$16,IF(Evalucion!CG40=Datos!$C$17,Datos!$D$17,IF(Evalucion!CG40=Datos!$C$18,Datos!$D$18,IF(Evalucion!CG40=Datos!$C$19,Datos!$D$19,"=")))))</f>
        <v>1</v>
      </c>
      <c r="CG42">
        <f>IF(Evalucion!CH40=Datos!$C$15,Datos!$D$15,IF(Evalucion!CH40=Datos!$C$16,Datos!$D$16,IF(Evalucion!CH40=Datos!$C$17,Datos!$D$17,IF(Evalucion!CH40=Datos!$C$18,Datos!$D$18,IF(Evalucion!CH40=Datos!$C$19,Datos!$D$19,"=")))))</f>
        <v>1</v>
      </c>
      <c r="CH42">
        <f>IF(Evalucion!CI40=Datos!$C$15,Datos!$D$15,IF(Evalucion!CI40=Datos!$C$16,Datos!$D$16,IF(Evalucion!CI40=Datos!$C$17,Datos!$D$17,IF(Evalucion!CI40=Datos!$C$18,Datos!$D$18,IF(Evalucion!CI40=Datos!$C$19,Datos!$D$19,"=")))))</f>
        <v>1</v>
      </c>
      <c r="CI42">
        <f>IF(Evalucion!CJ40=Datos!$C$15,Datos!$D$15,IF(Evalucion!CJ40=Datos!$C$16,Datos!$D$16,IF(Evalucion!CJ40=Datos!$C$17,Datos!$D$17,IF(Evalucion!CJ40=Datos!$C$18,Datos!$D$18,IF(Evalucion!CJ40=Datos!$C$19,Datos!$D$19,"=")))))</f>
        <v>1</v>
      </c>
      <c r="CJ42">
        <f>IF(Evalucion!CK40=Datos!$C$15,Datos!$D$15,IF(Evalucion!CK40=Datos!$C$16,Datos!$D$16,IF(Evalucion!CK40=Datos!$C$17,Datos!$D$17,IF(Evalucion!CK40=Datos!$C$18,Datos!$D$18,IF(Evalucion!CK40=Datos!$C$19,Datos!$D$19,"=")))))</f>
        <v>5</v>
      </c>
      <c r="CK42">
        <f>IF(Evalucion!CL40=Datos!$C$15,Datos!$D$15,IF(Evalucion!CL40=Datos!$C$16,Datos!$D$16,IF(Evalucion!CL40=Datos!$C$17,Datos!$D$17,IF(Evalucion!CL40=Datos!$C$18,Datos!$D$18,IF(Evalucion!CL40=Datos!$C$19,Datos!$D$19,"=")))))</f>
        <v>5</v>
      </c>
      <c r="CL42">
        <f>IF(Evalucion!CM40=Datos!$C$15,Datos!$D$15,IF(Evalucion!CM40=Datos!$C$16,Datos!$D$16,IF(Evalucion!CM40=Datos!$C$17,Datos!$D$17,IF(Evalucion!CM40=Datos!$C$18,Datos!$D$18,IF(Evalucion!CM40=Datos!$C$19,Datos!$D$19,"=")))))</f>
        <v>5</v>
      </c>
      <c r="CM42">
        <f>IF(Evalucion!CN40=Datos!$C$15,Datos!$D$15,IF(Evalucion!CN40=Datos!$C$16,Datos!$D$16,IF(Evalucion!CN40=Datos!$C$17,Datos!$D$17,IF(Evalucion!CN40=Datos!$C$18,Datos!$D$18,IF(Evalucion!CN40=Datos!$C$19,Datos!$D$19,"=")))))</f>
        <v>3</v>
      </c>
      <c r="CN42">
        <f>IF(Evalucion!CO40=Datos!$C$15,Datos!$D$15,IF(Evalucion!CO40=Datos!$C$16,Datos!$D$16,IF(Evalucion!CO40=Datos!$C$17,Datos!$D$17,IF(Evalucion!CO40=Datos!$C$18,Datos!$D$18,IF(Evalucion!CO40=Datos!$C$19,Datos!$D$19,"=")))))</f>
        <v>5</v>
      </c>
      <c r="CO42">
        <f>IF(Evalucion!CP40=Datos!$C$15,Datos!$D$15,IF(Evalucion!CP40=Datos!$C$16,Datos!$D$16,IF(Evalucion!CP40=Datos!$C$17,Datos!$D$17,IF(Evalucion!CP40=Datos!$C$18,Datos!$D$18,IF(Evalucion!CP40=Datos!$C$19,Datos!$D$19,"=")))))</f>
        <v>5</v>
      </c>
      <c r="CP42">
        <f>IF(Evalucion!CQ40=Datos!$C$15,Datos!$D$15,IF(Evalucion!CQ40=Datos!$C$16,Datos!$D$16,IF(Evalucion!CQ40=Datos!$C$17,Datos!$D$17,IF(Evalucion!CQ40=Datos!$C$18,Datos!$D$18,IF(Evalucion!CQ40=Datos!$C$19,Datos!$D$19,"=")))))</f>
        <v>1</v>
      </c>
      <c r="CQ42">
        <f>IF(Evalucion!CR40=Datos!$C$15,Datos!$D$15,IF(Evalucion!CR40=Datos!$C$16,Datos!$D$16,IF(Evalucion!CR40=Datos!$C$17,Datos!$D$17,IF(Evalucion!CR40=Datos!$C$18,Datos!$D$18,IF(Evalucion!CR40=Datos!$C$19,Datos!$D$19,"=")))))</f>
        <v>1</v>
      </c>
      <c r="CR42">
        <f>IF(Evalucion!CS40=Datos!$C$15,Datos!$D$15,IF(Evalucion!CS40=Datos!$C$16,Datos!$D$16,IF(Evalucion!CS40=Datos!$C$17,Datos!$D$17,IF(Evalucion!CS40=Datos!$C$18,Datos!$D$18,IF(Evalucion!CS40=Datos!$C$19,Datos!$D$19,"=")))))</f>
        <v>1</v>
      </c>
      <c r="CS42">
        <f>IF(Evalucion!CT40=Datos!$C$15,Datos!$D$15,IF(Evalucion!CT40=Datos!$C$16,Datos!$D$16,IF(Evalucion!CT40=Datos!$C$17,Datos!$D$17,IF(Evalucion!CT40=Datos!$C$18,Datos!$D$18,IF(Evalucion!CT40=Datos!$C$19,Datos!$D$19,"=")))))</f>
        <v>1</v>
      </c>
      <c r="CT42">
        <f>IF(Evalucion!CU40=Datos!$C$15,Datos!$D$15,IF(Evalucion!CU40=Datos!$C$16,Datos!$D$16,IF(Evalucion!CU40=Datos!$C$17,Datos!$D$17,IF(Evalucion!CU40=Datos!$C$18,Datos!$D$18,IF(Evalucion!CU40=Datos!$C$19,Datos!$D$19,"=")))))</f>
        <v>1</v>
      </c>
      <c r="CU42">
        <f>IF(Evalucion!CV40=Datos!$C$15,Datos!$D$15,IF(Evalucion!CV40=Datos!$C$16,Datos!$D$16,IF(Evalucion!CV40=Datos!$C$17,Datos!$D$17,IF(Evalucion!CV40=Datos!$C$18,Datos!$D$18,IF(Evalucion!CV40=Datos!$C$19,Datos!$D$19,"=")))))</f>
        <v>1</v>
      </c>
      <c r="CV42">
        <f>IF(Evalucion!CW40=Datos!$C$15,Datos!$D$15,IF(Evalucion!CW40=Datos!$C$16,Datos!$D$16,IF(Evalucion!CW40=Datos!$C$17,Datos!$D$17,IF(Evalucion!CW40=Datos!$C$18,Datos!$D$18,IF(Evalucion!CW40=Datos!$C$19,Datos!$D$19,"=")))))</f>
        <v>5</v>
      </c>
      <c r="CW42">
        <f>IF(Evalucion!CX40=Datos!$C$15,Datos!$D$15,IF(Evalucion!CX40=Datos!$C$16,Datos!$D$16,IF(Evalucion!CX40=Datos!$C$17,Datos!$D$17,IF(Evalucion!CX40=Datos!$C$18,Datos!$D$18,IF(Evalucion!CX40=Datos!$C$19,Datos!$D$19,"=")))))</f>
        <v>3</v>
      </c>
      <c r="CX42">
        <f>IF(Evalucion!CY40=Datos!$C$15,Datos!$D$15,IF(Evalucion!CY40=Datos!$C$16,Datos!$D$16,IF(Evalucion!CY40=Datos!$C$17,Datos!$D$17,IF(Evalucion!CY40=Datos!$C$18,Datos!$D$18,IF(Evalucion!CY40=Datos!$C$19,Datos!$D$19,"=")))))</f>
        <v>5</v>
      </c>
      <c r="CY42">
        <f>IF(Evalucion!CZ40=Datos!$C$15,Datos!$D$15,IF(Evalucion!CZ40=Datos!$C$16,Datos!$D$16,IF(Evalucion!CZ40=Datos!$C$17,Datos!$D$17,IF(Evalucion!CZ40=Datos!$C$18,Datos!$D$18,IF(Evalucion!CZ40=Datos!$C$19,Datos!$D$19,"=")))))</f>
        <v>3</v>
      </c>
      <c r="CZ42">
        <f>IF(Evalucion!DA40=Datos!$C$15,Datos!$D$15,IF(Evalucion!DA40=Datos!$C$16,Datos!$D$16,IF(Evalucion!DA40=Datos!$C$17,Datos!$D$17,IF(Evalucion!DA40=Datos!$C$18,Datos!$D$18,IF(Evalucion!DA40=Datos!$C$19,Datos!$D$19,"=")))))</f>
        <v>5</v>
      </c>
      <c r="DA42">
        <f>IF(Evalucion!DB40=Datos!$C$15,Datos!$D$15,IF(Evalucion!DB40=Datos!$C$16,Datos!$D$16,IF(Evalucion!DB40=Datos!$C$17,Datos!$D$17,IF(Evalucion!DB40=Datos!$C$18,Datos!$D$18,IF(Evalucion!DB40=Datos!$C$19,Datos!$D$19,"=")))))</f>
        <v>3</v>
      </c>
      <c r="DB42">
        <f>IF(Evalucion!DC40=Datos!$C$15,Datos!$D$15,IF(Evalucion!DC40=Datos!$C$16,Datos!$D$16,IF(Evalucion!DC40=Datos!$C$17,Datos!$D$17,IF(Evalucion!DC40=Datos!$C$18,Datos!$D$18,IF(Evalucion!DC40=Datos!$C$19,Datos!$D$19,"=")))))</f>
        <v>5</v>
      </c>
      <c r="DC42">
        <f>IF(Evalucion!DD40=Datos!$C$15,Datos!$D$15,IF(Evalucion!DD40=Datos!$C$16,Datos!$D$16,IF(Evalucion!DD40=Datos!$C$17,Datos!$D$17,IF(Evalucion!DD40=Datos!$C$18,Datos!$D$18,IF(Evalucion!DD40=Datos!$C$19,Datos!$D$19,"=")))))</f>
        <v>5</v>
      </c>
      <c r="DD42">
        <f>IF(Evalucion!DE40=Datos!$C$15,Datos!$D$15,IF(Evalucion!DE40=Datos!$C$16,Datos!$D$16,IF(Evalucion!DE40=Datos!$C$17,Datos!$D$17,IF(Evalucion!DE40=Datos!$C$18,Datos!$D$18,IF(Evalucion!DE40=Datos!$C$19,Datos!$D$19,"=")))))</f>
        <v>1</v>
      </c>
      <c r="DE42">
        <f>IF(Evalucion!DF40=Datos!$C$15,Datos!$D$15,IF(Evalucion!DF40=Datos!$C$16,Datos!$D$16,IF(Evalucion!DF40=Datos!$C$17,Datos!$D$17,IF(Evalucion!DF40=Datos!$C$18,Datos!$D$18,IF(Evalucion!DF40=Datos!$C$19,Datos!$D$19,"=")))))</f>
        <v>1</v>
      </c>
      <c r="DF42">
        <f>IF(Evalucion!DG40=Datos!$C$15,Datos!$D$15,IF(Evalucion!DG40=Datos!$C$16,Datos!$D$16,IF(Evalucion!DG40=Datos!$C$17,Datos!$D$17,IF(Evalucion!DG40=Datos!$C$18,Datos!$D$18,IF(Evalucion!DG40=Datos!$C$19,Datos!$D$19,"=")))))</f>
        <v>5</v>
      </c>
      <c r="DG42">
        <f>IF(Evalucion!DH40=Datos!$C$15,Datos!$D$15,IF(Evalucion!DH40=Datos!$C$16,Datos!$D$16,IF(Evalucion!DH40=Datos!$C$17,Datos!$D$17,IF(Evalucion!DH40=Datos!$C$18,Datos!$D$18,IF(Evalucion!DH40=Datos!$C$19,Datos!$D$19,"=")))))</f>
        <v>3</v>
      </c>
      <c r="DH42">
        <f>IF(Evalucion!DI40=Datos!$C$15,Datos!$D$15,IF(Evalucion!DI40=Datos!$C$16,Datos!$D$16,IF(Evalucion!DI40=Datos!$C$17,Datos!$D$17,IF(Evalucion!DI40=Datos!$C$18,Datos!$D$18,IF(Evalucion!DI40=Datos!$C$19,Datos!$D$19,"=")))))</f>
        <v>1</v>
      </c>
      <c r="DI42">
        <f>IF(Evalucion!DJ40=Datos!$C$15,Datos!$D$15,IF(Evalucion!DJ40=Datos!$C$16,Datos!$D$16,IF(Evalucion!DJ40=Datos!$C$17,Datos!$D$17,IF(Evalucion!DJ40=Datos!$C$18,Datos!$D$18,IF(Evalucion!DJ40=Datos!$C$19,Datos!$D$19,"=")))))</f>
        <v>1</v>
      </c>
      <c r="DJ42">
        <f>IF(Evalucion!DK40=Datos!$C$15,Datos!$D$15,IF(Evalucion!DK40=Datos!$C$16,Datos!$D$16,IF(Evalucion!DK40=Datos!$C$17,Datos!$D$17,IF(Evalucion!DK40=Datos!$C$18,Datos!$D$18,IF(Evalucion!DK40=Datos!$C$19,Datos!$D$19,"=")))))</f>
        <v>1</v>
      </c>
      <c r="DK42">
        <f>IF(Evalucion!DL40=Datos!$C$15,Datos!$D$15,IF(Evalucion!DL40=Datos!$C$16,Datos!$D$16,IF(Evalucion!DL40=Datos!$C$17,Datos!$D$17,IF(Evalucion!DL40=Datos!$C$18,Datos!$D$18,IF(Evalucion!DL40=Datos!$C$19,Datos!$D$19,"=")))))</f>
        <v>1</v>
      </c>
      <c r="DL42">
        <f>IF(Evalucion!DM40=Datos!$C$15,Datos!$D$15,IF(Evalucion!DM40=Datos!$C$16,Datos!$D$16,IF(Evalucion!DM40=Datos!$C$17,Datos!$D$17,IF(Evalucion!DM40=Datos!$C$18,Datos!$D$18,IF(Evalucion!DM40=Datos!$C$19,Datos!$D$19,"=")))))</f>
        <v>1</v>
      </c>
      <c r="DM42">
        <f>IF(Evalucion!DN40=Datos!$C$15,Datos!$D$15,IF(Evalucion!DN40=Datos!$C$16,Datos!$D$16,IF(Evalucion!DN40=Datos!$C$17,Datos!$D$17,IF(Evalucion!DN40=Datos!$C$18,Datos!$D$18,IF(Evalucion!DN40=Datos!$C$19,Datos!$D$19,"=")))))</f>
        <v>1</v>
      </c>
      <c r="DN42">
        <f>IF(Evalucion!DO40=Datos!$C$15,Datos!$D$15,IF(Evalucion!DO40=Datos!$C$16,Datos!$D$16,IF(Evalucion!DO40=Datos!$C$17,Datos!$D$17,IF(Evalucion!DO40=Datos!$C$18,Datos!$D$18,IF(Evalucion!DO40=Datos!$C$19,Datos!$D$19,"=")))))</f>
        <v>5</v>
      </c>
      <c r="DO42">
        <f>IF(Evalucion!DP40=Datos!$C$15,Datos!$D$15,IF(Evalucion!DP40=Datos!$C$16,Datos!$D$16,IF(Evalucion!DP40=Datos!$C$17,Datos!$D$17,IF(Evalucion!DP40=Datos!$C$18,Datos!$D$18,IF(Evalucion!DP40=Datos!$C$19,Datos!$D$19,"=")))))</f>
        <v>1</v>
      </c>
      <c r="DP42">
        <f>IF(Evalucion!DQ40=Datos!$C$15,Datos!$D$15,IF(Evalucion!DQ40=Datos!$C$16,Datos!$D$16,IF(Evalucion!DQ40=Datos!$C$17,Datos!$D$17,IF(Evalucion!DQ40=Datos!$C$18,Datos!$D$18,IF(Evalucion!DQ40=Datos!$C$19,Datos!$D$19,"=")))))</f>
        <v>5</v>
      </c>
      <c r="DQ42">
        <f>IF(Evalucion!DR40=Datos!$C$15,Datos!$D$15,IF(Evalucion!DR40=Datos!$C$16,Datos!$D$16,IF(Evalucion!DR40=Datos!$C$17,Datos!$D$17,IF(Evalucion!DR40=Datos!$C$18,Datos!$D$18,IF(Evalucion!DR40=Datos!$C$19,Datos!$D$19,"=")))))</f>
        <v>3</v>
      </c>
      <c r="DR42">
        <f>IF(Evalucion!DS40=Datos!$C$15,Datos!$D$15,IF(Evalucion!DS40=Datos!$C$16,Datos!$D$16,IF(Evalucion!DS40=Datos!$C$17,Datos!$D$17,IF(Evalucion!DS40=Datos!$C$18,Datos!$D$18,IF(Evalucion!DS40=Datos!$C$19,Datos!$D$19,"=")))))</f>
        <v>1</v>
      </c>
      <c r="DS42">
        <f>IF(Evalucion!DT40=Datos!$C$15,Datos!$D$15,IF(Evalucion!DT40=Datos!$C$16,Datos!$D$16,IF(Evalucion!DT40=Datos!$C$17,Datos!$D$17,IF(Evalucion!DT40=Datos!$C$18,Datos!$D$18,IF(Evalucion!DT40=Datos!$C$19,Datos!$D$19,"=")))))</f>
        <v>1</v>
      </c>
      <c r="DT42">
        <f>IF(Evalucion!DU40=Datos!$C$15,Datos!$D$15,IF(Evalucion!DU40=Datos!$C$16,Datos!$D$16,IF(Evalucion!DU40=Datos!$C$17,Datos!$D$17,IF(Evalucion!DU40=Datos!$C$18,Datos!$D$18,IF(Evalucion!DU40=Datos!$C$19,Datos!$D$19,"=")))))</f>
        <v>5</v>
      </c>
      <c r="DU42">
        <f>IF(Evalucion!DV40=Datos!$C$15,Datos!$D$15,IF(Evalucion!DV40=Datos!$C$16,Datos!$D$16,IF(Evalucion!DV40=Datos!$C$17,Datos!$D$17,IF(Evalucion!DV40=Datos!$C$18,Datos!$D$18,IF(Evalucion!DV40=Datos!$C$19,Datos!$D$19,"=")))))</f>
        <v>3</v>
      </c>
      <c r="DV42">
        <f>IF(Evalucion!DW40=Datos!$C$15,Datos!$D$15,IF(Evalucion!DW40=Datos!$C$16,Datos!$D$16,IF(Evalucion!DW40=Datos!$C$17,Datos!$D$17,IF(Evalucion!DW40=Datos!$C$18,Datos!$D$18,IF(Evalucion!DW40=Datos!$C$19,Datos!$D$19,"=")))))</f>
        <v>1</v>
      </c>
      <c r="DW42">
        <f>IF(Evalucion!DX40=Datos!$C$15,Datos!$D$15,IF(Evalucion!DX40=Datos!$C$16,Datos!$D$16,IF(Evalucion!DX40=Datos!$C$17,Datos!$D$17,IF(Evalucion!DX40=Datos!$C$18,Datos!$D$18,IF(Evalucion!DX40=Datos!$C$19,Datos!$D$19,"=")))))</f>
        <v>1</v>
      </c>
      <c r="DX42">
        <f>IF(Evalucion!DY40=Datos!$C$15,Datos!$D$15,IF(Evalucion!DY40=Datos!$C$16,Datos!$D$16,IF(Evalucion!DY40=Datos!$C$17,Datos!$D$17,IF(Evalucion!DY40=Datos!$C$18,Datos!$D$18,IF(Evalucion!DY40=Datos!$C$19,Datos!$D$19,"=")))))</f>
        <v>1</v>
      </c>
      <c r="DY42">
        <f>IF(Evalucion!DZ40=Datos!$C$15,Datos!$D$15,IF(Evalucion!DZ40=Datos!$C$16,Datos!$D$16,IF(Evalucion!DZ40=Datos!$C$17,Datos!$D$17,IF(Evalucion!DZ40=Datos!$C$18,Datos!$D$18,IF(Evalucion!DZ40=Datos!$C$19,Datos!$D$19,"=")))))</f>
        <v>1</v>
      </c>
      <c r="DZ42">
        <f>IF(Evalucion!EA40=Datos!$C$15,Datos!$D$15,IF(Evalucion!EA40=Datos!$C$16,Datos!$D$16,IF(Evalucion!EA40=Datos!$C$17,Datos!$D$17,IF(Evalucion!EA40=Datos!$C$18,Datos!$D$18,IF(Evalucion!EA40=Datos!$C$19,Datos!$D$19,"=")))))</f>
        <v>5</v>
      </c>
      <c r="EA42">
        <f>IF(Evalucion!EB40=Datos!$C$15,Datos!$D$15,IF(Evalucion!EB40=Datos!$C$16,Datos!$D$16,IF(Evalucion!EB40=Datos!$C$17,Datos!$D$17,IF(Evalucion!EB40=Datos!$C$18,Datos!$D$18,IF(Evalucion!EB40=Datos!$C$19,Datos!$D$19,"=")))))</f>
        <v>5</v>
      </c>
      <c r="EB42">
        <f>IF(Evalucion!EC40=Datos!$C$15,Datos!$D$15,IF(Evalucion!EC40=Datos!$C$16,Datos!$D$16,IF(Evalucion!EC40=Datos!$C$17,Datos!$D$17,IF(Evalucion!EC40=Datos!$C$18,Datos!$D$18,IF(Evalucion!EC40=Datos!$C$19,Datos!$D$19,"=")))))</f>
        <v>5</v>
      </c>
      <c r="EC42">
        <f>IF(Evalucion!ED40=Datos!$C$15,Datos!$D$15,IF(Evalucion!ED40=Datos!$C$16,Datos!$D$16,IF(Evalucion!ED40=Datos!$C$17,Datos!$D$17,IF(Evalucion!ED40=Datos!$C$18,Datos!$D$18,IF(Evalucion!ED40=Datos!$C$19,Datos!$D$19,"=")))))</f>
        <v>3</v>
      </c>
      <c r="ED42">
        <f>IF(Evalucion!EE40=Datos!$C$15,Datos!$D$15,IF(Evalucion!EE40=Datos!$C$16,Datos!$D$16,IF(Evalucion!EE40=Datos!$C$17,Datos!$D$17,IF(Evalucion!EE40=Datos!$C$18,Datos!$D$18,IF(Evalucion!EE40=Datos!$C$19,Datos!$D$19,"=")))))</f>
        <v>5</v>
      </c>
      <c r="EE42">
        <f>IF(Evalucion!EF40=Datos!$C$15,Datos!$D$15,IF(Evalucion!EF40=Datos!$C$16,Datos!$D$16,IF(Evalucion!EF40=Datos!$C$17,Datos!$D$17,IF(Evalucion!EF40=Datos!$C$18,Datos!$D$18,IF(Evalucion!EF40=Datos!$C$19,Datos!$D$19,"=")))))</f>
        <v>1</v>
      </c>
      <c r="EF42">
        <f>IF(Evalucion!EG40=Datos!$C$15,Datos!$D$15,IF(Evalucion!EG40=Datos!$C$16,Datos!$D$16,IF(Evalucion!EG40=Datos!$C$17,Datos!$D$17,IF(Evalucion!EG40=Datos!$C$18,Datos!$D$18,IF(Evalucion!EG40=Datos!$C$19,Datos!$D$19,"=")))))</f>
        <v>5</v>
      </c>
      <c r="EG42">
        <f>IF(Evalucion!EH40=Datos!$C$15,Datos!$D$15,IF(Evalucion!EH40=Datos!$C$16,Datos!$D$16,IF(Evalucion!EH40=Datos!$C$17,Datos!$D$17,IF(Evalucion!EH40=Datos!$C$18,Datos!$D$18,IF(Evalucion!EH40=Datos!$C$19,Datos!$D$19,"=")))))</f>
        <v>5</v>
      </c>
      <c r="EH42">
        <f>IF(Evalucion!EI40=Datos!$C$15,Datos!$D$15,IF(Evalucion!EI40=Datos!$C$16,Datos!$D$16,IF(Evalucion!EI40=Datos!$C$17,Datos!$D$17,IF(Evalucion!EI40=Datos!$C$18,Datos!$D$18,IF(Evalucion!EI40=Datos!$C$19,Datos!$D$19,"=")))))</f>
        <v>1</v>
      </c>
      <c r="EI42">
        <f>IF(Evalucion!EJ40=Datos!$C$15,Datos!$D$15,IF(Evalucion!EJ40=Datos!$C$16,Datos!$D$16,IF(Evalucion!EJ40=Datos!$C$17,Datos!$D$17,IF(Evalucion!EJ40=Datos!$C$18,Datos!$D$18,IF(Evalucion!EJ40=Datos!$C$19,Datos!$D$19,"=")))))</f>
        <v>1</v>
      </c>
      <c r="EJ42">
        <f>IF(Evalucion!EK40=Datos!$C$15,Datos!$D$15,IF(Evalucion!EK40=Datos!$C$16,Datos!$D$16,IF(Evalucion!EK40=Datos!$C$17,Datos!$D$17,IF(Evalucion!EK40=Datos!$C$18,Datos!$D$18,IF(Evalucion!EK40=Datos!$C$19,Datos!$D$19,"=")))))</f>
        <v>1</v>
      </c>
      <c r="EK42">
        <f>IF(Evalucion!EL40=Datos!$C$15,Datos!$D$15,IF(Evalucion!EL40=Datos!$C$16,Datos!$D$16,IF(Evalucion!EL40=Datos!$C$17,Datos!$D$17,IF(Evalucion!EL40=Datos!$C$18,Datos!$D$18,IF(Evalucion!EL40=Datos!$C$19,Datos!$D$19,"=")))))</f>
        <v>1</v>
      </c>
      <c r="EL42">
        <f>IF(Evalucion!EM40=Datos!$C$15,Datos!$D$15,IF(Evalucion!EM40=Datos!$C$16,Datos!$D$16,IF(Evalucion!EM40=Datos!$C$17,Datos!$D$17,IF(Evalucion!EM40=Datos!$C$18,Datos!$D$18,IF(Evalucion!EM40=Datos!$C$19,Datos!$D$19,"=")))))</f>
        <v>5</v>
      </c>
      <c r="EM42">
        <f>IF(Evalucion!EN40=Datos!$C$15,Datos!$D$15,IF(Evalucion!EN40=Datos!$C$16,Datos!$D$16,IF(Evalucion!EN40=Datos!$C$17,Datos!$D$17,IF(Evalucion!EN40=Datos!$C$18,Datos!$D$18,IF(Evalucion!EN40=Datos!$C$19,Datos!$D$19,"=")))))</f>
        <v>5</v>
      </c>
      <c r="EN42">
        <f>IF(Evalucion!EO40=Datos!$C$15,Datos!$D$15,IF(Evalucion!EO40=Datos!$C$16,Datos!$D$16,IF(Evalucion!EO40=Datos!$C$17,Datos!$D$17,IF(Evalucion!EO40=Datos!$C$18,Datos!$D$18,IF(Evalucion!EO40=Datos!$C$19,Datos!$D$19,"=")))))</f>
        <v>1</v>
      </c>
      <c r="EO42">
        <f>IF(Evalucion!EP40=Datos!$C$15,Datos!$D$15,IF(Evalucion!EP40=Datos!$C$16,Datos!$D$16,IF(Evalucion!EP40=Datos!$C$17,Datos!$D$17,IF(Evalucion!EP40=Datos!$C$18,Datos!$D$18,IF(Evalucion!EP40=Datos!$C$19,Datos!$D$19,"=")))))</f>
        <v>1</v>
      </c>
      <c r="EP42">
        <f>IF(Evalucion!EQ40=Datos!$C$15,Datos!$D$15,IF(Evalucion!EQ40=Datos!$C$16,Datos!$D$16,IF(Evalucion!EQ40=Datos!$C$17,Datos!$D$17,IF(Evalucion!EQ40=Datos!$C$18,Datos!$D$18,IF(Evalucion!EQ40=Datos!$C$19,Datos!$D$19,"=")))))</f>
        <v>1</v>
      </c>
      <c r="EQ42">
        <f>IF(Evalucion!ER40=Datos!$C$15,Datos!$D$15,IF(Evalucion!ER40=Datos!$C$16,Datos!$D$16,IF(Evalucion!ER40=Datos!$C$17,Datos!$D$17,IF(Evalucion!ER40=Datos!$C$18,Datos!$D$18,IF(Evalucion!ER40=Datos!$C$19,Datos!$D$19,"=")))))</f>
        <v>1</v>
      </c>
      <c r="ER42">
        <f>IF(Evalucion!ES40=Datos!$C$15,Datos!$D$15,IF(Evalucion!ES40=Datos!$C$16,Datos!$D$16,IF(Evalucion!ES40=Datos!$C$17,Datos!$D$17,IF(Evalucion!ES40=Datos!$C$18,Datos!$D$18,IF(Evalucion!ES40=Datos!$C$19,Datos!$D$19,"=")))))</f>
        <v>5</v>
      </c>
      <c r="ES42">
        <f>IF(Evalucion!ET40=Datos!$C$15,Datos!$D$15,IF(Evalucion!ET40=Datos!$C$16,Datos!$D$16,IF(Evalucion!ET40=Datos!$C$17,Datos!$D$17,IF(Evalucion!ET40=Datos!$C$18,Datos!$D$18,IF(Evalucion!ET40=Datos!$C$19,Datos!$D$19,"=")))))</f>
        <v>5</v>
      </c>
      <c r="ET42">
        <f>IF(Evalucion!EU40=Datos!$C$15,Datos!$D$15,IF(Evalucion!EU40=Datos!$C$16,Datos!$D$16,IF(Evalucion!EU40=Datos!$C$17,Datos!$D$17,IF(Evalucion!EU40=Datos!$C$18,Datos!$D$18,IF(Evalucion!EU40=Datos!$C$19,Datos!$D$19,"=")))))</f>
        <v>5</v>
      </c>
      <c r="EU42">
        <f>IF(Evalucion!EV40=Datos!$C$15,Datos!$D$15,IF(Evalucion!EV40=Datos!$C$16,Datos!$D$16,IF(Evalucion!EV40=Datos!$C$17,Datos!$D$17,IF(Evalucion!EV40=Datos!$C$18,Datos!$D$18,IF(Evalucion!EV40=Datos!$C$19,Datos!$D$19,"=")))))</f>
        <v>1</v>
      </c>
      <c r="EV42">
        <f>IF(Evalucion!EW40=Datos!$C$15,Datos!$D$15,IF(Evalucion!EW40=Datos!$C$16,Datos!$D$16,IF(Evalucion!EW40=Datos!$C$17,Datos!$D$17,IF(Evalucion!EW40=Datos!$C$18,Datos!$D$18,IF(Evalucion!EW40=Datos!$C$19,Datos!$D$19,"=")))))</f>
        <v>5</v>
      </c>
      <c r="EW42">
        <f>IF(Evalucion!EX40=Datos!$C$15,Datos!$D$15,IF(Evalucion!EX40=Datos!$C$16,Datos!$D$16,IF(Evalucion!EX40=Datos!$C$17,Datos!$D$17,IF(Evalucion!EX40=Datos!$C$18,Datos!$D$18,IF(Evalucion!EX40=Datos!$C$19,Datos!$D$19,"=")))))</f>
        <v>5</v>
      </c>
      <c r="EX42">
        <f>IF(Evalucion!EY40=Datos!$C$15,Datos!$D$15,IF(Evalucion!EY40=Datos!$C$16,Datos!$D$16,IF(Evalucion!EY40=Datos!$C$17,Datos!$D$17,IF(Evalucion!EY40=Datos!$C$18,Datos!$D$18,IF(Evalucion!EY40=Datos!$C$19,Datos!$D$19,"=")))))</f>
        <v>5</v>
      </c>
      <c r="EY42">
        <f>IF(Evalucion!EZ40=Datos!$C$15,Datos!$D$15,IF(Evalucion!EZ40=Datos!$C$16,Datos!$D$16,IF(Evalucion!EZ40=Datos!$C$17,Datos!$D$17,IF(Evalucion!EZ40=Datos!$C$18,Datos!$D$18,IF(Evalucion!EZ40=Datos!$C$19,Datos!$D$19,"=")))))</f>
        <v>1</v>
      </c>
      <c r="FA42">
        <f t="shared" si="8"/>
        <v>207</v>
      </c>
      <c r="FB42">
        <f t="shared" si="8"/>
        <v>161</v>
      </c>
      <c r="FC42" s="3">
        <f t="shared" si="4"/>
        <v>0.42933333333333334</v>
      </c>
      <c r="FD42" t="str">
        <f t="shared" si="9"/>
        <v>NO_Conf</v>
      </c>
      <c r="FF42">
        <f t="shared" si="5"/>
        <v>368</v>
      </c>
      <c r="FG42">
        <f t="shared" si="6"/>
        <v>0</v>
      </c>
    </row>
    <row r="43" spans="1:163" x14ac:dyDescent="0.2">
      <c r="A43">
        <f t="shared" si="7"/>
        <v>40</v>
      </c>
      <c r="B43" t="s">
        <v>284</v>
      </c>
      <c r="C43" t="s">
        <v>190</v>
      </c>
      <c r="D43" s="1">
        <v>43374</v>
      </c>
      <c r="E43">
        <f>IF(Evalucion!F41=Datos!$C$15,Datos!$D$15,IF(Evalucion!F41=Datos!$C$16,Datos!$D$16,IF(Evalucion!F41=Datos!$C$17,Datos!$D$17,IF(Evalucion!F41=Datos!$C$18,Datos!$D$18,IF(Evalucion!F41=Datos!$C$19,Datos!$D$19,"=")))))</f>
        <v>5</v>
      </c>
      <c r="F43">
        <f>IF(Evalucion!G41=Datos!$C$15,Datos!$D$15,IF(Evalucion!G41=Datos!$C$16,Datos!$D$16,IF(Evalucion!G41=Datos!$C$17,Datos!$D$17,IF(Evalucion!G41=Datos!$C$18,Datos!$D$18,IF(Evalucion!G41=Datos!$C$19,Datos!$D$19,"=")))))</f>
        <v>5</v>
      </c>
      <c r="G43">
        <f>IF(Evalucion!H41=Datos!$C$15,Datos!$D$15,IF(Evalucion!H41=Datos!$C$16,Datos!$D$16,IF(Evalucion!H41=Datos!$C$17,Datos!$D$17,IF(Evalucion!H41=Datos!$C$18,Datos!$D$18,IF(Evalucion!H41=Datos!$C$19,Datos!$D$19,"=")))))</f>
        <v>1</v>
      </c>
      <c r="H43">
        <f>IF(Evalucion!I41=Datos!$C$15,Datos!$D$15,IF(Evalucion!I41=Datos!$C$16,Datos!$D$16,IF(Evalucion!I41=Datos!$C$17,Datos!$D$17,IF(Evalucion!I41=Datos!$C$18,Datos!$D$18,IF(Evalucion!I41=Datos!$C$19,Datos!$D$19,"=")))))</f>
        <v>1</v>
      </c>
      <c r="I43">
        <f>IF(Evalucion!J41=Datos!$C$15,Datos!$D$15,IF(Evalucion!J41=Datos!$C$16,Datos!$D$16,IF(Evalucion!J41=Datos!$C$17,Datos!$D$17,IF(Evalucion!J41=Datos!$C$18,Datos!$D$18,IF(Evalucion!J41=Datos!$C$19,Datos!$D$19,"=")))))</f>
        <v>1</v>
      </c>
      <c r="J43">
        <f>IF(Evalucion!K41=Datos!$C$15,Datos!$D$15,IF(Evalucion!K41=Datos!$C$16,Datos!$D$16,IF(Evalucion!K41=Datos!$C$17,Datos!$D$17,IF(Evalucion!K41=Datos!$C$18,Datos!$D$18,IF(Evalucion!K41=Datos!$C$19,Datos!$D$19,"=")))))</f>
        <v>1</v>
      </c>
      <c r="K43">
        <f>IF(Evalucion!L41=Datos!$C$15,Datos!$D$15,IF(Evalucion!L41=Datos!$C$16,Datos!$D$16,IF(Evalucion!L41=Datos!$C$17,Datos!$D$17,IF(Evalucion!L41=Datos!$C$18,Datos!$D$18,IF(Evalucion!L41=Datos!$C$19,Datos!$D$19,"=")))))</f>
        <v>1</v>
      </c>
      <c r="L43">
        <f>IF(Evalucion!M41=Datos!$C$15,Datos!$D$15,IF(Evalucion!M41=Datos!$C$16,Datos!$D$16,IF(Evalucion!M41=Datos!$C$17,Datos!$D$17,IF(Evalucion!M41=Datos!$C$18,Datos!$D$18,IF(Evalucion!M41=Datos!$C$19,Datos!$D$19,"=")))))</f>
        <v>5</v>
      </c>
      <c r="M43">
        <f>IF(Evalucion!N41=Datos!$C$15,Datos!$D$15,IF(Evalucion!N41=Datos!$C$16,Datos!$D$16,IF(Evalucion!N41=Datos!$C$17,Datos!$D$17,IF(Evalucion!N41=Datos!$C$18,Datos!$D$18,IF(Evalucion!N41=Datos!$C$19,Datos!$D$19,"=")))))</f>
        <v>5</v>
      </c>
      <c r="N43">
        <f>IF(Evalucion!O41=Datos!$C$15,Datos!$D$15,IF(Evalucion!O41=Datos!$C$16,Datos!$D$16,IF(Evalucion!O41=Datos!$C$17,Datos!$D$17,IF(Evalucion!O41=Datos!$C$18,Datos!$D$18,IF(Evalucion!O41=Datos!$C$19,Datos!$D$19,"=")))))</f>
        <v>3</v>
      </c>
      <c r="O43">
        <f>IF(Evalucion!P41=Datos!$C$15,Datos!$D$15,IF(Evalucion!P41=Datos!$C$16,Datos!$D$16,IF(Evalucion!P41=Datos!$C$17,Datos!$D$17,IF(Evalucion!P41=Datos!$C$18,Datos!$D$18,IF(Evalucion!P41=Datos!$C$19,Datos!$D$19,"=")))))</f>
        <v>1</v>
      </c>
      <c r="P43">
        <f>IF(Evalucion!Q41=Datos!$C$15,Datos!$D$15,IF(Evalucion!Q41=Datos!$C$16,Datos!$D$16,IF(Evalucion!Q41=Datos!$C$17,Datos!$D$17,IF(Evalucion!Q41=Datos!$C$18,Datos!$D$18,IF(Evalucion!Q41=Datos!$C$19,Datos!$D$19,"=")))))</f>
        <v>1</v>
      </c>
      <c r="Q43">
        <f>IF(Evalucion!R41=Datos!$C$15,Datos!$D$15,IF(Evalucion!R41=Datos!$C$16,Datos!$D$16,IF(Evalucion!R41=Datos!$C$17,Datos!$D$17,IF(Evalucion!R41=Datos!$C$18,Datos!$D$18,IF(Evalucion!R41=Datos!$C$19,Datos!$D$19,"=")))))</f>
        <v>5</v>
      </c>
      <c r="R43">
        <f>IF(Evalucion!S41=Datos!$C$15,Datos!$D$15,IF(Evalucion!S41=Datos!$C$16,Datos!$D$16,IF(Evalucion!S41=Datos!$C$17,Datos!$D$17,IF(Evalucion!S41=Datos!$C$18,Datos!$D$18,IF(Evalucion!S41=Datos!$C$19,Datos!$D$19,"=")))))</f>
        <v>1</v>
      </c>
      <c r="S43">
        <f>IF(Evalucion!T41=Datos!$C$15,Datos!$D$15,IF(Evalucion!T41=Datos!$C$16,Datos!$D$16,IF(Evalucion!T41=Datos!$C$17,Datos!$D$17,IF(Evalucion!T41=Datos!$C$18,Datos!$D$18,IF(Evalucion!T41=Datos!$C$19,Datos!$D$19,"=")))))</f>
        <v>1</v>
      </c>
      <c r="T43">
        <f>IF(Evalucion!U41=Datos!$C$15,Datos!$D$15,IF(Evalucion!U41=Datos!$C$16,Datos!$D$16,IF(Evalucion!U41=Datos!$C$17,Datos!$D$17,IF(Evalucion!U41=Datos!$C$18,Datos!$D$18,IF(Evalucion!U41=Datos!$C$19,Datos!$D$19,"=")))))</f>
        <v>1</v>
      </c>
      <c r="U43">
        <f>IF(Evalucion!V41=Datos!$C$15,Datos!$D$15,IF(Evalucion!V41=Datos!$C$16,Datos!$D$16,IF(Evalucion!V41=Datos!$C$17,Datos!$D$17,IF(Evalucion!V41=Datos!$C$18,Datos!$D$18,IF(Evalucion!V41=Datos!$C$19,Datos!$D$19,"=")))))</f>
        <v>1</v>
      </c>
      <c r="V43">
        <f>IF(Evalucion!W41=Datos!$C$15,Datos!$D$15,IF(Evalucion!W41=Datos!$C$16,Datos!$D$16,IF(Evalucion!W41=Datos!$C$17,Datos!$D$17,IF(Evalucion!W41=Datos!$C$18,Datos!$D$18,IF(Evalucion!W41=Datos!$C$19,Datos!$D$19,"=")))))</f>
        <v>1</v>
      </c>
      <c r="W43">
        <f>IF(Evalucion!X41=Datos!$C$15,Datos!$D$15,IF(Evalucion!X41=Datos!$C$16,Datos!$D$16,IF(Evalucion!X41=Datos!$C$17,Datos!$D$17,IF(Evalucion!X41=Datos!$C$18,Datos!$D$18,IF(Evalucion!X41=Datos!$C$19,Datos!$D$19,"=")))))</f>
        <v>1</v>
      </c>
      <c r="X43">
        <f>IF(Evalucion!Y41=Datos!$C$15,Datos!$D$15,IF(Evalucion!Y41=Datos!$C$16,Datos!$D$16,IF(Evalucion!Y41=Datos!$C$17,Datos!$D$17,IF(Evalucion!Y41=Datos!$C$18,Datos!$D$18,IF(Evalucion!Y41=Datos!$C$19,Datos!$D$19,"=")))))</f>
        <v>1</v>
      </c>
      <c r="Y43">
        <f>IF(Evalucion!Z41=Datos!$C$15,Datos!$D$15,IF(Evalucion!Z41=Datos!$C$16,Datos!$D$16,IF(Evalucion!Z41=Datos!$C$17,Datos!$D$17,IF(Evalucion!Z41=Datos!$C$18,Datos!$D$18,IF(Evalucion!Z41=Datos!$C$19,Datos!$D$19,"=")))))</f>
        <v>1</v>
      </c>
      <c r="Z43">
        <f>IF(Evalucion!AA41=Datos!$C$15,Datos!$D$15,IF(Evalucion!AA41=Datos!$C$16,Datos!$D$16,IF(Evalucion!AA41=Datos!$C$17,Datos!$D$17,IF(Evalucion!AA41=Datos!$C$18,Datos!$D$18,IF(Evalucion!AA41=Datos!$C$19,Datos!$D$19,"=")))))</f>
        <v>1</v>
      </c>
      <c r="AA43">
        <f>IF(Evalucion!AB41=Datos!$C$15,Datos!$D$15,IF(Evalucion!AB41=Datos!$C$16,Datos!$D$16,IF(Evalucion!AB41=Datos!$C$17,Datos!$D$17,IF(Evalucion!AB41=Datos!$C$18,Datos!$D$18,IF(Evalucion!AB41=Datos!$C$19,Datos!$D$19,"=")))))</f>
        <v>1</v>
      </c>
      <c r="AB43">
        <f>IF(Evalucion!AC41=Datos!$C$15,Datos!$D$15,IF(Evalucion!AC41=Datos!$C$16,Datos!$D$16,IF(Evalucion!AC41=Datos!$C$17,Datos!$D$17,IF(Evalucion!AC41=Datos!$C$18,Datos!$D$18,IF(Evalucion!AC41=Datos!$C$19,Datos!$D$19,"=")))))</f>
        <v>1</v>
      </c>
      <c r="AC43">
        <f>IF(Evalucion!AD41=Datos!$C$15,Datos!$D$15,IF(Evalucion!AD41=Datos!$C$16,Datos!$D$16,IF(Evalucion!AD41=Datos!$C$17,Datos!$D$17,IF(Evalucion!AD41=Datos!$C$18,Datos!$D$18,IF(Evalucion!AD41=Datos!$C$19,Datos!$D$19,"=")))))</f>
        <v>5</v>
      </c>
      <c r="AD43">
        <f>IF(Evalucion!AE41=Datos!$C$15,Datos!$D$15,IF(Evalucion!AE41=Datos!$C$16,Datos!$D$16,IF(Evalucion!AE41=Datos!$C$17,Datos!$D$17,IF(Evalucion!AE41=Datos!$C$18,Datos!$D$18,IF(Evalucion!AE41=Datos!$C$19,Datos!$D$19,"=")))))</f>
        <v>3</v>
      </c>
      <c r="AE43">
        <f>IF(Evalucion!AF41=Datos!$C$15,Datos!$D$15,IF(Evalucion!AF41=Datos!$C$16,Datos!$D$16,IF(Evalucion!AF41=Datos!$C$17,Datos!$D$17,IF(Evalucion!AF41=Datos!$C$18,Datos!$D$18,IF(Evalucion!AF41=Datos!$C$19,Datos!$D$19,"=")))))</f>
        <v>5</v>
      </c>
      <c r="AF43">
        <f>IF(Evalucion!AG41=Datos!$C$15,Datos!$D$15,IF(Evalucion!AG41=Datos!$C$16,Datos!$D$16,IF(Evalucion!AG41=Datos!$C$17,Datos!$D$17,IF(Evalucion!AG41=Datos!$C$18,Datos!$D$18,IF(Evalucion!AG41=Datos!$C$19,Datos!$D$19,"=")))))</f>
        <v>1</v>
      </c>
      <c r="AO43">
        <f>IF(Evalucion!AP41=Datos!$C$15,Datos!$D$15,IF(Evalucion!AP41=Datos!$C$16,Datos!$D$16,IF(Evalucion!AP41=Datos!$C$17,Datos!$D$17,IF(Evalucion!AP41=Datos!$C$18,Datos!$D$18,IF(Evalucion!AP41=Datos!$C$19,Datos!$D$19,"=")))))</f>
        <v>5</v>
      </c>
      <c r="AP43">
        <f>IF(Evalucion!AQ41=Datos!$C$15,Datos!$D$15,IF(Evalucion!AQ41=Datos!$C$16,Datos!$D$16,IF(Evalucion!AQ41=Datos!$C$17,Datos!$D$17,IF(Evalucion!AQ41=Datos!$C$18,Datos!$D$18,IF(Evalucion!AQ41=Datos!$C$19,Datos!$D$19,"=")))))</f>
        <v>3</v>
      </c>
      <c r="AQ43">
        <f>IF(Evalucion!AR41=Datos!$C$15,Datos!$D$15,IF(Evalucion!AR41=Datos!$C$16,Datos!$D$16,IF(Evalucion!AR41=Datos!$C$17,Datos!$D$17,IF(Evalucion!AR41=Datos!$C$18,Datos!$D$18,IF(Evalucion!AR41=Datos!$C$19,Datos!$D$19,"=")))))</f>
        <v>1</v>
      </c>
      <c r="AR43">
        <f>IF(Evalucion!AS41=Datos!$C$15,Datos!$D$15,IF(Evalucion!AS41=Datos!$C$16,Datos!$D$16,IF(Evalucion!AS41=Datos!$C$17,Datos!$D$17,IF(Evalucion!AS41=Datos!$C$18,Datos!$D$18,IF(Evalucion!AS41=Datos!$C$19,Datos!$D$19,"=")))))</f>
        <v>1</v>
      </c>
      <c r="AS43">
        <f>IF(Evalucion!AT41=Datos!$C$15,Datos!$D$15,IF(Evalucion!AT41=Datos!$C$16,Datos!$D$16,IF(Evalucion!AT41=Datos!$C$17,Datos!$D$17,IF(Evalucion!AT41=Datos!$C$18,Datos!$D$18,IF(Evalucion!AT41=Datos!$C$19,Datos!$D$19,"=")))))</f>
        <v>5</v>
      </c>
      <c r="AT43">
        <f>IF(Evalucion!AU41=Datos!$C$15,Datos!$D$15,IF(Evalucion!AU41=Datos!$C$16,Datos!$D$16,IF(Evalucion!AU41=Datos!$C$17,Datos!$D$17,IF(Evalucion!AU41=Datos!$C$18,Datos!$D$18,IF(Evalucion!AU41=Datos!$C$19,Datos!$D$19,"=")))))</f>
        <v>5</v>
      </c>
      <c r="AV43">
        <f>IF(Evalucion!AW41=Datos!$C$15,Datos!$D$15,IF(Evalucion!AW41=Datos!$C$16,Datos!$D$16,IF(Evalucion!AW41=Datos!$C$17,Datos!$D$17,IF(Evalucion!AW41=Datos!$C$18,Datos!$D$18,IF(Evalucion!AW41=Datos!$C$19,Datos!$D$19,"=")))))</f>
        <v>1</v>
      </c>
      <c r="AW43">
        <f>IF(Evalucion!AX41=Datos!$C$15,Datos!$D$15,IF(Evalucion!AX41=Datos!$C$16,Datos!$D$16,IF(Evalucion!AX41=Datos!$C$17,Datos!$D$17,IF(Evalucion!AX41=Datos!$C$18,Datos!$D$18,IF(Evalucion!AX41=Datos!$C$19,Datos!$D$19,"=")))))</f>
        <v>1</v>
      </c>
      <c r="AX43">
        <f>IF(Evalucion!AY41=Datos!$C$15,Datos!$D$15,IF(Evalucion!AY41=Datos!$C$16,Datos!$D$16,IF(Evalucion!AY41=Datos!$C$17,Datos!$D$17,IF(Evalucion!AY41=Datos!$C$18,Datos!$D$18,IF(Evalucion!AY41=Datos!$C$19,Datos!$D$19,"=")))))</f>
        <v>5</v>
      </c>
      <c r="AY43">
        <f>IF(Evalucion!AZ41=Datos!$C$15,Datos!$D$15,IF(Evalucion!AZ41=Datos!$C$16,Datos!$D$16,IF(Evalucion!AZ41=Datos!$C$17,Datos!$D$17,IF(Evalucion!AZ41=Datos!$C$18,Datos!$D$18,IF(Evalucion!AZ41=Datos!$C$19,Datos!$D$19,"=")))))</f>
        <v>5</v>
      </c>
      <c r="AZ43">
        <f>IF(Evalucion!BA41=Datos!$C$15,Datos!$D$15,IF(Evalucion!BA41=Datos!$C$16,Datos!$D$16,IF(Evalucion!BA41=Datos!$C$17,Datos!$D$17,IF(Evalucion!BA41=Datos!$C$18,Datos!$D$18,IF(Evalucion!BA41=Datos!$C$19,Datos!$D$19,"=")))))</f>
        <v>5</v>
      </c>
      <c r="BA43">
        <f>IF(Evalucion!BB41=Datos!$C$15,Datos!$D$15,IF(Evalucion!BB41=Datos!$C$16,Datos!$D$16,IF(Evalucion!BB41=Datos!$C$17,Datos!$D$17,IF(Evalucion!BB41=Datos!$C$18,Datos!$D$18,IF(Evalucion!BB41=Datos!$C$19,Datos!$D$19,"=")))))</f>
        <v>5</v>
      </c>
      <c r="BB43">
        <f>IF(Evalucion!BC41=Datos!$C$15,Datos!$D$15,IF(Evalucion!BC41=Datos!$C$16,Datos!$D$16,IF(Evalucion!BC41=Datos!$C$17,Datos!$D$17,IF(Evalucion!BC41=Datos!$C$18,Datos!$D$18,IF(Evalucion!BC41=Datos!$C$19,Datos!$D$19,"=")))))</f>
        <v>1</v>
      </c>
      <c r="BC43">
        <f>IF(Evalucion!BD41=Datos!$C$15,Datos!$D$15,IF(Evalucion!BD41=Datos!$C$16,Datos!$D$16,IF(Evalucion!BD41=Datos!$C$17,Datos!$D$17,IF(Evalucion!BD41=Datos!$C$18,Datos!$D$18,IF(Evalucion!BD41=Datos!$C$19,Datos!$D$19,"=")))))</f>
        <v>1</v>
      </c>
      <c r="BD43">
        <f>IF(Evalucion!BE41=Datos!$C$15,Datos!$D$15,IF(Evalucion!BE41=Datos!$C$16,Datos!$D$16,IF(Evalucion!BE41=Datos!$C$17,Datos!$D$17,IF(Evalucion!BE41=Datos!$C$18,Datos!$D$18,IF(Evalucion!BE41=Datos!$C$19,Datos!$D$19,"=")))))</f>
        <v>1</v>
      </c>
      <c r="BE43">
        <f>IF(Evalucion!BF41=Datos!$C$15,Datos!$D$15,IF(Evalucion!BF41=Datos!$C$16,Datos!$D$16,IF(Evalucion!BF41=Datos!$C$17,Datos!$D$17,IF(Evalucion!BF41=Datos!$C$18,Datos!$D$18,IF(Evalucion!BF41=Datos!$C$19,Datos!$D$19,"=")))))</f>
        <v>1</v>
      </c>
      <c r="BF43">
        <f>IF(Evalucion!BG41=Datos!$C$15,Datos!$D$15,IF(Evalucion!BG41=Datos!$C$16,Datos!$D$16,IF(Evalucion!BG41=Datos!$C$17,Datos!$D$17,IF(Evalucion!BG41=Datos!$C$18,Datos!$D$18,IF(Evalucion!BG41=Datos!$C$19,Datos!$D$19,"=")))))</f>
        <v>5</v>
      </c>
      <c r="BG43">
        <f>IF(Evalucion!BH41=Datos!$C$15,Datos!$D$15,IF(Evalucion!BH41=Datos!$C$16,Datos!$D$16,IF(Evalucion!BH41=Datos!$C$17,Datos!$D$17,IF(Evalucion!BH41=Datos!$C$18,Datos!$D$18,IF(Evalucion!BH41=Datos!$C$19,Datos!$D$19,"=")))))</f>
        <v>5</v>
      </c>
      <c r="BH43">
        <f>IF(Evalucion!BI41=Datos!$C$15,Datos!$D$15,IF(Evalucion!BI41=Datos!$C$16,Datos!$D$16,IF(Evalucion!BI41=Datos!$C$17,Datos!$D$17,IF(Evalucion!BI41=Datos!$C$18,Datos!$D$18,IF(Evalucion!BI41=Datos!$C$19,Datos!$D$19,"=")))))</f>
        <v>1</v>
      </c>
      <c r="BI43">
        <f>IF(Evalucion!BJ41=Datos!$C$15,Datos!$D$15,IF(Evalucion!BJ41=Datos!$C$16,Datos!$D$16,IF(Evalucion!BJ41=Datos!$C$17,Datos!$D$17,IF(Evalucion!BJ41=Datos!$C$18,Datos!$D$18,IF(Evalucion!BJ41=Datos!$C$19,Datos!$D$19,"=")))))</f>
        <v>1</v>
      </c>
      <c r="BJ43">
        <f>IF(Evalucion!BK41=Datos!$C$15,Datos!$D$15,IF(Evalucion!BK41=Datos!$C$16,Datos!$D$16,IF(Evalucion!BK41=Datos!$C$17,Datos!$D$17,IF(Evalucion!BK41=Datos!$C$18,Datos!$D$18,IF(Evalucion!BK41=Datos!$C$19,Datos!$D$19,"=")))))</f>
        <v>1</v>
      </c>
      <c r="BK43">
        <f>IF(Evalucion!BL41=Datos!$C$15,Datos!$D$15,IF(Evalucion!BL41=Datos!$C$16,Datos!$D$16,IF(Evalucion!BL41=Datos!$C$17,Datos!$D$17,IF(Evalucion!BL41=Datos!$C$18,Datos!$D$18,IF(Evalucion!BL41=Datos!$C$19,Datos!$D$19,"=")))))</f>
        <v>1</v>
      </c>
      <c r="BL43">
        <f>IF(Evalucion!BM41=Datos!$C$15,Datos!$D$15,IF(Evalucion!BM41=Datos!$C$16,Datos!$D$16,IF(Evalucion!BM41=Datos!$C$17,Datos!$D$17,IF(Evalucion!BM41=Datos!$C$18,Datos!$D$18,IF(Evalucion!BM41=Datos!$C$19,Datos!$D$19,"=")))))</f>
        <v>1</v>
      </c>
      <c r="BM43">
        <f>IF(Evalucion!BN41=Datos!$C$15,Datos!$D$15,IF(Evalucion!BN41=Datos!$C$16,Datos!$D$16,IF(Evalucion!BN41=Datos!$C$17,Datos!$D$17,IF(Evalucion!BN41=Datos!$C$18,Datos!$D$18,IF(Evalucion!BN41=Datos!$C$19,Datos!$D$19,"=")))))</f>
        <v>1</v>
      </c>
      <c r="BN43">
        <f>IF(Evalucion!BO41=Datos!$C$15,Datos!$D$15,IF(Evalucion!BO41=Datos!$C$16,Datos!$D$16,IF(Evalucion!BO41=Datos!$C$17,Datos!$D$17,IF(Evalucion!BO41=Datos!$C$18,Datos!$D$18,IF(Evalucion!BO41=Datos!$C$19,Datos!$D$19,"=")))))</f>
        <v>5</v>
      </c>
      <c r="BO43">
        <f>IF(Evalucion!BP41=Datos!$C$15,Datos!$D$15,IF(Evalucion!BP41=Datos!$C$16,Datos!$D$16,IF(Evalucion!BP41=Datos!$C$17,Datos!$D$17,IF(Evalucion!BP41=Datos!$C$18,Datos!$D$18,IF(Evalucion!BP41=Datos!$C$19,Datos!$D$19,"=")))))</f>
        <v>5</v>
      </c>
      <c r="BP43">
        <f>IF(Evalucion!BQ41=Datos!$C$15,Datos!$D$15,IF(Evalucion!BQ41=Datos!$C$16,Datos!$D$16,IF(Evalucion!BQ41=Datos!$C$17,Datos!$D$17,IF(Evalucion!BQ41=Datos!$C$18,Datos!$D$18,IF(Evalucion!BQ41=Datos!$C$19,Datos!$D$19,"=")))))</f>
        <v>1</v>
      </c>
      <c r="BQ43">
        <f>IF(Evalucion!BR41=Datos!$C$15,Datos!$D$15,IF(Evalucion!BR41=Datos!$C$16,Datos!$D$16,IF(Evalucion!BR41=Datos!$C$17,Datos!$D$17,IF(Evalucion!BR41=Datos!$C$18,Datos!$D$18,IF(Evalucion!BR41=Datos!$C$19,Datos!$D$19,"=")))))</f>
        <v>1</v>
      </c>
      <c r="BR43">
        <f>IF(Evalucion!BS41=Datos!$C$15,Datos!$D$15,IF(Evalucion!BS41=Datos!$C$16,Datos!$D$16,IF(Evalucion!BS41=Datos!$C$17,Datos!$D$17,IF(Evalucion!BS41=Datos!$C$18,Datos!$D$18,IF(Evalucion!BS41=Datos!$C$19,Datos!$D$19,"=")))))</f>
        <v>1</v>
      </c>
      <c r="BS43">
        <f>IF(Evalucion!BT41=Datos!$C$15,Datos!$D$15,IF(Evalucion!BT41=Datos!$C$16,Datos!$D$16,IF(Evalucion!BT41=Datos!$C$17,Datos!$D$17,IF(Evalucion!BT41=Datos!$C$18,Datos!$D$18,IF(Evalucion!BT41=Datos!$C$19,Datos!$D$19,"=")))))</f>
        <v>1</v>
      </c>
      <c r="BT43">
        <f>IF(Evalucion!BU41=Datos!$C$15,Datos!$D$15,IF(Evalucion!BU41=Datos!$C$16,Datos!$D$16,IF(Evalucion!BU41=Datos!$C$17,Datos!$D$17,IF(Evalucion!BU41=Datos!$C$18,Datos!$D$18,IF(Evalucion!BU41=Datos!$C$19,Datos!$D$19,"=")))))</f>
        <v>1</v>
      </c>
      <c r="BU43">
        <f>IF(Evalucion!BV41=Datos!$C$15,Datos!$D$15,IF(Evalucion!BV41=Datos!$C$16,Datos!$D$16,IF(Evalucion!BV41=Datos!$C$17,Datos!$D$17,IF(Evalucion!BV41=Datos!$C$18,Datos!$D$18,IF(Evalucion!BV41=Datos!$C$19,Datos!$D$19,"=")))))</f>
        <v>1</v>
      </c>
      <c r="BV43">
        <f>IF(Evalucion!BW41=Datos!$C$15,Datos!$D$15,IF(Evalucion!BW41=Datos!$C$16,Datos!$D$16,IF(Evalucion!BW41=Datos!$C$17,Datos!$D$17,IF(Evalucion!BW41=Datos!$C$18,Datos!$D$18,IF(Evalucion!BW41=Datos!$C$19,Datos!$D$19,"=")))))</f>
        <v>5</v>
      </c>
      <c r="BW43">
        <f>IF(Evalucion!BX41=Datos!$C$15,Datos!$D$15,IF(Evalucion!BX41=Datos!$C$16,Datos!$D$16,IF(Evalucion!BX41=Datos!$C$17,Datos!$D$17,IF(Evalucion!BX41=Datos!$C$18,Datos!$D$18,IF(Evalucion!BX41=Datos!$C$19,Datos!$D$19,"=")))))</f>
        <v>5</v>
      </c>
      <c r="BX43">
        <f>IF(Evalucion!BY41=Datos!$C$15,Datos!$D$15,IF(Evalucion!BY41=Datos!$C$16,Datos!$D$16,IF(Evalucion!BY41=Datos!$C$17,Datos!$D$17,IF(Evalucion!BY41=Datos!$C$18,Datos!$D$18,IF(Evalucion!BY41=Datos!$C$19,Datos!$D$19,"=")))))</f>
        <v>1</v>
      </c>
      <c r="BY43">
        <f>IF(Evalucion!BZ41=Datos!$C$15,Datos!$D$15,IF(Evalucion!BZ41=Datos!$C$16,Datos!$D$16,IF(Evalucion!BZ41=Datos!$C$17,Datos!$D$17,IF(Evalucion!BZ41=Datos!$C$18,Datos!$D$18,IF(Evalucion!BZ41=Datos!$C$19,Datos!$D$19,"=")))))</f>
        <v>1</v>
      </c>
      <c r="BZ43">
        <f>IF(Evalucion!CA41=Datos!$C$15,Datos!$D$15,IF(Evalucion!CA41=Datos!$C$16,Datos!$D$16,IF(Evalucion!CA41=Datos!$C$17,Datos!$D$17,IF(Evalucion!CA41=Datos!$C$18,Datos!$D$18,IF(Evalucion!CA41=Datos!$C$19,Datos!$D$19,"=")))))</f>
        <v>1</v>
      </c>
      <c r="CA43">
        <f>IF(Evalucion!CB41=Datos!$C$15,Datos!$D$15,IF(Evalucion!CB41=Datos!$C$16,Datos!$D$16,IF(Evalucion!CB41=Datos!$C$17,Datos!$D$17,IF(Evalucion!CB41=Datos!$C$18,Datos!$D$18,IF(Evalucion!CB41=Datos!$C$19,Datos!$D$19,"=")))))</f>
        <v>1</v>
      </c>
      <c r="CB43">
        <f>IF(Evalucion!CC41=Datos!$C$15,Datos!$D$15,IF(Evalucion!CC41=Datos!$C$16,Datos!$D$16,IF(Evalucion!CC41=Datos!$C$17,Datos!$D$17,IF(Evalucion!CC41=Datos!$C$18,Datos!$D$18,IF(Evalucion!CC41=Datos!$C$19,Datos!$D$19,"=")))))</f>
        <v>5</v>
      </c>
      <c r="CC43">
        <f>IF(Evalucion!CD41=Datos!$C$15,Datos!$D$15,IF(Evalucion!CD41=Datos!$C$16,Datos!$D$16,IF(Evalucion!CD41=Datos!$C$17,Datos!$D$17,IF(Evalucion!CD41=Datos!$C$18,Datos!$D$18,IF(Evalucion!CD41=Datos!$C$19,Datos!$D$19,"=")))))</f>
        <v>5</v>
      </c>
      <c r="CD43">
        <f>IF(Evalucion!CE41=Datos!$C$15,Datos!$D$15,IF(Evalucion!CE41=Datos!$C$16,Datos!$D$16,IF(Evalucion!CE41=Datos!$C$17,Datos!$D$17,IF(Evalucion!CE41=Datos!$C$18,Datos!$D$18,IF(Evalucion!CE41=Datos!$C$19,Datos!$D$19,"=")))))</f>
        <v>5</v>
      </c>
      <c r="CE43">
        <f>IF(Evalucion!CF41=Datos!$C$15,Datos!$D$15,IF(Evalucion!CF41=Datos!$C$16,Datos!$D$16,IF(Evalucion!CF41=Datos!$C$17,Datos!$D$17,IF(Evalucion!CF41=Datos!$C$18,Datos!$D$18,IF(Evalucion!CF41=Datos!$C$19,Datos!$D$19,"=")))))</f>
        <v>1</v>
      </c>
      <c r="CF43">
        <f>IF(Evalucion!CG41=Datos!$C$15,Datos!$D$15,IF(Evalucion!CG41=Datos!$C$16,Datos!$D$16,IF(Evalucion!CG41=Datos!$C$17,Datos!$D$17,IF(Evalucion!CG41=Datos!$C$18,Datos!$D$18,IF(Evalucion!CG41=Datos!$C$19,Datos!$D$19,"=")))))</f>
        <v>1</v>
      </c>
      <c r="CG43">
        <f>IF(Evalucion!CH41=Datos!$C$15,Datos!$D$15,IF(Evalucion!CH41=Datos!$C$16,Datos!$D$16,IF(Evalucion!CH41=Datos!$C$17,Datos!$D$17,IF(Evalucion!CH41=Datos!$C$18,Datos!$D$18,IF(Evalucion!CH41=Datos!$C$19,Datos!$D$19,"=")))))</f>
        <v>1</v>
      </c>
      <c r="CH43">
        <f>IF(Evalucion!CI41=Datos!$C$15,Datos!$D$15,IF(Evalucion!CI41=Datos!$C$16,Datos!$D$16,IF(Evalucion!CI41=Datos!$C$17,Datos!$D$17,IF(Evalucion!CI41=Datos!$C$18,Datos!$D$18,IF(Evalucion!CI41=Datos!$C$19,Datos!$D$19,"=")))))</f>
        <v>1</v>
      </c>
      <c r="CI43">
        <f>IF(Evalucion!CJ41=Datos!$C$15,Datos!$D$15,IF(Evalucion!CJ41=Datos!$C$16,Datos!$D$16,IF(Evalucion!CJ41=Datos!$C$17,Datos!$D$17,IF(Evalucion!CJ41=Datos!$C$18,Datos!$D$18,IF(Evalucion!CJ41=Datos!$C$19,Datos!$D$19,"=")))))</f>
        <v>1</v>
      </c>
      <c r="CJ43">
        <f>IF(Evalucion!CK41=Datos!$C$15,Datos!$D$15,IF(Evalucion!CK41=Datos!$C$16,Datos!$D$16,IF(Evalucion!CK41=Datos!$C$17,Datos!$D$17,IF(Evalucion!CK41=Datos!$C$18,Datos!$D$18,IF(Evalucion!CK41=Datos!$C$19,Datos!$D$19,"=")))))</f>
        <v>5</v>
      </c>
      <c r="CK43">
        <f>IF(Evalucion!CL41=Datos!$C$15,Datos!$D$15,IF(Evalucion!CL41=Datos!$C$16,Datos!$D$16,IF(Evalucion!CL41=Datos!$C$17,Datos!$D$17,IF(Evalucion!CL41=Datos!$C$18,Datos!$D$18,IF(Evalucion!CL41=Datos!$C$19,Datos!$D$19,"=")))))</f>
        <v>5</v>
      </c>
      <c r="CL43">
        <f>IF(Evalucion!CM41=Datos!$C$15,Datos!$D$15,IF(Evalucion!CM41=Datos!$C$16,Datos!$D$16,IF(Evalucion!CM41=Datos!$C$17,Datos!$D$17,IF(Evalucion!CM41=Datos!$C$18,Datos!$D$18,IF(Evalucion!CM41=Datos!$C$19,Datos!$D$19,"=")))))</f>
        <v>5</v>
      </c>
      <c r="CM43">
        <f>IF(Evalucion!CN41=Datos!$C$15,Datos!$D$15,IF(Evalucion!CN41=Datos!$C$16,Datos!$D$16,IF(Evalucion!CN41=Datos!$C$17,Datos!$D$17,IF(Evalucion!CN41=Datos!$C$18,Datos!$D$18,IF(Evalucion!CN41=Datos!$C$19,Datos!$D$19,"=")))))</f>
        <v>3</v>
      </c>
      <c r="CN43">
        <f>IF(Evalucion!CO41=Datos!$C$15,Datos!$D$15,IF(Evalucion!CO41=Datos!$C$16,Datos!$D$16,IF(Evalucion!CO41=Datos!$C$17,Datos!$D$17,IF(Evalucion!CO41=Datos!$C$18,Datos!$D$18,IF(Evalucion!CO41=Datos!$C$19,Datos!$D$19,"=")))))</f>
        <v>5</v>
      </c>
      <c r="CO43">
        <f>IF(Evalucion!CP41=Datos!$C$15,Datos!$D$15,IF(Evalucion!CP41=Datos!$C$16,Datos!$D$16,IF(Evalucion!CP41=Datos!$C$17,Datos!$D$17,IF(Evalucion!CP41=Datos!$C$18,Datos!$D$18,IF(Evalucion!CP41=Datos!$C$19,Datos!$D$19,"=")))))</f>
        <v>5</v>
      </c>
      <c r="CP43">
        <f>IF(Evalucion!CQ41=Datos!$C$15,Datos!$D$15,IF(Evalucion!CQ41=Datos!$C$16,Datos!$D$16,IF(Evalucion!CQ41=Datos!$C$17,Datos!$D$17,IF(Evalucion!CQ41=Datos!$C$18,Datos!$D$18,IF(Evalucion!CQ41=Datos!$C$19,Datos!$D$19,"=")))))</f>
        <v>1</v>
      </c>
      <c r="CQ43">
        <f>IF(Evalucion!CR41=Datos!$C$15,Datos!$D$15,IF(Evalucion!CR41=Datos!$C$16,Datos!$D$16,IF(Evalucion!CR41=Datos!$C$17,Datos!$D$17,IF(Evalucion!CR41=Datos!$C$18,Datos!$D$18,IF(Evalucion!CR41=Datos!$C$19,Datos!$D$19,"=")))))</f>
        <v>1</v>
      </c>
      <c r="CR43">
        <f>IF(Evalucion!CS41=Datos!$C$15,Datos!$D$15,IF(Evalucion!CS41=Datos!$C$16,Datos!$D$16,IF(Evalucion!CS41=Datos!$C$17,Datos!$D$17,IF(Evalucion!CS41=Datos!$C$18,Datos!$D$18,IF(Evalucion!CS41=Datos!$C$19,Datos!$D$19,"=")))))</f>
        <v>1</v>
      </c>
      <c r="CS43">
        <f>IF(Evalucion!CT41=Datos!$C$15,Datos!$D$15,IF(Evalucion!CT41=Datos!$C$16,Datos!$D$16,IF(Evalucion!CT41=Datos!$C$17,Datos!$D$17,IF(Evalucion!CT41=Datos!$C$18,Datos!$D$18,IF(Evalucion!CT41=Datos!$C$19,Datos!$D$19,"=")))))</f>
        <v>1</v>
      </c>
      <c r="CT43">
        <f>IF(Evalucion!CU41=Datos!$C$15,Datos!$D$15,IF(Evalucion!CU41=Datos!$C$16,Datos!$D$16,IF(Evalucion!CU41=Datos!$C$17,Datos!$D$17,IF(Evalucion!CU41=Datos!$C$18,Datos!$D$18,IF(Evalucion!CU41=Datos!$C$19,Datos!$D$19,"=")))))</f>
        <v>1</v>
      </c>
      <c r="CU43">
        <f>IF(Evalucion!CV41=Datos!$C$15,Datos!$D$15,IF(Evalucion!CV41=Datos!$C$16,Datos!$D$16,IF(Evalucion!CV41=Datos!$C$17,Datos!$D$17,IF(Evalucion!CV41=Datos!$C$18,Datos!$D$18,IF(Evalucion!CV41=Datos!$C$19,Datos!$D$19,"=")))))</f>
        <v>1</v>
      </c>
      <c r="CV43">
        <f>IF(Evalucion!CW41=Datos!$C$15,Datos!$D$15,IF(Evalucion!CW41=Datos!$C$16,Datos!$D$16,IF(Evalucion!CW41=Datos!$C$17,Datos!$D$17,IF(Evalucion!CW41=Datos!$C$18,Datos!$D$18,IF(Evalucion!CW41=Datos!$C$19,Datos!$D$19,"=")))))</f>
        <v>5</v>
      </c>
      <c r="CW43">
        <f>IF(Evalucion!CX41=Datos!$C$15,Datos!$D$15,IF(Evalucion!CX41=Datos!$C$16,Datos!$D$16,IF(Evalucion!CX41=Datos!$C$17,Datos!$D$17,IF(Evalucion!CX41=Datos!$C$18,Datos!$D$18,IF(Evalucion!CX41=Datos!$C$19,Datos!$D$19,"=")))))</f>
        <v>3</v>
      </c>
      <c r="CX43">
        <f>IF(Evalucion!CY41=Datos!$C$15,Datos!$D$15,IF(Evalucion!CY41=Datos!$C$16,Datos!$D$16,IF(Evalucion!CY41=Datos!$C$17,Datos!$D$17,IF(Evalucion!CY41=Datos!$C$18,Datos!$D$18,IF(Evalucion!CY41=Datos!$C$19,Datos!$D$19,"=")))))</f>
        <v>5</v>
      </c>
      <c r="CY43">
        <f>IF(Evalucion!CZ41=Datos!$C$15,Datos!$D$15,IF(Evalucion!CZ41=Datos!$C$16,Datos!$D$16,IF(Evalucion!CZ41=Datos!$C$17,Datos!$D$17,IF(Evalucion!CZ41=Datos!$C$18,Datos!$D$18,IF(Evalucion!CZ41=Datos!$C$19,Datos!$D$19,"=")))))</f>
        <v>3</v>
      </c>
      <c r="CZ43">
        <f>IF(Evalucion!DA41=Datos!$C$15,Datos!$D$15,IF(Evalucion!DA41=Datos!$C$16,Datos!$D$16,IF(Evalucion!DA41=Datos!$C$17,Datos!$D$17,IF(Evalucion!DA41=Datos!$C$18,Datos!$D$18,IF(Evalucion!DA41=Datos!$C$19,Datos!$D$19,"=")))))</f>
        <v>5</v>
      </c>
      <c r="DA43">
        <f>IF(Evalucion!DB41=Datos!$C$15,Datos!$D$15,IF(Evalucion!DB41=Datos!$C$16,Datos!$D$16,IF(Evalucion!DB41=Datos!$C$17,Datos!$D$17,IF(Evalucion!DB41=Datos!$C$18,Datos!$D$18,IF(Evalucion!DB41=Datos!$C$19,Datos!$D$19,"=")))))</f>
        <v>3</v>
      </c>
      <c r="DB43">
        <f>IF(Evalucion!DC41=Datos!$C$15,Datos!$D$15,IF(Evalucion!DC41=Datos!$C$16,Datos!$D$16,IF(Evalucion!DC41=Datos!$C$17,Datos!$D$17,IF(Evalucion!DC41=Datos!$C$18,Datos!$D$18,IF(Evalucion!DC41=Datos!$C$19,Datos!$D$19,"=")))))</f>
        <v>5</v>
      </c>
      <c r="DC43">
        <f>IF(Evalucion!DD41=Datos!$C$15,Datos!$D$15,IF(Evalucion!DD41=Datos!$C$16,Datos!$D$16,IF(Evalucion!DD41=Datos!$C$17,Datos!$D$17,IF(Evalucion!DD41=Datos!$C$18,Datos!$D$18,IF(Evalucion!DD41=Datos!$C$19,Datos!$D$19,"=")))))</f>
        <v>5</v>
      </c>
      <c r="DD43">
        <f>IF(Evalucion!DE41=Datos!$C$15,Datos!$D$15,IF(Evalucion!DE41=Datos!$C$16,Datos!$D$16,IF(Evalucion!DE41=Datos!$C$17,Datos!$D$17,IF(Evalucion!DE41=Datos!$C$18,Datos!$D$18,IF(Evalucion!DE41=Datos!$C$19,Datos!$D$19,"=")))))</f>
        <v>1</v>
      </c>
      <c r="DE43">
        <f>IF(Evalucion!DF41=Datos!$C$15,Datos!$D$15,IF(Evalucion!DF41=Datos!$C$16,Datos!$D$16,IF(Evalucion!DF41=Datos!$C$17,Datos!$D$17,IF(Evalucion!DF41=Datos!$C$18,Datos!$D$18,IF(Evalucion!DF41=Datos!$C$19,Datos!$D$19,"=")))))</f>
        <v>1</v>
      </c>
      <c r="DF43">
        <f>IF(Evalucion!DG41=Datos!$C$15,Datos!$D$15,IF(Evalucion!DG41=Datos!$C$16,Datos!$D$16,IF(Evalucion!DG41=Datos!$C$17,Datos!$D$17,IF(Evalucion!DG41=Datos!$C$18,Datos!$D$18,IF(Evalucion!DG41=Datos!$C$19,Datos!$D$19,"=")))))</f>
        <v>5</v>
      </c>
      <c r="DG43">
        <f>IF(Evalucion!DH41=Datos!$C$15,Datos!$D$15,IF(Evalucion!DH41=Datos!$C$16,Datos!$D$16,IF(Evalucion!DH41=Datos!$C$17,Datos!$D$17,IF(Evalucion!DH41=Datos!$C$18,Datos!$D$18,IF(Evalucion!DH41=Datos!$C$19,Datos!$D$19,"=")))))</f>
        <v>3</v>
      </c>
      <c r="DH43">
        <f>IF(Evalucion!DI41=Datos!$C$15,Datos!$D$15,IF(Evalucion!DI41=Datos!$C$16,Datos!$D$16,IF(Evalucion!DI41=Datos!$C$17,Datos!$D$17,IF(Evalucion!DI41=Datos!$C$18,Datos!$D$18,IF(Evalucion!DI41=Datos!$C$19,Datos!$D$19,"=")))))</f>
        <v>1</v>
      </c>
      <c r="DI43">
        <f>IF(Evalucion!DJ41=Datos!$C$15,Datos!$D$15,IF(Evalucion!DJ41=Datos!$C$16,Datos!$D$16,IF(Evalucion!DJ41=Datos!$C$17,Datos!$D$17,IF(Evalucion!DJ41=Datos!$C$18,Datos!$D$18,IF(Evalucion!DJ41=Datos!$C$19,Datos!$D$19,"=")))))</f>
        <v>1</v>
      </c>
      <c r="DJ43">
        <f>IF(Evalucion!DK41=Datos!$C$15,Datos!$D$15,IF(Evalucion!DK41=Datos!$C$16,Datos!$D$16,IF(Evalucion!DK41=Datos!$C$17,Datos!$D$17,IF(Evalucion!DK41=Datos!$C$18,Datos!$D$18,IF(Evalucion!DK41=Datos!$C$19,Datos!$D$19,"=")))))</f>
        <v>1</v>
      </c>
      <c r="DK43">
        <f>IF(Evalucion!DL41=Datos!$C$15,Datos!$D$15,IF(Evalucion!DL41=Datos!$C$16,Datos!$D$16,IF(Evalucion!DL41=Datos!$C$17,Datos!$D$17,IF(Evalucion!DL41=Datos!$C$18,Datos!$D$18,IF(Evalucion!DL41=Datos!$C$19,Datos!$D$19,"=")))))</f>
        <v>1</v>
      </c>
      <c r="DL43">
        <f>IF(Evalucion!DM41=Datos!$C$15,Datos!$D$15,IF(Evalucion!DM41=Datos!$C$16,Datos!$D$16,IF(Evalucion!DM41=Datos!$C$17,Datos!$D$17,IF(Evalucion!DM41=Datos!$C$18,Datos!$D$18,IF(Evalucion!DM41=Datos!$C$19,Datos!$D$19,"=")))))</f>
        <v>1</v>
      </c>
      <c r="DM43">
        <f>IF(Evalucion!DN41=Datos!$C$15,Datos!$D$15,IF(Evalucion!DN41=Datos!$C$16,Datos!$D$16,IF(Evalucion!DN41=Datos!$C$17,Datos!$D$17,IF(Evalucion!DN41=Datos!$C$18,Datos!$D$18,IF(Evalucion!DN41=Datos!$C$19,Datos!$D$19,"=")))))</f>
        <v>1</v>
      </c>
      <c r="DN43">
        <f>IF(Evalucion!DO41=Datos!$C$15,Datos!$D$15,IF(Evalucion!DO41=Datos!$C$16,Datos!$D$16,IF(Evalucion!DO41=Datos!$C$17,Datos!$D$17,IF(Evalucion!DO41=Datos!$C$18,Datos!$D$18,IF(Evalucion!DO41=Datos!$C$19,Datos!$D$19,"=")))))</f>
        <v>5</v>
      </c>
      <c r="DO43">
        <f>IF(Evalucion!DP41=Datos!$C$15,Datos!$D$15,IF(Evalucion!DP41=Datos!$C$16,Datos!$D$16,IF(Evalucion!DP41=Datos!$C$17,Datos!$D$17,IF(Evalucion!DP41=Datos!$C$18,Datos!$D$18,IF(Evalucion!DP41=Datos!$C$19,Datos!$D$19,"=")))))</f>
        <v>1</v>
      </c>
      <c r="DP43">
        <f>IF(Evalucion!DQ41=Datos!$C$15,Datos!$D$15,IF(Evalucion!DQ41=Datos!$C$16,Datos!$D$16,IF(Evalucion!DQ41=Datos!$C$17,Datos!$D$17,IF(Evalucion!DQ41=Datos!$C$18,Datos!$D$18,IF(Evalucion!DQ41=Datos!$C$19,Datos!$D$19,"=")))))</f>
        <v>5</v>
      </c>
      <c r="DQ43">
        <f>IF(Evalucion!DR41=Datos!$C$15,Datos!$D$15,IF(Evalucion!DR41=Datos!$C$16,Datos!$D$16,IF(Evalucion!DR41=Datos!$C$17,Datos!$D$17,IF(Evalucion!DR41=Datos!$C$18,Datos!$D$18,IF(Evalucion!DR41=Datos!$C$19,Datos!$D$19,"=")))))</f>
        <v>3</v>
      </c>
      <c r="DR43">
        <f>IF(Evalucion!DS41=Datos!$C$15,Datos!$D$15,IF(Evalucion!DS41=Datos!$C$16,Datos!$D$16,IF(Evalucion!DS41=Datos!$C$17,Datos!$D$17,IF(Evalucion!DS41=Datos!$C$18,Datos!$D$18,IF(Evalucion!DS41=Datos!$C$19,Datos!$D$19,"=")))))</f>
        <v>1</v>
      </c>
      <c r="DS43">
        <f>IF(Evalucion!DT41=Datos!$C$15,Datos!$D$15,IF(Evalucion!DT41=Datos!$C$16,Datos!$D$16,IF(Evalucion!DT41=Datos!$C$17,Datos!$D$17,IF(Evalucion!DT41=Datos!$C$18,Datos!$D$18,IF(Evalucion!DT41=Datos!$C$19,Datos!$D$19,"=")))))</f>
        <v>1</v>
      </c>
      <c r="DT43">
        <f>IF(Evalucion!DU41=Datos!$C$15,Datos!$D$15,IF(Evalucion!DU41=Datos!$C$16,Datos!$D$16,IF(Evalucion!DU41=Datos!$C$17,Datos!$D$17,IF(Evalucion!DU41=Datos!$C$18,Datos!$D$18,IF(Evalucion!DU41=Datos!$C$19,Datos!$D$19,"=")))))</f>
        <v>5</v>
      </c>
      <c r="DU43">
        <f>IF(Evalucion!DV41=Datos!$C$15,Datos!$D$15,IF(Evalucion!DV41=Datos!$C$16,Datos!$D$16,IF(Evalucion!DV41=Datos!$C$17,Datos!$D$17,IF(Evalucion!DV41=Datos!$C$18,Datos!$D$18,IF(Evalucion!DV41=Datos!$C$19,Datos!$D$19,"=")))))</f>
        <v>3</v>
      </c>
      <c r="DV43">
        <f>IF(Evalucion!DW41=Datos!$C$15,Datos!$D$15,IF(Evalucion!DW41=Datos!$C$16,Datos!$D$16,IF(Evalucion!DW41=Datos!$C$17,Datos!$D$17,IF(Evalucion!DW41=Datos!$C$18,Datos!$D$18,IF(Evalucion!DW41=Datos!$C$19,Datos!$D$19,"=")))))</f>
        <v>1</v>
      </c>
      <c r="DW43">
        <f>IF(Evalucion!DX41=Datos!$C$15,Datos!$D$15,IF(Evalucion!DX41=Datos!$C$16,Datos!$D$16,IF(Evalucion!DX41=Datos!$C$17,Datos!$D$17,IF(Evalucion!DX41=Datos!$C$18,Datos!$D$18,IF(Evalucion!DX41=Datos!$C$19,Datos!$D$19,"=")))))</f>
        <v>1</v>
      </c>
      <c r="DX43">
        <f>IF(Evalucion!DY41=Datos!$C$15,Datos!$D$15,IF(Evalucion!DY41=Datos!$C$16,Datos!$D$16,IF(Evalucion!DY41=Datos!$C$17,Datos!$D$17,IF(Evalucion!DY41=Datos!$C$18,Datos!$D$18,IF(Evalucion!DY41=Datos!$C$19,Datos!$D$19,"=")))))</f>
        <v>1</v>
      </c>
      <c r="DY43">
        <f>IF(Evalucion!DZ41=Datos!$C$15,Datos!$D$15,IF(Evalucion!DZ41=Datos!$C$16,Datos!$D$16,IF(Evalucion!DZ41=Datos!$C$17,Datos!$D$17,IF(Evalucion!DZ41=Datos!$C$18,Datos!$D$18,IF(Evalucion!DZ41=Datos!$C$19,Datos!$D$19,"=")))))</f>
        <v>1</v>
      </c>
      <c r="DZ43">
        <f>IF(Evalucion!EA41=Datos!$C$15,Datos!$D$15,IF(Evalucion!EA41=Datos!$C$16,Datos!$D$16,IF(Evalucion!EA41=Datos!$C$17,Datos!$D$17,IF(Evalucion!EA41=Datos!$C$18,Datos!$D$18,IF(Evalucion!EA41=Datos!$C$19,Datos!$D$19,"=")))))</f>
        <v>5</v>
      </c>
      <c r="EA43">
        <f>IF(Evalucion!EB41=Datos!$C$15,Datos!$D$15,IF(Evalucion!EB41=Datos!$C$16,Datos!$D$16,IF(Evalucion!EB41=Datos!$C$17,Datos!$D$17,IF(Evalucion!EB41=Datos!$C$18,Datos!$D$18,IF(Evalucion!EB41=Datos!$C$19,Datos!$D$19,"=")))))</f>
        <v>5</v>
      </c>
      <c r="EB43">
        <f>IF(Evalucion!EC41=Datos!$C$15,Datos!$D$15,IF(Evalucion!EC41=Datos!$C$16,Datos!$D$16,IF(Evalucion!EC41=Datos!$C$17,Datos!$D$17,IF(Evalucion!EC41=Datos!$C$18,Datos!$D$18,IF(Evalucion!EC41=Datos!$C$19,Datos!$D$19,"=")))))</f>
        <v>5</v>
      </c>
      <c r="EC43">
        <f>IF(Evalucion!ED41=Datos!$C$15,Datos!$D$15,IF(Evalucion!ED41=Datos!$C$16,Datos!$D$16,IF(Evalucion!ED41=Datos!$C$17,Datos!$D$17,IF(Evalucion!ED41=Datos!$C$18,Datos!$D$18,IF(Evalucion!ED41=Datos!$C$19,Datos!$D$19,"=")))))</f>
        <v>3</v>
      </c>
      <c r="ED43">
        <f>IF(Evalucion!EE41=Datos!$C$15,Datos!$D$15,IF(Evalucion!EE41=Datos!$C$16,Datos!$D$16,IF(Evalucion!EE41=Datos!$C$17,Datos!$D$17,IF(Evalucion!EE41=Datos!$C$18,Datos!$D$18,IF(Evalucion!EE41=Datos!$C$19,Datos!$D$19,"=")))))</f>
        <v>5</v>
      </c>
      <c r="EE43">
        <f>IF(Evalucion!EF41=Datos!$C$15,Datos!$D$15,IF(Evalucion!EF41=Datos!$C$16,Datos!$D$16,IF(Evalucion!EF41=Datos!$C$17,Datos!$D$17,IF(Evalucion!EF41=Datos!$C$18,Datos!$D$18,IF(Evalucion!EF41=Datos!$C$19,Datos!$D$19,"=")))))</f>
        <v>1</v>
      </c>
      <c r="EF43">
        <f>IF(Evalucion!EG41=Datos!$C$15,Datos!$D$15,IF(Evalucion!EG41=Datos!$C$16,Datos!$D$16,IF(Evalucion!EG41=Datos!$C$17,Datos!$D$17,IF(Evalucion!EG41=Datos!$C$18,Datos!$D$18,IF(Evalucion!EG41=Datos!$C$19,Datos!$D$19,"=")))))</f>
        <v>5</v>
      </c>
      <c r="EG43">
        <f>IF(Evalucion!EH41=Datos!$C$15,Datos!$D$15,IF(Evalucion!EH41=Datos!$C$16,Datos!$D$16,IF(Evalucion!EH41=Datos!$C$17,Datos!$D$17,IF(Evalucion!EH41=Datos!$C$18,Datos!$D$18,IF(Evalucion!EH41=Datos!$C$19,Datos!$D$19,"=")))))</f>
        <v>5</v>
      </c>
      <c r="EH43">
        <f>IF(Evalucion!EI41=Datos!$C$15,Datos!$D$15,IF(Evalucion!EI41=Datos!$C$16,Datos!$D$16,IF(Evalucion!EI41=Datos!$C$17,Datos!$D$17,IF(Evalucion!EI41=Datos!$C$18,Datos!$D$18,IF(Evalucion!EI41=Datos!$C$19,Datos!$D$19,"=")))))</f>
        <v>1</v>
      </c>
      <c r="EI43">
        <f>IF(Evalucion!EJ41=Datos!$C$15,Datos!$D$15,IF(Evalucion!EJ41=Datos!$C$16,Datos!$D$16,IF(Evalucion!EJ41=Datos!$C$17,Datos!$D$17,IF(Evalucion!EJ41=Datos!$C$18,Datos!$D$18,IF(Evalucion!EJ41=Datos!$C$19,Datos!$D$19,"=")))))</f>
        <v>1</v>
      </c>
      <c r="EJ43">
        <f>IF(Evalucion!EK41=Datos!$C$15,Datos!$D$15,IF(Evalucion!EK41=Datos!$C$16,Datos!$D$16,IF(Evalucion!EK41=Datos!$C$17,Datos!$D$17,IF(Evalucion!EK41=Datos!$C$18,Datos!$D$18,IF(Evalucion!EK41=Datos!$C$19,Datos!$D$19,"=")))))</f>
        <v>1</v>
      </c>
      <c r="EK43">
        <f>IF(Evalucion!EL41=Datos!$C$15,Datos!$D$15,IF(Evalucion!EL41=Datos!$C$16,Datos!$D$16,IF(Evalucion!EL41=Datos!$C$17,Datos!$D$17,IF(Evalucion!EL41=Datos!$C$18,Datos!$D$18,IF(Evalucion!EL41=Datos!$C$19,Datos!$D$19,"=")))))</f>
        <v>1</v>
      </c>
      <c r="EL43">
        <f>IF(Evalucion!EM41=Datos!$C$15,Datos!$D$15,IF(Evalucion!EM41=Datos!$C$16,Datos!$D$16,IF(Evalucion!EM41=Datos!$C$17,Datos!$D$17,IF(Evalucion!EM41=Datos!$C$18,Datos!$D$18,IF(Evalucion!EM41=Datos!$C$19,Datos!$D$19,"=")))))</f>
        <v>5</v>
      </c>
      <c r="EM43">
        <f>IF(Evalucion!EN41=Datos!$C$15,Datos!$D$15,IF(Evalucion!EN41=Datos!$C$16,Datos!$D$16,IF(Evalucion!EN41=Datos!$C$17,Datos!$D$17,IF(Evalucion!EN41=Datos!$C$18,Datos!$D$18,IF(Evalucion!EN41=Datos!$C$19,Datos!$D$19,"=")))))</f>
        <v>5</v>
      </c>
      <c r="EN43">
        <f>IF(Evalucion!EO41=Datos!$C$15,Datos!$D$15,IF(Evalucion!EO41=Datos!$C$16,Datos!$D$16,IF(Evalucion!EO41=Datos!$C$17,Datos!$D$17,IF(Evalucion!EO41=Datos!$C$18,Datos!$D$18,IF(Evalucion!EO41=Datos!$C$19,Datos!$D$19,"=")))))</f>
        <v>1</v>
      </c>
      <c r="EO43">
        <f>IF(Evalucion!EP41=Datos!$C$15,Datos!$D$15,IF(Evalucion!EP41=Datos!$C$16,Datos!$D$16,IF(Evalucion!EP41=Datos!$C$17,Datos!$D$17,IF(Evalucion!EP41=Datos!$C$18,Datos!$D$18,IF(Evalucion!EP41=Datos!$C$19,Datos!$D$19,"=")))))</f>
        <v>1</v>
      </c>
      <c r="EP43">
        <f>IF(Evalucion!EQ41=Datos!$C$15,Datos!$D$15,IF(Evalucion!EQ41=Datos!$C$16,Datos!$D$16,IF(Evalucion!EQ41=Datos!$C$17,Datos!$D$17,IF(Evalucion!EQ41=Datos!$C$18,Datos!$D$18,IF(Evalucion!EQ41=Datos!$C$19,Datos!$D$19,"=")))))</f>
        <v>1</v>
      </c>
      <c r="EQ43">
        <f>IF(Evalucion!ER41=Datos!$C$15,Datos!$D$15,IF(Evalucion!ER41=Datos!$C$16,Datos!$D$16,IF(Evalucion!ER41=Datos!$C$17,Datos!$D$17,IF(Evalucion!ER41=Datos!$C$18,Datos!$D$18,IF(Evalucion!ER41=Datos!$C$19,Datos!$D$19,"=")))))</f>
        <v>1</v>
      </c>
      <c r="ER43">
        <f>IF(Evalucion!ES41=Datos!$C$15,Datos!$D$15,IF(Evalucion!ES41=Datos!$C$16,Datos!$D$16,IF(Evalucion!ES41=Datos!$C$17,Datos!$D$17,IF(Evalucion!ES41=Datos!$C$18,Datos!$D$18,IF(Evalucion!ES41=Datos!$C$19,Datos!$D$19,"=")))))</f>
        <v>5</v>
      </c>
      <c r="ES43">
        <f>IF(Evalucion!ET41=Datos!$C$15,Datos!$D$15,IF(Evalucion!ET41=Datos!$C$16,Datos!$D$16,IF(Evalucion!ET41=Datos!$C$17,Datos!$D$17,IF(Evalucion!ET41=Datos!$C$18,Datos!$D$18,IF(Evalucion!ET41=Datos!$C$19,Datos!$D$19,"=")))))</f>
        <v>5</v>
      </c>
      <c r="ET43">
        <f>IF(Evalucion!EU41=Datos!$C$15,Datos!$D$15,IF(Evalucion!EU41=Datos!$C$16,Datos!$D$16,IF(Evalucion!EU41=Datos!$C$17,Datos!$D$17,IF(Evalucion!EU41=Datos!$C$18,Datos!$D$18,IF(Evalucion!EU41=Datos!$C$19,Datos!$D$19,"=")))))</f>
        <v>5</v>
      </c>
      <c r="EU43">
        <f>IF(Evalucion!EV41=Datos!$C$15,Datos!$D$15,IF(Evalucion!EV41=Datos!$C$16,Datos!$D$16,IF(Evalucion!EV41=Datos!$C$17,Datos!$D$17,IF(Evalucion!EV41=Datos!$C$18,Datos!$D$18,IF(Evalucion!EV41=Datos!$C$19,Datos!$D$19,"=")))))</f>
        <v>1</v>
      </c>
      <c r="EV43">
        <f>IF(Evalucion!EW41=Datos!$C$15,Datos!$D$15,IF(Evalucion!EW41=Datos!$C$16,Datos!$D$16,IF(Evalucion!EW41=Datos!$C$17,Datos!$D$17,IF(Evalucion!EW41=Datos!$C$18,Datos!$D$18,IF(Evalucion!EW41=Datos!$C$19,Datos!$D$19,"=")))))</f>
        <v>5</v>
      </c>
      <c r="EW43">
        <f>IF(Evalucion!EX41=Datos!$C$15,Datos!$D$15,IF(Evalucion!EX41=Datos!$C$16,Datos!$D$16,IF(Evalucion!EX41=Datos!$C$17,Datos!$D$17,IF(Evalucion!EX41=Datos!$C$18,Datos!$D$18,IF(Evalucion!EX41=Datos!$C$19,Datos!$D$19,"=")))))</f>
        <v>5</v>
      </c>
      <c r="EX43">
        <f>IF(Evalucion!EY41=Datos!$C$15,Datos!$D$15,IF(Evalucion!EY41=Datos!$C$16,Datos!$D$16,IF(Evalucion!EY41=Datos!$C$17,Datos!$D$17,IF(Evalucion!EY41=Datos!$C$18,Datos!$D$18,IF(Evalucion!EY41=Datos!$C$19,Datos!$D$19,"=")))))</f>
        <v>5</v>
      </c>
      <c r="EY43">
        <f>IF(Evalucion!EZ41=Datos!$C$15,Datos!$D$15,IF(Evalucion!EZ41=Datos!$C$16,Datos!$D$16,IF(Evalucion!EZ41=Datos!$C$17,Datos!$D$17,IF(Evalucion!EZ41=Datos!$C$18,Datos!$D$18,IF(Evalucion!EZ41=Datos!$C$19,Datos!$D$19,"=")))))</f>
        <v>1</v>
      </c>
      <c r="FA43">
        <f t="shared" si="8"/>
        <v>207</v>
      </c>
      <c r="FB43">
        <f t="shared" si="8"/>
        <v>161</v>
      </c>
      <c r="FC43" s="3">
        <f t="shared" si="4"/>
        <v>0.42933333333333334</v>
      </c>
      <c r="FD43" t="str">
        <f t="shared" si="9"/>
        <v>NO_Conf</v>
      </c>
      <c r="FF43">
        <f t="shared" si="5"/>
        <v>368</v>
      </c>
      <c r="FG43">
        <f t="shared" si="6"/>
        <v>0</v>
      </c>
    </row>
    <row r="44" spans="1:163" x14ac:dyDescent="0.2">
      <c r="A44">
        <f t="shared" si="7"/>
        <v>41</v>
      </c>
      <c r="B44" t="s">
        <v>285</v>
      </c>
      <c r="C44" t="s">
        <v>196</v>
      </c>
      <c r="D44" s="1">
        <v>43466</v>
      </c>
      <c r="E44">
        <f>IF(Evalucion!F42=Datos!$C$15,Datos!$D$15,IF(Evalucion!F42=Datos!$C$16,Datos!$D$16,IF(Evalucion!F42=Datos!$C$17,Datos!$D$17,IF(Evalucion!F42=Datos!$C$18,Datos!$D$18,IF(Evalucion!F42=Datos!$C$19,Datos!$D$19,"=")))))</f>
        <v>5</v>
      </c>
      <c r="F44">
        <f>IF(Evalucion!G42=Datos!$C$15,Datos!$D$15,IF(Evalucion!G42=Datos!$C$16,Datos!$D$16,IF(Evalucion!G42=Datos!$C$17,Datos!$D$17,IF(Evalucion!G42=Datos!$C$18,Datos!$D$18,IF(Evalucion!G42=Datos!$C$19,Datos!$D$19,"=")))))</f>
        <v>3</v>
      </c>
      <c r="G44">
        <f>IF(Evalucion!H42=Datos!$C$15,Datos!$D$15,IF(Evalucion!H42=Datos!$C$16,Datos!$D$16,IF(Evalucion!H42=Datos!$C$17,Datos!$D$17,IF(Evalucion!H42=Datos!$C$18,Datos!$D$18,IF(Evalucion!H42=Datos!$C$19,Datos!$D$19,"=")))))</f>
        <v>5</v>
      </c>
      <c r="H44">
        <f>IF(Evalucion!I42=Datos!$C$15,Datos!$D$15,IF(Evalucion!I42=Datos!$C$16,Datos!$D$16,IF(Evalucion!I42=Datos!$C$17,Datos!$D$17,IF(Evalucion!I42=Datos!$C$18,Datos!$D$18,IF(Evalucion!I42=Datos!$C$19,Datos!$D$19,"=")))))</f>
        <v>1</v>
      </c>
      <c r="I44">
        <f>IF(Evalucion!J42=Datos!$C$15,Datos!$D$15,IF(Evalucion!J42=Datos!$C$16,Datos!$D$16,IF(Evalucion!J42=Datos!$C$17,Datos!$D$17,IF(Evalucion!J42=Datos!$C$18,Datos!$D$18,IF(Evalucion!J42=Datos!$C$19,Datos!$D$19,"=")))))</f>
        <v>5</v>
      </c>
      <c r="J44">
        <f>IF(Evalucion!K42=Datos!$C$15,Datos!$D$15,IF(Evalucion!K42=Datos!$C$16,Datos!$D$16,IF(Evalucion!K42=Datos!$C$17,Datos!$D$17,IF(Evalucion!K42=Datos!$C$18,Datos!$D$18,IF(Evalucion!K42=Datos!$C$19,Datos!$D$19,"=")))))</f>
        <v>3</v>
      </c>
      <c r="K44">
        <f>IF(Evalucion!L42=Datos!$C$15,Datos!$D$15,IF(Evalucion!L42=Datos!$C$16,Datos!$D$16,IF(Evalucion!L42=Datos!$C$17,Datos!$D$17,IF(Evalucion!L42=Datos!$C$18,Datos!$D$18,IF(Evalucion!L42=Datos!$C$19,Datos!$D$19,"=")))))</f>
        <v>5</v>
      </c>
      <c r="L44">
        <f>IF(Evalucion!M42=Datos!$C$15,Datos!$D$15,IF(Evalucion!M42=Datos!$C$16,Datos!$D$16,IF(Evalucion!M42=Datos!$C$17,Datos!$D$17,IF(Evalucion!M42=Datos!$C$18,Datos!$D$18,IF(Evalucion!M42=Datos!$C$19,Datos!$D$19,"=")))))</f>
        <v>3</v>
      </c>
      <c r="M44">
        <f>IF(Evalucion!N42=Datos!$C$15,Datos!$D$15,IF(Evalucion!N42=Datos!$C$16,Datos!$D$16,IF(Evalucion!N42=Datos!$C$17,Datos!$D$17,IF(Evalucion!N42=Datos!$C$18,Datos!$D$18,IF(Evalucion!N42=Datos!$C$19,Datos!$D$19,"=")))))</f>
        <v>5</v>
      </c>
      <c r="N44">
        <f>IF(Evalucion!O42=Datos!$C$15,Datos!$D$15,IF(Evalucion!O42=Datos!$C$16,Datos!$D$16,IF(Evalucion!O42=Datos!$C$17,Datos!$D$17,IF(Evalucion!O42=Datos!$C$18,Datos!$D$18,IF(Evalucion!O42=Datos!$C$19,Datos!$D$19,"=")))))</f>
        <v>5</v>
      </c>
      <c r="O44">
        <f>IF(Evalucion!P42=Datos!$C$15,Datos!$D$15,IF(Evalucion!P42=Datos!$C$16,Datos!$D$16,IF(Evalucion!P42=Datos!$C$17,Datos!$D$17,IF(Evalucion!P42=Datos!$C$18,Datos!$D$18,IF(Evalucion!P42=Datos!$C$19,Datos!$D$19,"=")))))</f>
        <v>5</v>
      </c>
      <c r="P44">
        <f>IF(Evalucion!Q42=Datos!$C$15,Datos!$D$15,IF(Evalucion!Q42=Datos!$C$16,Datos!$D$16,IF(Evalucion!Q42=Datos!$C$17,Datos!$D$17,IF(Evalucion!Q42=Datos!$C$18,Datos!$D$18,IF(Evalucion!Q42=Datos!$C$19,Datos!$D$19,"=")))))</f>
        <v>1</v>
      </c>
      <c r="Q44">
        <f>IF(Evalucion!R42=Datos!$C$15,Datos!$D$15,IF(Evalucion!R42=Datos!$C$16,Datos!$D$16,IF(Evalucion!R42=Datos!$C$17,Datos!$D$17,IF(Evalucion!R42=Datos!$C$18,Datos!$D$18,IF(Evalucion!R42=Datos!$C$19,Datos!$D$19,"=")))))</f>
        <v>5</v>
      </c>
      <c r="R44">
        <f>IF(Evalucion!S42=Datos!$C$15,Datos!$D$15,IF(Evalucion!S42=Datos!$C$16,Datos!$D$16,IF(Evalucion!S42=Datos!$C$17,Datos!$D$17,IF(Evalucion!S42=Datos!$C$18,Datos!$D$18,IF(Evalucion!S42=Datos!$C$19,Datos!$D$19,"=")))))</f>
        <v>5</v>
      </c>
      <c r="S44">
        <f>IF(Evalucion!T42=Datos!$C$15,Datos!$D$15,IF(Evalucion!T42=Datos!$C$16,Datos!$D$16,IF(Evalucion!T42=Datos!$C$17,Datos!$D$17,IF(Evalucion!T42=Datos!$C$18,Datos!$D$18,IF(Evalucion!T42=Datos!$C$19,Datos!$D$19,"=")))))</f>
        <v>5</v>
      </c>
      <c r="T44">
        <f>IF(Evalucion!U42=Datos!$C$15,Datos!$D$15,IF(Evalucion!U42=Datos!$C$16,Datos!$D$16,IF(Evalucion!U42=Datos!$C$17,Datos!$D$17,IF(Evalucion!U42=Datos!$C$18,Datos!$D$18,IF(Evalucion!U42=Datos!$C$19,Datos!$D$19,"=")))))</f>
        <v>5</v>
      </c>
      <c r="U44">
        <f>IF(Evalucion!V42=Datos!$C$15,Datos!$D$15,IF(Evalucion!V42=Datos!$C$16,Datos!$D$16,IF(Evalucion!V42=Datos!$C$17,Datos!$D$17,IF(Evalucion!V42=Datos!$C$18,Datos!$D$18,IF(Evalucion!V42=Datos!$C$19,Datos!$D$19,"=")))))</f>
        <v>5</v>
      </c>
      <c r="V44">
        <f>IF(Evalucion!W42=Datos!$C$15,Datos!$D$15,IF(Evalucion!W42=Datos!$C$16,Datos!$D$16,IF(Evalucion!W42=Datos!$C$17,Datos!$D$17,IF(Evalucion!W42=Datos!$C$18,Datos!$D$18,IF(Evalucion!W42=Datos!$C$19,Datos!$D$19,"=")))))</f>
        <v>5</v>
      </c>
      <c r="W44">
        <f>IF(Evalucion!X42=Datos!$C$15,Datos!$D$15,IF(Evalucion!X42=Datos!$C$16,Datos!$D$16,IF(Evalucion!X42=Datos!$C$17,Datos!$D$17,IF(Evalucion!X42=Datos!$C$18,Datos!$D$18,IF(Evalucion!X42=Datos!$C$19,Datos!$D$19,"=")))))</f>
        <v>5</v>
      </c>
      <c r="X44">
        <f>IF(Evalucion!Y42=Datos!$C$15,Datos!$D$15,IF(Evalucion!Y42=Datos!$C$16,Datos!$D$16,IF(Evalucion!Y42=Datos!$C$17,Datos!$D$17,IF(Evalucion!Y42=Datos!$C$18,Datos!$D$18,IF(Evalucion!Y42=Datos!$C$19,Datos!$D$19,"=")))))</f>
        <v>5</v>
      </c>
      <c r="Y44">
        <f>IF(Evalucion!Z42=Datos!$C$15,Datos!$D$15,IF(Evalucion!Z42=Datos!$C$16,Datos!$D$16,IF(Evalucion!Z42=Datos!$C$17,Datos!$D$17,IF(Evalucion!Z42=Datos!$C$18,Datos!$D$18,IF(Evalucion!Z42=Datos!$C$19,Datos!$D$19,"=")))))</f>
        <v>5</v>
      </c>
      <c r="Z44">
        <f>IF(Evalucion!AA42=Datos!$C$15,Datos!$D$15,IF(Evalucion!AA42=Datos!$C$16,Datos!$D$16,IF(Evalucion!AA42=Datos!$C$17,Datos!$D$17,IF(Evalucion!AA42=Datos!$C$18,Datos!$D$18,IF(Evalucion!AA42=Datos!$C$19,Datos!$D$19,"=")))))</f>
        <v>5</v>
      </c>
      <c r="AA44">
        <f>IF(Evalucion!AB42=Datos!$C$15,Datos!$D$15,IF(Evalucion!AB42=Datos!$C$16,Datos!$D$16,IF(Evalucion!AB42=Datos!$C$17,Datos!$D$17,IF(Evalucion!AB42=Datos!$C$18,Datos!$D$18,IF(Evalucion!AB42=Datos!$C$19,Datos!$D$19,"=")))))</f>
        <v>5</v>
      </c>
      <c r="AB44">
        <f>IF(Evalucion!AC42=Datos!$C$15,Datos!$D$15,IF(Evalucion!AC42=Datos!$C$16,Datos!$D$16,IF(Evalucion!AC42=Datos!$C$17,Datos!$D$17,IF(Evalucion!AC42=Datos!$C$18,Datos!$D$18,IF(Evalucion!AC42=Datos!$C$19,Datos!$D$19,"=")))))</f>
        <v>5</v>
      </c>
      <c r="AC44">
        <f>IF(Evalucion!AD42=Datos!$C$15,Datos!$D$15,IF(Evalucion!AD42=Datos!$C$16,Datos!$D$16,IF(Evalucion!AD42=Datos!$C$17,Datos!$D$17,IF(Evalucion!AD42=Datos!$C$18,Datos!$D$18,IF(Evalucion!AD42=Datos!$C$19,Datos!$D$19,"=")))))</f>
        <v>5</v>
      </c>
      <c r="AD44">
        <f>IF(Evalucion!AE42=Datos!$C$15,Datos!$D$15,IF(Evalucion!AE42=Datos!$C$16,Datos!$D$16,IF(Evalucion!AE42=Datos!$C$17,Datos!$D$17,IF(Evalucion!AE42=Datos!$C$18,Datos!$D$18,IF(Evalucion!AE42=Datos!$C$19,Datos!$D$19,"=")))))</f>
        <v>3</v>
      </c>
      <c r="AE44">
        <f>IF(Evalucion!AF42=Datos!$C$15,Datos!$D$15,IF(Evalucion!AF42=Datos!$C$16,Datos!$D$16,IF(Evalucion!AF42=Datos!$C$17,Datos!$D$17,IF(Evalucion!AF42=Datos!$C$18,Datos!$D$18,IF(Evalucion!AF42=Datos!$C$19,Datos!$D$19,"=")))))</f>
        <v>5</v>
      </c>
      <c r="AF44">
        <f>IF(Evalucion!AG42=Datos!$C$15,Datos!$D$15,IF(Evalucion!AG42=Datos!$C$16,Datos!$D$16,IF(Evalucion!AG42=Datos!$C$17,Datos!$D$17,IF(Evalucion!AG42=Datos!$C$18,Datos!$D$18,IF(Evalucion!AG42=Datos!$C$19,Datos!$D$19,"=")))))</f>
        <v>5</v>
      </c>
      <c r="AO44">
        <f>IF(Evalucion!AP42=Datos!$C$15,Datos!$D$15,IF(Evalucion!AP42=Datos!$C$16,Datos!$D$16,IF(Evalucion!AP42=Datos!$C$17,Datos!$D$17,IF(Evalucion!AP42=Datos!$C$18,Datos!$D$18,IF(Evalucion!AP42=Datos!$C$19,Datos!$D$19,"=")))))</f>
        <v>5</v>
      </c>
      <c r="AP44">
        <f>IF(Evalucion!AQ42=Datos!$C$15,Datos!$D$15,IF(Evalucion!AQ42=Datos!$C$16,Datos!$D$16,IF(Evalucion!AQ42=Datos!$C$17,Datos!$D$17,IF(Evalucion!AQ42=Datos!$C$18,Datos!$D$18,IF(Evalucion!AQ42=Datos!$C$19,Datos!$D$19,"=")))))</f>
        <v>3</v>
      </c>
      <c r="AQ44">
        <f>IF(Evalucion!AR42=Datos!$C$15,Datos!$D$15,IF(Evalucion!AR42=Datos!$C$16,Datos!$D$16,IF(Evalucion!AR42=Datos!$C$17,Datos!$D$17,IF(Evalucion!AR42=Datos!$C$18,Datos!$D$18,IF(Evalucion!AR42=Datos!$C$19,Datos!$D$19,"=")))))</f>
        <v>1</v>
      </c>
      <c r="AR44">
        <f>IF(Evalucion!AS42=Datos!$C$15,Datos!$D$15,IF(Evalucion!AS42=Datos!$C$16,Datos!$D$16,IF(Evalucion!AS42=Datos!$C$17,Datos!$D$17,IF(Evalucion!AS42=Datos!$C$18,Datos!$D$18,IF(Evalucion!AS42=Datos!$C$19,Datos!$D$19,"=")))))</f>
        <v>3</v>
      </c>
      <c r="AS44">
        <f>IF(Evalucion!AT42=Datos!$C$15,Datos!$D$15,IF(Evalucion!AT42=Datos!$C$16,Datos!$D$16,IF(Evalucion!AT42=Datos!$C$17,Datos!$D$17,IF(Evalucion!AT42=Datos!$C$18,Datos!$D$18,IF(Evalucion!AT42=Datos!$C$19,Datos!$D$19,"=")))))</f>
        <v>1</v>
      </c>
      <c r="AT44">
        <f>IF(Evalucion!AU42=Datos!$C$15,Datos!$D$15,IF(Evalucion!AU42=Datos!$C$16,Datos!$D$16,IF(Evalucion!AU42=Datos!$C$17,Datos!$D$17,IF(Evalucion!AU42=Datos!$C$18,Datos!$D$18,IF(Evalucion!AU42=Datos!$C$19,Datos!$D$19,"=")))))</f>
        <v>3</v>
      </c>
      <c r="AV44">
        <f>IF(Evalucion!AW42=Datos!$C$15,Datos!$D$15,IF(Evalucion!AW42=Datos!$C$16,Datos!$D$16,IF(Evalucion!AW42=Datos!$C$17,Datos!$D$17,IF(Evalucion!AW42=Datos!$C$18,Datos!$D$18,IF(Evalucion!AW42=Datos!$C$19,Datos!$D$19,"=")))))</f>
        <v>1</v>
      </c>
      <c r="AW44">
        <f>IF(Evalucion!AX42=Datos!$C$15,Datos!$D$15,IF(Evalucion!AX42=Datos!$C$16,Datos!$D$16,IF(Evalucion!AX42=Datos!$C$17,Datos!$D$17,IF(Evalucion!AX42=Datos!$C$18,Datos!$D$18,IF(Evalucion!AX42=Datos!$C$19,Datos!$D$19,"=")))))</f>
        <v>3</v>
      </c>
      <c r="AX44">
        <f>IF(Evalucion!AY42=Datos!$C$15,Datos!$D$15,IF(Evalucion!AY42=Datos!$C$16,Datos!$D$16,IF(Evalucion!AY42=Datos!$C$17,Datos!$D$17,IF(Evalucion!AY42=Datos!$C$18,Datos!$D$18,IF(Evalucion!AY42=Datos!$C$19,Datos!$D$19,"=")))))</f>
        <v>5</v>
      </c>
      <c r="AY44">
        <f>IF(Evalucion!AZ42=Datos!$C$15,Datos!$D$15,IF(Evalucion!AZ42=Datos!$C$16,Datos!$D$16,IF(Evalucion!AZ42=Datos!$C$17,Datos!$D$17,IF(Evalucion!AZ42=Datos!$C$18,Datos!$D$18,IF(Evalucion!AZ42=Datos!$C$19,Datos!$D$19,"=")))))</f>
        <v>5</v>
      </c>
      <c r="AZ44">
        <f>IF(Evalucion!BA42=Datos!$C$15,Datos!$D$15,IF(Evalucion!BA42=Datos!$C$16,Datos!$D$16,IF(Evalucion!BA42=Datos!$C$17,Datos!$D$17,IF(Evalucion!BA42=Datos!$C$18,Datos!$D$18,IF(Evalucion!BA42=Datos!$C$19,Datos!$D$19,"=")))))</f>
        <v>5</v>
      </c>
      <c r="BA44">
        <f>IF(Evalucion!BB42=Datos!$C$15,Datos!$D$15,IF(Evalucion!BB42=Datos!$C$16,Datos!$D$16,IF(Evalucion!BB42=Datos!$C$17,Datos!$D$17,IF(Evalucion!BB42=Datos!$C$18,Datos!$D$18,IF(Evalucion!BB42=Datos!$C$19,Datos!$D$19,"=")))))</f>
        <v>5</v>
      </c>
      <c r="BB44">
        <f>IF(Evalucion!BC42=Datos!$C$15,Datos!$D$15,IF(Evalucion!BC42=Datos!$C$16,Datos!$D$16,IF(Evalucion!BC42=Datos!$C$17,Datos!$D$17,IF(Evalucion!BC42=Datos!$C$18,Datos!$D$18,IF(Evalucion!BC42=Datos!$C$19,Datos!$D$19,"=")))))</f>
        <v>5</v>
      </c>
      <c r="BC44">
        <f>IF(Evalucion!BD42=Datos!$C$15,Datos!$D$15,IF(Evalucion!BD42=Datos!$C$16,Datos!$D$16,IF(Evalucion!BD42=Datos!$C$17,Datos!$D$17,IF(Evalucion!BD42=Datos!$C$18,Datos!$D$18,IF(Evalucion!BD42=Datos!$C$19,Datos!$D$19,"=")))))</f>
        <v>5</v>
      </c>
      <c r="BD44">
        <f>IF(Evalucion!BE42=Datos!$C$15,Datos!$D$15,IF(Evalucion!BE42=Datos!$C$16,Datos!$D$16,IF(Evalucion!BE42=Datos!$C$17,Datos!$D$17,IF(Evalucion!BE42=Datos!$C$18,Datos!$D$18,IF(Evalucion!BE42=Datos!$C$19,Datos!$D$19,"=")))))</f>
        <v>5</v>
      </c>
      <c r="BE44">
        <f>IF(Evalucion!BF42=Datos!$C$15,Datos!$D$15,IF(Evalucion!BF42=Datos!$C$16,Datos!$D$16,IF(Evalucion!BF42=Datos!$C$17,Datos!$D$17,IF(Evalucion!BF42=Datos!$C$18,Datos!$D$18,IF(Evalucion!BF42=Datos!$C$19,Datos!$D$19,"=")))))</f>
        <v>5</v>
      </c>
      <c r="BF44">
        <f>IF(Evalucion!BG42=Datos!$C$15,Datos!$D$15,IF(Evalucion!BG42=Datos!$C$16,Datos!$D$16,IF(Evalucion!BG42=Datos!$C$17,Datos!$D$17,IF(Evalucion!BG42=Datos!$C$18,Datos!$D$18,IF(Evalucion!BG42=Datos!$C$19,Datos!$D$19,"=")))))</f>
        <v>5</v>
      </c>
      <c r="BG44">
        <f>IF(Evalucion!BH42=Datos!$C$15,Datos!$D$15,IF(Evalucion!BH42=Datos!$C$16,Datos!$D$16,IF(Evalucion!BH42=Datos!$C$17,Datos!$D$17,IF(Evalucion!BH42=Datos!$C$18,Datos!$D$18,IF(Evalucion!BH42=Datos!$C$19,Datos!$D$19,"=")))))</f>
        <v>5</v>
      </c>
      <c r="BH44">
        <f>IF(Evalucion!BI42=Datos!$C$15,Datos!$D$15,IF(Evalucion!BI42=Datos!$C$16,Datos!$D$16,IF(Evalucion!BI42=Datos!$C$17,Datos!$D$17,IF(Evalucion!BI42=Datos!$C$18,Datos!$D$18,IF(Evalucion!BI42=Datos!$C$19,Datos!$D$19,"=")))))</f>
        <v>5</v>
      </c>
      <c r="BI44">
        <f>IF(Evalucion!BJ42=Datos!$C$15,Datos!$D$15,IF(Evalucion!BJ42=Datos!$C$16,Datos!$D$16,IF(Evalucion!BJ42=Datos!$C$17,Datos!$D$17,IF(Evalucion!BJ42=Datos!$C$18,Datos!$D$18,IF(Evalucion!BJ42=Datos!$C$19,Datos!$D$19,"=")))))</f>
        <v>5</v>
      </c>
      <c r="BJ44">
        <f>IF(Evalucion!BK42=Datos!$C$15,Datos!$D$15,IF(Evalucion!BK42=Datos!$C$16,Datos!$D$16,IF(Evalucion!BK42=Datos!$C$17,Datos!$D$17,IF(Evalucion!BK42=Datos!$C$18,Datos!$D$18,IF(Evalucion!BK42=Datos!$C$19,Datos!$D$19,"=")))))</f>
        <v>5</v>
      </c>
      <c r="BK44">
        <f>IF(Evalucion!BL42=Datos!$C$15,Datos!$D$15,IF(Evalucion!BL42=Datos!$C$16,Datos!$D$16,IF(Evalucion!BL42=Datos!$C$17,Datos!$D$17,IF(Evalucion!BL42=Datos!$C$18,Datos!$D$18,IF(Evalucion!BL42=Datos!$C$19,Datos!$D$19,"=")))))</f>
        <v>5</v>
      </c>
      <c r="BL44">
        <f>IF(Evalucion!BM42=Datos!$C$15,Datos!$D$15,IF(Evalucion!BM42=Datos!$C$16,Datos!$D$16,IF(Evalucion!BM42=Datos!$C$17,Datos!$D$17,IF(Evalucion!BM42=Datos!$C$18,Datos!$D$18,IF(Evalucion!BM42=Datos!$C$19,Datos!$D$19,"=")))))</f>
        <v>5</v>
      </c>
      <c r="BM44">
        <f>IF(Evalucion!BN42=Datos!$C$15,Datos!$D$15,IF(Evalucion!BN42=Datos!$C$16,Datos!$D$16,IF(Evalucion!BN42=Datos!$C$17,Datos!$D$17,IF(Evalucion!BN42=Datos!$C$18,Datos!$D$18,IF(Evalucion!BN42=Datos!$C$19,Datos!$D$19,"=")))))</f>
        <v>3</v>
      </c>
      <c r="BN44">
        <f>IF(Evalucion!BO42=Datos!$C$15,Datos!$D$15,IF(Evalucion!BO42=Datos!$C$16,Datos!$D$16,IF(Evalucion!BO42=Datos!$C$17,Datos!$D$17,IF(Evalucion!BO42=Datos!$C$18,Datos!$D$18,IF(Evalucion!BO42=Datos!$C$19,Datos!$D$19,"=")))))</f>
        <v>5</v>
      </c>
      <c r="BO44">
        <f>IF(Evalucion!BP42=Datos!$C$15,Datos!$D$15,IF(Evalucion!BP42=Datos!$C$16,Datos!$D$16,IF(Evalucion!BP42=Datos!$C$17,Datos!$D$17,IF(Evalucion!BP42=Datos!$C$18,Datos!$D$18,IF(Evalucion!BP42=Datos!$C$19,Datos!$D$19,"=")))))</f>
        <v>5</v>
      </c>
      <c r="BP44">
        <f>IF(Evalucion!BQ42=Datos!$C$15,Datos!$D$15,IF(Evalucion!BQ42=Datos!$C$16,Datos!$D$16,IF(Evalucion!BQ42=Datos!$C$17,Datos!$D$17,IF(Evalucion!BQ42=Datos!$C$18,Datos!$D$18,IF(Evalucion!BQ42=Datos!$C$19,Datos!$D$19,"=")))))</f>
        <v>5</v>
      </c>
      <c r="BQ44">
        <f>IF(Evalucion!BR42=Datos!$C$15,Datos!$D$15,IF(Evalucion!BR42=Datos!$C$16,Datos!$D$16,IF(Evalucion!BR42=Datos!$C$17,Datos!$D$17,IF(Evalucion!BR42=Datos!$C$18,Datos!$D$18,IF(Evalucion!BR42=Datos!$C$19,Datos!$D$19,"=")))))</f>
        <v>5</v>
      </c>
      <c r="BR44">
        <f>IF(Evalucion!BS42=Datos!$C$15,Datos!$D$15,IF(Evalucion!BS42=Datos!$C$16,Datos!$D$16,IF(Evalucion!BS42=Datos!$C$17,Datos!$D$17,IF(Evalucion!BS42=Datos!$C$18,Datos!$D$18,IF(Evalucion!BS42=Datos!$C$19,Datos!$D$19,"=")))))</f>
        <v>5</v>
      </c>
      <c r="BS44">
        <f>IF(Evalucion!BT42=Datos!$C$15,Datos!$D$15,IF(Evalucion!BT42=Datos!$C$16,Datos!$D$16,IF(Evalucion!BT42=Datos!$C$17,Datos!$D$17,IF(Evalucion!BT42=Datos!$C$18,Datos!$D$18,IF(Evalucion!BT42=Datos!$C$19,Datos!$D$19,"=")))))</f>
        <v>5</v>
      </c>
      <c r="BT44">
        <f>IF(Evalucion!BU42=Datos!$C$15,Datos!$D$15,IF(Evalucion!BU42=Datos!$C$16,Datos!$D$16,IF(Evalucion!BU42=Datos!$C$17,Datos!$D$17,IF(Evalucion!BU42=Datos!$C$18,Datos!$D$18,IF(Evalucion!BU42=Datos!$C$19,Datos!$D$19,"=")))))</f>
        <v>5</v>
      </c>
      <c r="BU44">
        <f>IF(Evalucion!BV42=Datos!$C$15,Datos!$D$15,IF(Evalucion!BV42=Datos!$C$16,Datos!$D$16,IF(Evalucion!BV42=Datos!$C$17,Datos!$D$17,IF(Evalucion!BV42=Datos!$C$18,Datos!$D$18,IF(Evalucion!BV42=Datos!$C$19,Datos!$D$19,"=")))))</f>
        <v>5</v>
      </c>
      <c r="BV44">
        <f>IF(Evalucion!BW42=Datos!$C$15,Datos!$D$15,IF(Evalucion!BW42=Datos!$C$16,Datos!$D$16,IF(Evalucion!BW42=Datos!$C$17,Datos!$D$17,IF(Evalucion!BW42=Datos!$C$18,Datos!$D$18,IF(Evalucion!BW42=Datos!$C$19,Datos!$D$19,"=")))))</f>
        <v>5</v>
      </c>
      <c r="BW44">
        <f>IF(Evalucion!BX42=Datos!$C$15,Datos!$D$15,IF(Evalucion!BX42=Datos!$C$16,Datos!$D$16,IF(Evalucion!BX42=Datos!$C$17,Datos!$D$17,IF(Evalucion!BX42=Datos!$C$18,Datos!$D$18,IF(Evalucion!BX42=Datos!$C$19,Datos!$D$19,"=")))))</f>
        <v>5</v>
      </c>
      <c r="BX44">
        <f>IF(Evalucion!BY42=Datos!$C$15,Datos!$D$15,IF(Evalucion!BY42=Datos!$C$16,Datos!$D$16,IF(Evalucion!BY42=Datos!$C$17,Datos!$D$17,IF(Evalucion!BY42=Datos!$C$18,Datos!$D$18,IF(Evalucion!BY42=Datos!$C$19,Datos!$D$19,"=")))))</f>
        <v>5</v>
      </c>
      <c r="BY44">
        <f>IF(Evalucion!BZ42=Datos!$C$15,Datos!$D$15,IF(Evalucion!BZ42=Datos!$C$16,Datos!$D$16,IF(Evalucion!BZ42=Datos!$C$17,Datos!$D$17,IF(Evalucion!BZ42=Datos!$C$18,Datos!$D$18,IF(Evalucion!BZ42=Datos!$C$19,Datos!$D$19,"=")))))</f>
        <v>5</v>
      </c>
      <c r="BZ44">
        <f>IF(Evalucion!CA42=Datos!$C$15,Datos!$D$15,IF(Evalucion!CA42=Datos!$C$16,Datos!$D$16,IF(Evalucion!CA42=Datos!$C$17,Datos!$D$17,IF(Evalucion!CA42=Datos!$C$18,Datos!$D$18,IF(Evalucion!CA42=Datos!$C$19,Datos!$D$19,"=")))))</f>
        <v>5</v>
      </c>
      <c r="CA44">
        <f>IF(Evalucion!CB42=Datos!$C$15,Datos!$D$15,IF(Evalucion!CB42=Datos!$C$16,Datos!$D$16,IF(Evalucion!CB42=Datos!$C$17,Datos!$D$17,IF(Evalucion!CB42=Datos!$C$18,Datos!$D$18,IF(Evalucion!CB42=Datos!$C$19,Datos!$D$19,"=")))))</f>
        <v>5</v>
      </c>
      <c r="CB44">
        <f>IF(Evalucion!CC42=Datos!$C$15,Datos!$D$15,IF(Evalucion!CC42=Datos!$C$16,Datos!$D$16,IF(Evalucion!CC42=Datos!$C$17,Datos!$D$17,IF(Evalucion!CC42=Datos!$C$18,Datos!$D$18,IF(Evalucion!CC42=Datos!$C$19,Datos!$D$19,"=")))))</f>
        <v>5</v>
      </c>
      <c r="CC44">
        <f>IF(Evalucion!CD42=Datos!$C$15,Datos!$D$15,IF(Evalucion!CD42=Datos!$C$16,Datos!$D$16,IF(Evalucion!CD42=Datos!$C$17,Datos!$D$17,IF(Evalucion!CD42=Datos!$C$18,Datos!$D$18,IF(Evalucion!CD42=Datos!$C$19,Datos!$D$19,"=")))))</f>
        <v>5</v>
      </c>
      <c r="CD44">
        <f>IF(Evalucion!CE42=Datos!$C$15,Datos!$D$15,IF(Evalucion!CE42=Datos!$C$16,Datos!$D$16,IF(Evalucion!CE42=Datos!$C$17,Datos!$D$17,IF(Evalucion!CE42=Datos!$C$18,Datos!$D$18,IF(Evalucion!CE42=Datos!$C$19,Datos!$D$19,"=")))))</f>
        <v>5</v>
      </c>
      <c r="CE44">
        <f>IF(Evalucion!CF42=Datos!$C$15,Datos!$D$15,IF(Evalucion!CF42=Datos!$C$16,Datos!$D$16,IF(Evalucion!CF42=Datos!$C$17,Datos!$D$17,IF(Evalucion!CF42=Datos!$C$18,Datos!$D$18,IF(Evalucion!CF42=Datos!$C$19,Datos!$D$19,"=")))))</f>
        <v>3</v>
      </c>
      <c r="CF44">
        <f>IF(Evalucion!CG42=Datos!$C$15,Datos!$D$15,IF(Evalucion!CG42=Datos!$C$16,Datos!$D$16,IF(Evalucion!CG42=Datos!$C$17,Datos!$D$17,IF(Evalucion!CG42=Datos!$C$18,Datos!$D$18,IF(Evalucion!CG42=Datos!$C$19,Datos!$D$19,"=")))))</f>
        <v>5</v>
      </c>
      <c r="CG44">
        <f>IF(Evalucion!CH42=Datos!$C$15,Datos!$D$15,IF(Evalucion!CH42=Datos!$C$16,Datos!$D$16,IF(Evalucion!CH42=Datos!$C$17,Datos!$D$17,IF(Evalucion!CH42=Datos!$C$18,Datos!$D$18,IF(Evalucion!CH42=Datos!$C$19,Datos!$D$19,"=")))))</f>
        <v>1</v>
      </c>
      <c r="CH44">
        <f>IF(Evalucion!CI42=Datos!$C$15,Datos!$D$15,IF(Evalucion!CI42=Datos!$C$16,Datos!$D$16,IF(Evalucion!CI42=Datos!$C$17,Datos!$D$17,IF(Evalucion!CI42=Datos!$C$18,Datos!$D$18,IF(Evalucion!CI42=Datos!$C$19,Datos!$D$19,"=")))))</f>
        <v>5</v>
      </c>
      <c r="CI44">
        <f>IF(Evalucion!CJ42=Datos!$C$15,Datos!$D$15,IF(Evalucion!CJ42=Datos!$C$16,Datos!$D$16,IF(Evalucion!CJ42=Datos!$C$17,Datos!$D$17,IF(Evalucion!CJ42=Datos!$C$18,Datos!$D$18,IF(Evalucion!CJ42=Datos!$C$19,Datos!$D$19,"=")))))</f>
        <v>3</v>
      </c>
      <c r="CJ44">
        <f>IF(Evalucion!CK42=Datos!$C$15,Datos!$D$15,IF(Evalucion!CK42=Datos!$C$16,Datos!$D$16,IF(Evalucion!CK42=Datos!$C$17,Datos!$D$17,IF(Evalucion!CK42=Datos!$C$18,Datos!$D$18,IF(Evalucion!CK42=Datos!$C$19,Datos!$D$19,"=")))))</f>
        <v>5</v>
      </c>
      <c r="CK44">
        <f>IF(Evalucion!CL42=Datos!$C$15,Datos!$D$15,IF(Evalucion!CL42=Datos!$C$16,Datos!$D$16,IF(Evalucion!CL42=Datos!$C$17,Datos!$D$17,IF(Evalucion!CL42=Datos!$C$18,Datos!$D$18,IF(Evalucion!CL42=Datos!$C$19,Datos!$D$19,"=")))))</f>
        <v>5</v>
      </c>
      <c r="CL44">
        <f>IF(Evalucion!CM42=Datos!$C$15,Datos!$D$15,IF(Evalucion!CM42=Datos!$C$16,Datos!$D$16,IF(Evalucion!CM42=Datos!$C$17,Datos!$D$17,IF(Evalucion!CM42=Datos!$C$18,Datos!$D$18,IF(Evalucion!CM42=Datos!$C$19,Datos!$D$19,"=")))))</f>
        <v>5</v>
      </c>
      <c r="CM44">
        <f>IF(Evalucion!CN42=Datos!$C$15,Datos!$D$15,IF(Evalucion!CN42=Datos!$C$16,Datos!$D$16,IF(Evalucion!CN42=Datos!$C$17,Datos!$D$17,IF(Evalucion!CN42=Datos!$C$18,Datos!$D$18,IF(Evalucion!CN42=Datos!$C$19,Datos!$D$19,"=")))))</f>
        <v>3</v>
      </c>
      <c r="CN44">
        <f>IF(Evalucion!CO42=Datos!$C$15,Datos!$D$15,IF(Evalucion!CO42=Datos!$C$16,Datos!$D$16,IF(Evalucion!CO42=Datos!$C$17,Datos!$D$17,IF(Evalucion!CO42=Datos!$C$18,Datos!$D$18,IF(Evalucion!CO42=Datos!$C$19,Datos!$D$19,"=")))))</f>
        <v>5</v>
      </c>
      <c r="CO44">
        <f>IF(Evalucion!CP42=Datos!$C$15,Datos!$D$15,IF(Evalucion!CP42=Datos!$C$16,Datos!$D$16,IF(Evalucion!CP42=Datos!$C$17,Datos!$D$17,IF(Evalucion!CP42=Datos!$C$18,Datos!$D$18,IF(Evalucion!CP42=Datos!$C$19,Datos!$D$19,"=")))))</f>
        <v>5</v>
      </c>
      <c r="CP44">
        <f>IF(Evalucion!CQ42=Datos!$C$15,Datos!$D$15,IF(Evalucion!CQ42=Datos!$C$16,Datos!$D$16,IF(Evalucion!CQ42=Datos!$C$17,Datos!$D$17,IF(Evalucion!CQ42=Datos!$C$18,Datos!$D$18,IF(Evalucion!CQ42=Datos!$C$19,Datos!$D$19,"=")))))</f>
        <v>5</v>
      </c>
      <c r="CQ44">
        <f>IF(Evalucion!CR42=Datos!$C$15,Datos!$D$15,IF(Evalucion!CR42=Datos!$C$16,Datos!$D$16,IF(Evalucion!CR42=Datos!$C$17,Datos!$D$17,IF(Evalucion!CR42=Datos!$C$18,Datos!$D$18,IF(Evalucion!CR42=Datos!$C$19,Datos!$D$19,"=")))))</f>
        <v>1</v>
      </c>
      <c r="CR44">
        <f>IF(Evalucion!CS42=Datos!$C$15,Datos!$D$15,IF(Evalucion!CS42=Datos!$C$16,Datos!$D$16,IF(Evalucion!CS42=Datos!$C$17,Datos!$D$17,IF(Evalucion!CS42=Datos!$C$18,Datos!$D$18,IF(Evalucion!CS42=Datos!$C$19,Datos!$D$19,"=")))))</f>
        <v>5</v>
      </c>
      <c r="CS44">
        <f>IF(Evalucion!CT42=Datos!$C$15,Datos!$D$15,IF(Evalucion!CT42=Datos!$C$16,Datos!$D$16,IF(Evalucion!CT42=Datos!$C$17,Datos!$D$17,IF(Evalucion!CT42=Datos!$C$18,Datos!$D$18,IF(Evalucion!CT42=Datos!$C$19,Datos!$D$19,"=")))))</f>
        <v>1</v>
      </c>
      <c r="CT44">
        <f>IF(Evalucion!CU42=Datos!$C$15,Datos!$D$15,IF(Evalucion!CU42=Datos!$C$16,Datos!$D$16,IF(Evalucion!CU42=Datos!$C$17,Datos!$D$17,IF(Evalucion!CU42=Datos!$C$18,Datos!$D$18,IF(Evalucion!CU42=Datos!$C$19,Datos!$D$19,"=")))))</f>
        <v>5</v>
      </c>
      <c r="CU44">
        <f>IF(Evalucion!CV42=Datos!$C$15,Datos!$D$15,IF(Evalucion!CV42=Datos!$C$16,Datos!$D$16,IF(Evalucion!CV42=Datos!$C$17,Datos!$D$17,IF(Evalucion!CV42=Datos!$C$18,Datos!$D$18,IF(Evalucion!CV42=Datos!$C$19,Datos!$D$19,"=")))))</f>
        <v>3</v>
      </c>
      <c r="CV44">
        <f>IF(Evalucion!CW42=Datos!$C$15,Datos!$D$15,IF(Evalucion!CW42=Datos!$C$16,Datos!$D$16,IF(Evalucion!CW42=Datos!$C$17,Datos!$D$17,IF(Evalucion!CW42=Datos!$C$18,Datos!$D$18,IF(Evalucion!CW42=Datos!$C$19,Datos!$D$19,"=")))))</f>
        <v>5</v>
      </c>
      <c r="CW44">
        <f>IF(Evalucion!CX42=Datos!$C$15,Datos!$D$15,IF(Evalucion!CX42=Datos!$C$16,Datos!$D$16,IF(Evalucion!CX42=Datos!$C$17,Datos!$D$17,IF(Evalucion!CX42=Datos!$C$18,Datos!$D$18,IF(Evalucion!CX42=Datos!$C$19,Datos!$D$19,"=")))))</f>
        <v>3</v>
      </c>
      <c r="CX44">
        <f>IF(Evalucion!CY42=Datos!$C$15,Datos!$D$15,IF(Evalucion!CY42=Datos!$C$16,Datos!$D$16,IF(Evalucion!CY42=Datos!$C$17,Datos!$D$17,IF(Evalucion!CY42=Datos!$C$18,Datos!$D$18,IF(Evalucion!CY42=Datos!$C$19,Datos!$D$19,"=")))))</f>
        <v>5</v>
      </c>
      <c r="CY44">
        <f>IF(Evalucion!CZ42=Datos!$C$15,Datos!$D$15,IF(Evalucion!CZ42=Datos!$C$16,Datos!$D$16,IF(Evalucion!CZ42=Datos!$C$17,Datos!$D$17,IF(Evalucion!CZ42=Datos!$C$18,Datos!$D$18,IF(Evalucion!CZ42=Datos!$C$19,Datos!$D$19,"=")))))</f>
        <v>3</v>
      </c>
      <c r="CZ44">
        <f>IF(Evalucion!DA42=Datos!$C$15,Datos!$D$15,IF(Evalucion!DA42=Datos!$C$16,Datos!$D$16,IF(Evalucion!DA42=Datos!$C$17,Datos!$D$17,IF(Evalucion!DA42=Datos!$C$18,Datos!$D$18,IF(Evalucion!DA42=Datos!$C$19,Datos!$D$19,"=")))))</f>
        <v>5</v>
      </c>
      <c r="DA44">
        <f>IF(Evalucion!DB42=Datos!$C$15,Datos!$D$15,IF(Evalucion!DB42=Datos!$C$16,Datos!$D$16,IF(Evalucion!DB42=Datos!$C$17,Datos!$D$17,IF(Evalucion!DB42=Datos!$C$18,Datos!$D$18,IF(Evalucion!DB42=Datos!$C$19,Datos!$D$19,"=")))))</f>
        <v>3</v>
      </c>
      <c r="DB44">
        <f>IF(Evalucion!DC42=Datos!$C$15,Datos!$D$15,IF(Evalucion!DC42=Datos!$C$16,Datos!$D$16,IF(Evalucion!DC42=Datos!$C$17,Datos!$D$17,IF(Evalucion!DC42=Datos!$C$18,Datos!$D$18,IF(Evalucion!DC42=Datos!$C$19,Datos!$D$19,"=")))))</f>
        <v>5</v>
      </c>
      <c r="DC44">
        <f>IF(Evalucion!DD42=Datos!$C$15,Datos!$D$15,IF(Evalucion!DD42=Datos!$C$16,Datos!$D$16,IF(Evalucion!DD42=Datos!$C$17,Datos!$D$17,IF(Evalucion!DD42=Datos!$C$18,Datos!$D$18,IF(Evalucion!DD42=Datos!$C$19,Datos!$D$19,"=")))))</f>
        <v>5</v>
      </c>
      <c r="DD44">
        <f>IF(Evalucion!DE42=Datos!$C$15,Datos!$D$15,IF(Evalucion!DE42=Datos!$C$16,Datos!$D$16,IF(Evalucion!DE42=Datos!$C$17,Datos!$D$17,IF(Evalucion!DE42=Datos!$C$18,Datos!$D$18,IF(Evalucion!DE42=Datos!$C$19,Datos!$D$19,"=")))))</f>
        <v>5</v>
      </c>
      <c r="DE44">
        <f>IF(Evalucion!DF42=Datos!$C$15,Datos!$D$15,IF(Evalucion!DF42=Datos!$C$16,Datos!$D$16,IF(Evalucion!DF42=Datos!$C$17,Datos!$D$17,IF(Evalucion!DF42=Datos!$C$18,Datos!$D$18,IF(Evalucion!DF42=Datos!$C$19,Datos!$D$19,"=")))))</f>
        <v>3</v>
      </c>
      <c r="DF44">
        <f>IF(Evalucion!DG42=Datos!$C$15,Datos!$D$15,IF(Evalucion!DG42=Datos!$C$16,Datos!$D$16,IF(Evalucion!DG42=Datos!$C$17,Datos!$D$17,IF(Evalucion!DG42=Datos!$C$18,Datos!$D$18,IF(Evalucion!DG42=Datos!$C$19,Datos!$D$19,"=")))))</f>
        <v>5</v>
      </c>
      <c r="DG44">
        <f>IF(Evalucion!DH42=Datos!$C$15,Datos!$D$15,IF(Evalucion!DH42=Datos!$C$16,Datos!$D$16,IF(Evalucion!DH42=Datos!$C$17,Datos!$D$17,IF(Evalucion!DH42=Datos!$C$18,Datos!$D$18,IF(Evalucion!DH42=Datos!$C$19,Datos!$D$19,"=")))))</f>
        <v>3</v>
      </c>
      <c r="DH44">
        <f>IF(Evalucion!DI42=Datos!$C$15,Datos!$D$15,IF(Evalucion!DI42=Datos!$C$16,Datos!$D$16,IF(Evalucion!DI42=Datos!$C$17,Datos!$D$17,IF(Evalucion!DI42=Datos!$C$18,Datos!$D$18,IF(Evalucion!DI42=Datos!$C$19,Datos!$D$19,"=")))))</f>
        <v>5</v>
      </c>
      <c r="DI44">
        <f>IF(Evalucion!DJ42=Datos!$C$15,Datos!$D$15,IF(Evalucion!DJ42=Datos!$C$16,Datos!$D$16,IF(Evalucion!DJ42=Datos!$C$17,Datos!$D$17,IF(Evalucion!DJ42=Datos!$C$18,Datos!$D$18,IF(Evalucion!DJ42=Datos!$C$19,Datos!$D$19,"=")))))</f>
        <v>1</v>
      </c>
      <c r="DJ44">
        <f>IF(Evalucion!DK42=Datos!$C$15,Datos!$D$15,IF(Evalucion!DK42=Datos!$C$16,Datos!$D$16,IF(Evalucion!DK42=Datos!$C$17,Datos!$D$17,IF(Evalucion!DK42=Datos!$C$18,Datos!$D$18,IF(Evalucion!DK42=Datos!$C$19,Datos!$D$19,"=")))))</f>
        <v>5</v>
      </c>
      <c r="DK44">
        <f>IF(Evalucion!DL42=Datos!$C$15,Datos!$D$15,IF(Evalucion!DL42=Datos!$C$16,Datos!$D$16,IF(Evalucion!DL42=Datos!$C$17,Datos!$D$17,IF(Evalucion!DL42=Datos!$C$18,Datos!$D$18,IF(Evalucion!DL42=Datos!$C$19,Datos!$D$19,"=")))))</f>
        <v>5</v>
      </c>
      <c r="DL44">
        <f>IF(Evalucion!DM42=Datos!$C$15,Datos!$D$15,IF(Evalucion!DM42=Datos!$C$16,Datos!$D$16,IF(Evalucion!DM42=Datos!$C$17,Datos!$D$17,IF(Evalucion!DM42=Datos!$C$18,Datos!$D$18,IF(Evalucion!DM42=Datos!$C$19,Datos!$D$19,"=")))))</f>
        <v>5</v>
      </c>
      <c r="DM44">
        <f>IF(Evalucion!DN42=Datos!$C$15,Datos!$D$15,IF(Evalucion!DN42=Datos!$C$16,Datos!$D$16,IF(Evalucion!DN42=Datos!$C$17,Datos!$D$17,IF(Evalucion!DN42=Datos!$C$18,Datos!$D$18,IF(Evalucion!DN42=Datos!$C$19,Datos!$D$19,"=")))))</f>
        <v>5</v>
      </c>
      <c r="DN44">
        <f>IF(Evalucion!DO42=Datos!$C$15,Datos!$D$15,IF(Evalucion!DO42=Datos!$C$16,Datos!$D$16,IF(Evalucion!DO42=Datos!$C$17,Datos!$D$17,IF(Evalucion!DO42=Datos!$C$18,Datos!$D$18,IF(Evalucion!DO42=Datos!$C$19,Datos!$D$19,"=")))))</f>
        <v>5</v>
      </c>
      <c r="DO44">
        <f>IF(Evalucion!DP42=Datos!$C$15,Datos!$D$15,IF(Evalucion!DP42=Datos!$C$16,Datos!$D$16,IF(Evalucion!DP42=Datos!$C$17,Datos!$D$17,IF(Evalucion!DP42=Datos!$C$18,Datos!$D$18,IF(Evalucion!DP42=Datos!$C$19,Datos!$D$19,"=")))))</f>
        <v>5</v>
      </c>
      <c r="DP44">
        <f>IF(Evalucion!DQ42=Datos!$C$15,Datos!$D$15,IF(Evalucion!DQ42=Datos!$C$16,Datos!$D$16,IF(Evalucion!DQ42=Datos!$C$17,Datos!$D$17,IF(Evalucion!DQ42=Datos!$C$18,Datos!$D$18,IF(Evalucion!DQ42=Datos!$C$19,Datos!$D$19,"=")))))</f>
        <v>5</v>
      </c>
      <c r="DQ44">
        <f>IF(Evalucion!DR42=Datos!$C$15,Datos!$D$15,IF(Evalucion!DR42=Datos!$C$16,Datos!$D$16,IF(Evalucion!DR42=Datos!$C$17,Datos!$D$17,IF(Evalucion!DR42=Datos!$C$18,Datos!$D$18,IF(Evalucion!DR42=Datos!$C$19,Datos!$D$19,"=")))))</f>
        <v>5</v>
      </c>
      <c r="DR44">
        <f>IF(Evalucion!DS42=Datos!$C$15,Datos!$D$15,IF(Evalucion!DS42=Datos!$C$16,Datos!$D$16,IF(Evalucion!DS42=Datos!$C$17,Datos!$D$17,IF(Evalucion!DS42=Datos!$C$18,Datos!$D$18,IF(Evalucion!DS42=Datos!$C$19,Datos!$D$19,"=")))))</f>
        <v>5</v>
      </c>
      <c r="DS44">
        <f>IF(Evalucion!DT42=Datos!$C$15,Datos!$D$15,IF(Evalucion!DT42=Datos!$C$16,Datos!$D$16,IF(Evalucion!DT42=Datos!$C$17,Datos!$D$17,IF(Evalucion!DT42=Datos!$C$18,Datos!$D$18,IF(Evalucion!DT42=Datos!$C$19,Datos!$D$19,"=")))))</f>
        <v>5</v>
      </c>
      <c r="DT44">
        <f>IF(Evalucion!DU42=Datos!$C$15,Datos!$D$15,IF(Evalucion!DU42=Datos!$C$16,Datos!$D$16,IF(Evalucion!DU42=Datos!$C$17,Datos!$D$17,IF(Evalucion!DU42=Datos!$C$18,Datos!$D$18,IF(Evalucion!DU42=Datos!$C$19,Datos!$D$19,"=")))))</f>
        <v>5</v>
      </c>
      <c r="DU44">
        <f>IF(Evalucion!DV42=Datos!$C$15,Datos!$D$15,IF(Evalucion!DV42=Datos!$C$16,Datos!$D$16,IF(Evalucion!DV42=Datos!$C$17,Datos!$D$17,IF(Evalucion!DV42=Datos!$C$18,Datos!$D$18,IF(Evalucion!DV42=Datos!$C$19,Datos!$D$19,"=")))))</f>
        <v>5</v>
      </c>
      <c r="DV44">
        <f>IF(Evalucion!DW42=Datos!$C$15,Datos!$D$15,IF(Evalucion!DW42=Datos!$C$16,Datos!$D$16,IF(Evalucion!DW42=Datos!$C$17,Datos!$D$17,IF(Evalucion!DW42=Datos!$C$18,Datos!$D$18,IF(Evalucion!DW42=Datos!$C$19,Datos!$D$19,"=")))))</f>
        <v>5</v>
      </c>
      <c r="DW44">
        <f>IF(Evalucion!DX42=Datos!$C$15,Datos!$D$15,IF(Evalucion!DX42=Datos!$C$16,Datos!$D$16,IF(Evalucion!DX42=Datos!$C$17,Datos!$D$17,IF(Evalucion!DX42=Datos!$C$18,Datos!$D$18,IF(Evalucion!DX42=Datos!$C$19,Datos!$D$19,"=")))))</f>
        <v>5</v>
      </c>
      <c r="DX44">
        <f>IF(Evalucion!DY42=Datos!$C$15,Datos!$D$15,IF(Evalucion!DY42=Datos!$C$16,Datos!$D$16,IF(Evalucion!DY42=Datos!$C$17,Datos!$D$17,IF(Evalucion!DY42=Datos!$C$18,Datos!$D$18,IF(Evalucion!DY42=Datos!$C$19,Datos!$D$19,"=")))))</f>
        <v>5</v>
      </c>
      <c r="DY44">
        <f>IF(Evalucion!DZ42=Datos!$C$15,Datos!$D$15,IF(Evalucion!DZ42=Datos!$C$16,Datos!$D$16,IF(Evalucion!DZ42=Datos!$C$17,Datos!$D$17,IF(Evalucion!DZ42=Datos!$C$18,Datos!$D$18,IF(Evalucion!DZ42=Datos!$C$19,Datos!$D$19,"=")))))</f>
        <v>3</v>
      </c>
      <c r="DZ44">
        <f>IF(Evalucion!EA42=Datos!$C$15,Datos!$D$15,IF(Evalucion!EA42=Datos!$C$16,Datos!$D$16,IF(Evalucion!EA42=Datos!$C$17,Datos!$D$17,IF(Evalucion!EA42=Datos!$C$18,Datos!$D$18,IF(Evalucion!EA42=Datos!$C$19,Datos!$D$19,"=")))))</f>
        <v>5</v>
      </c>
      <c r="EA44">
        <f>IF(Evalucion!EB42=Datos!$C$15,Datos!$D$15,IF(Evalucion!EB42=Datos!$C$16,Datos!$D$16,IF(Evalucion!EB42=Datos!$C$17,Datos!$D$17,IF(Evalucion!EB42=Datos!$C$18,Datos!$D$18,IF(Evalucion!EB42=Datos!$C$19,Datos!$D$19,"=")))))</f>
        <v>5</v>
      </c>
      <c r="EB44">
        <f>IF(Evalucion!EC42=Datos!$C$15,Datos!$D$15,IF(Evalucion!EC42=Datos!$C$16,Datos!$D$16,IF(Evalucion!EC42=Datos!$C$17,Datos!$D$17,IF(Evalucion!EC42=Datos!$C$18,Datos!$D$18,IF(Evalucion!EC42=Datos!$C$19,Datos!$D$19,"=")))))</f>
        <v>5</v>
      </c>
      <c r="EC44">
        <f>IF(Evalucion!ED42=Datos!$C$15,Datos!$D$15,IF(Evalucion!ED42=Datos!$C$16,Datos!$D$16,IF(Evalucion!ED42=Datos!$C$17,Datos!$D$17,IF(Evalucion!ED42=Datos!$C$18,Datos!$D$18,IF(Evalucion!ED42=Datos!$C$19,Datos!$D$19,"=")))))</f>
        <v>3</v>
      </c>
      <c r="ED44">
        <f>IF(Evalucion!EE42=Datos!$C$15,Datos!$D$15,IF(Evalucion!EE42=Datos!$C$16,Datos!$D$16,IF(Evalucion!EE42=Datos!$C$17,Datos!$D$17,IF(Evalucion!EE42=Datos!$C$18,Datos!$D$18,IF(Evalucion!EE42=Datos!$C$19,Datos!$D$19,"=")))))</f>
        <v>5</v>
      </c>
      <c r="EE44">
        <f>IF(Evalucion!EF42=Datos!$C$15,Datos!$D$15,IF(Evalucion!EF42=Datos!$C$16,Datos!$D$16,IF(Evalucion!EF42=Datos!$C$17,Datos!$D$17,IF(Evalucion!EF42=Datos!$C$18,Datos!$D$18,IF(Evalucion!EF42=Datos!$C$19,Datos!$D$19,"=")))))</f>
        <v>5</v>
      </c>
      <c r="EF44">
        <f>IF(Evalucion!EG42=Datos!$C$15,Datos!$D$15,IF(Evalucion!EG42=Datos!$C$16,Datos!$D$16,IF(Evalucion!EG42=Datos!$C$17,Datos!$D$17,IF(Evalucion!EG42=Datos!$C$18,Datos!$D$18,IF(Evalucion!EG42=Datos!$C$19,Datos!$D$19,"=")))))</f>
        <v>1</v>
      </c>
      <c r="EG44">
        <f>IF(Evalucion!EH42=Datos!$C$15,Datos!$D$15,IF(Evalucion!EH42=Datos!$C$16,Datos!$D$16,IF(Evalucion!EH42=Datos!$C$17,Datos!$D$17,IF(Evalucion!EH42=Datos!$C$18,Datos!$D$18,IF(Evalucion!EH42=Datos!$C$19,Datos!$D$19,"=")))))</f>
        <v>1</v>
      </c>
      <c r="EH44">
        <f>IF(Evalucion!EI42=Datos!$C$15,Datos!$D$15,IF(Evalucion!EI42=Datos!$C$16,Datos!$D$16,IF(Evalucion!EI42=Datos!$C$17,Datos!$D$17,IF(Evalucion!EI42=Datos!$C$18,Datos!$D$18,IF(Evalucion!EI42=Datos!$C$19,Datos!$D$19,"=")))))</f>
        <v>1</v>
      </c>
      <c r="EI44">
        <f>IF(Evalucion!EJ42=Datos!$C$15,Datos!$D$15,IF(Evalucion!EJ42=Datos!$C$16,Datos!$D$16,IF(Evalucion!EJ42=Datos!$C$17,Datos!$D$17,IF(Evalucion!EJ42=Datos!$C$18,Datos!$D$18,IF(Evalucion!EJ42=Datos!$C$19,Datos!$D$19,"=")))))</f>
        <v>1</v>
      </c>
      <c r="EJ44">
        <f>IF(Evalucion!EK42=Datos!$C$15,Datos!$D$15,IF(Evalucion!EK42=Datos!$C$16,Datos!$D$16,IF(Evalucion!EK42=Datos!$C$17,Datos!$D$17,IF(Evalucion!EK42=Datos!$C$18,Datos!$D$18,IF(Evalucion!EK42=Datos!$C$19,Datos!$D$19,"=")))))</f>
        <v>1</v>
      </c>
      <c r="EK44">
        <f>IF(Evalucion!EL42=Datos!$C$15,Datos!$D$15,IF(Evalucion!EL42=Datos!$C$16,Datos!$D$16,IF(Evalucion!EL42=Datos!$C$17,Datos!$D$17,IF(Evalucion!EL42=Datos!$C$18,Datos!$D$18,IF(Evalucion!EL42=Datos!$C$19,Datos!$D$19,"=")))))</f>
        <v>1</v>
      </c>
      <c r="EL44">
        <f>IF(Evalucion!EM42=Datos!$C$15,Datos!$D$15,IF(Evalucion!EM42=Datos!$C$16,Datos!$D$16,IF(Evalucion!EM42=Datos!$C$17,Datos!$D$17,IF(Evalucion!EM42=Datos!$C$18,Datos!$D$18,IF(Evalucion!EM42=Datos!$C$19,Datos!$D$19,"=")))))</f>
        <v>1</v>
      </c>
      <c r="EM44">
        <f>IF(Evalucion!EN42=Datos!$C$15,Datos!$D$15,IF(Evalucion!EN42=Datos!$C$16,Datos!$D$16,IF(Evalucion!EN42=Datos!$C$17,Datos!$D$17,IF(Evalucion!EN42=Datos!$C$18,Datos!$D$18,IF(Evalucion!EN42=Datos!$C$19,Datos!$D$19,"=")))))</f>
        <v>1</v>
      </c>
      <c r="EN44">
        <f>IF(Evalucion!EO42=Datos!$C$15,Datos!$D$15,IF(Evalucion!EO42=Datos!$C$16,Datos!$D$16,IF(Evalucion!EO42=Datos!$C$17,Datos!$D$17,IF(Evalucion!EO42=Datos!$C$18,Datos!$D$18,IF(Evalucion!EO42=Datos!$C$19,Datos!$D$19,"=")))))</f>
        <v>1</v>
      </c>
      <c r="EO44">
        <f>IF(Evalucion!EP42=Datos!$C$15,Datos!$D$15,IF(Evalucion!EP42=Datos!$C$16,Datos!$D$16,IF(Evalucion!EP42=Datos!$C$17,Datos!$D$17,IF(Evalucion!EP42=Datos!$C$18,Datos!$D$18,IF(Evalucion!EP42=Datos!$C$19,Datos!$D$19,"=")))))</f>
        <v>1</v>
      </c>
      <c r="EP44">
        <f>IF(Evalucion!EQ42=Datos!$C$15,Datos!$D$15,IF(Evalucion!EQ42=Datos!$C$16,Datos!$D$16,IF(Evalucion!EQ42=Datos!$C$17,Datos!$D$17,IF(Evalucion!EQ42=Datos!$C$18,Datos!$D$18,IF(Evalucion!EQ42=Datos!$C$19,Datos!$D$19,"=")))))</f>
        <v>1</v>
      </c>
      <c r="EQ44">
        <f>IF(Evalucion!ER42=Datos!$C$15,Datos!$D$15,IF(Evalucion!ER42=Datos!$C$16,Datos!$D$16,IF(Evalucion!ER42=Datos!$C$17,Datos!$D$17,IF(Evalucion!ER42=Datos!$C$18,Datos!$D$18,IF(Evalucion!ER42=Datos!$C$19,Datos!$D$19,"=")))))</f>
        <v>1</v>
      </c>
      <c r="ER44">
        <f>IF(Evalucion!ES42=Datos!$C$15,Datos!$D$15,IF(Evalucion!ES42=Datos!$C$16,Datos!$D$16,IF(Evalucion!ES42=Datos!$C$17,Datos!$D$17,IF(Evalucion!ES42=Datos!$C$18,Datos!$D$18,IF(Evalucion!ES42=Datos!$C$19,Datos!$D$19,"=")))))</f>
        <v>5</v>
      </c>
      <c r="ES44">
        <f>IF(Evalucion!ET42=Datos!$C$15,Datos!$D$15,IF(Evalucion!ET42=Datos!$C$16,Datos!$D$16,IF(Evalucion!ET42=Datos!$C$17,Datos!$D$17,IF(Evalucion!ET42=Datos!$C$18,Datos!$D$18,IF(Evalucion!ET42=Datos!$C$19,Datos!$D$19,"=")))))</f>
        <v>5</v>
      </c>
      <c r="ET44">
        <f>IF(Evalucion!EU42=Datos!$C$15,Datos!$D$15,IF(Evalucion!EU42=Datos!$C$16,Datos!$D$16,IF(Evalucion!EU42=Datos!$C$17,Datos!$D$17,IF(Evalucion!EU42=Datos!$C$18,Datos!$D$18,IF(Evalucion!EU42=Datos!$C$19,Datos!$D$19,"=")))))</f>
        <v>5</v>
      </c>
      <c r="EU44">
        <f>IF(Evalucion!EV42=Datos!$C$15,Datos!$D$15,IF(Evalucion!EV42=Datos!$C$16,Datos!$D$16,IF(Evalucion!EV42=Datos!$C$17,Datos!$D$17,IF(Evalucion!EV42=Datos!$C$18,Datos!$D$18,IF(Evalucion!EV42=Datos!$C$19,Datos!$D$19,"=")))))</f>
        <v>1</v>
      </c>
      <c r="EV44">
        <f>IF(Evalucion!EW42=Datos!$C$15,Datos!$D$15,IF(Evalucion!EW42=Datos!$C$16,Datos!$D$16,IF(Evalucion!EW42=Datos!$C$17,Datos!$D$17,IF(Evalucion!EW42=Datos!$C$18,Datos!$D$18,IF(Evalucion!EW42=Datos!$C$19,Datos!$D$19,"=")))))</f>
        <v>5</v>
      </c>
      <c r="EW44">
        <f>IF(Evalucion!EX42=Datos!$C$15,Datos!$D$15,IF(Evalucion!EX42=Datos!$C$16,Datos!$D$16,IF(Evalucion!EX42=Datos!$C$17,Datos!$D$17,IF(Evalucion!EX42=Datos!$C$18,Datos!$D$18,IF(Evalucion!EX42=Datos!$C$19,Datos!$D$19,"=")))))</f>
        <v>5</v>
      </c>
      <c r="EX44">
        <f>IF(Evalucion!EY42=Datos!$C$15,Datos!$D$15,IF(Evalucion!EY42=Datos!$C$16,Datos!$D$16,IF(Evalucion!EY42=Datos!$C$17,Datos!$D$17,IF(Evalucion!EY42=Datos!$C$18,Datos!$D$18,IF(Evalucion!EY42=Datos!$C$19,Datos!$D$19,"=")))))</f>
        <v>5</v>
      </c>
      <c r="EY44">
        <f>IF(Evalucion!EZ42=Datos!$C$15,Datos!$D$15,IF(Evalucion!EZ42=Datos!$C$16,Datos!$D$16,IF(Evalucion!EZ42=Datos!$C$17,Datos!$D$17,IF(Evalucion!EZ42=Datos!$C$18,Datos!$D$18,IF(Evalucion!EZ42=Datos!$C$19,Datos!$D$19,"=")))))</f>
        <v>3</v>
      </c>
      <c r="FA44">
        <f t="shared" si="8"/>
        <v>319</v>
      </c>
      <c r="FB44">
        <f t="shared" si="8"/>
        <v>261</v>
      </c>
      <c r="FC44" s="3">
        <f t="shared" si="4"/>
        <v>0.69599999999999995</v>
      </c>
      <c r="FD44" t="str">
        <f t="shared" si="9"/>
        <v>Conf_CR</v>
      </c>
      <c r="FF44">
        <f t="shared" si="5"/>
        <v>580</v>
      </c>
      <c r="FG44">
        <f t="shared" si="6"/>
        <v>0</v>
      </c>
    </row>
    <row r="45" spans="1:163" x14ac:dyDescent="0.2">
      <c r="A45">
        <f t="shared" si="7"/>
        <v>42</v>
      </c>
      <c r="B45" t="s">
        <v>286</v>
      </c>
      <c r="C45" t="s">
        <v>196</v>
      </c>
      <c r="D45" s="1">
        <v>43101</v>
      </c>
      <c r="E45">
        <f>IF(Evalucion!F43=Datos!$C$15,Datos!$D$15,IF(Evalucion!F43=Datos!$C$16,Datos!$D$16,IF(Evalucion!F43=Datos!$C$17,Datos!$D$17,IF(Evalucion!F43=Datos!$C$18,Datos!$D$18,IF(Evalucion!F43=Datos!$C$19,Datos!$D$19,"=")))))</f>
        <v>5</v>
      </c>
      <c r="F45">
        <f>IF(Evalucion!G43=Datos!$C$15,Datos!$D$15,IF(Evalucion!G43=Datos!$C$16,Datos!$D$16,IF(Evalucion!G43=Datos!$C$17,Datos!$D$17,IF(Evalucion!G43=Datos!$C$18,Datos!$D$18,IF(Evalucion!G43=Datos!$C$19,Datos!$D$19,"=")))))</f>
        <v>3</v>
      </c>
      <c r="G45">
        <f>IF(Evalucion!H43=Datos!$C$15,Datos!$D$15,IF(Evalucion!H43=Datos!$C$16,Datos!$D$16,IF(Evalucion!H43=Datos!$C$17,Datos!$D$17,IF(Evalucion!H43=Datos!$C$18,Datos!$D$18,IF(Evalucion!H43=Datos!$C$19,Datos!$D$19,"=")))))</f>
        <v>5</v>
      </c>
      <c r="H45">
        <f>IF(Evalucion!I43=Datos!$C$15,Datos!$D$15,IF(Evalucion!I43=Datos!$C$16,Datos!$D$16,IF(Evalucion!I43=Datos!$C$17,Datos!$D$17,IF(Evalucion!I43=Datos!$C$18,Datos!$D$18,IF(Evalucion!I43=Datos!$C$19,Datos!$D$19,"=")))))</f>
        <v>1</v>
      </c>
      <c r="I45">
        <f>IF(Evalucion!J43=Datos!$C$15,Datos!$D$15,IF(Evalucion!J43=Datos!$C$16,Datos!$D$16,IF(Evalucion!J43=Datos!$C$17,Datos!$D$17,IF(Evalucion!J43=Datos!$C$18,Datos!$D$18,IF(Evalucion!J43=Datos!$C$19,Datos!$D$19,"=")))))</f>
        <v>5</v>
      </c>
      <c r="J45">
        <f>IF(Evalucion!K43=Datos!$C$15,Datos!$D$15,IF(Evalucion!K43=Datos!$C$16,Datos!$D$16,IF(Evalucion!K43=Datos!$C$17,Datos!$D$17,IF(Evalucion!K43=Datos!$C$18,Datos!$D$18,IF(Evalucion!K43=Datos!$C$19,Datos!$D$19,"=")))))</f>
        <v>3</v>
      </c>
      <c r="K45">
        <f>IF(Evalucion!L43=Datos!$C$15,Datos!$D$15,IF(Evalucion!L43=Datos!$C$16,Datos!$D$16,IF(Evalucion!L43=Datos!$C$17,Datos!$D$17,IF(Evalucion!L43=Datos!$C$18,Datos!$D$18,IF(Evalucion!L43=Datos!$C$19,Datos!$D$19,"=")))))</f>
        <v>5</v>
      </c>
      <c r="L45">
        <f>IF(Evalucion!M43=Datos!$C$15,Datos!$D$15,IF(Evalucion!M43=Datos!$C$16,Datos!$D$16,IF(Evalucion!M43=Datos!$C$17,Datos!$D$17,IF(Evalucion!M43=Datos!$C$18,Datos!$D$18,IF(Evalucion!M43=Datos!$C$19,Datos!$D$19,"=")))))</f>
        <v>3</v>
      </c>
      <c r="M45">
        <f>IF(Evalucion!N43=Datos!$C$15,Datos!$D$15,IF(Evalucion!N43=Datos!$C$16,Datos!$D$16,IF(Evalucion!N43=Datos!$C$17,Datos!$D$17,IF(Evalucion!N43=Datos!$C$18,Datos!$D$18,IF(Evalucion!N43=Datos!$C$19,Datos!$D$19,"=")))))</f>
        <v>5</v>
      </c>
      <c r="N45">
        <f>IF(Evalucion!O43=Datos!$C$15,Datos!$D$15,IF(Evalucion!O43=Datos!$C$16,Datos!$D$16,IF(Evalucion!O43=Datos!$C$17,Datos!$D$17,IF(Evalucion!O43=Datos!$C$18,Datos!$D$18,IF(Evalucion!O43=Datos!$C$19,Datos!$D$19,"=")))))</f>
        <v>5</v>
      </c>
      <c r="O45">
        <f>IF(Evalucion!P43=Datos!$C$15,Datos!$D$15,IF(Evalucion!P43=Datos!$C$16,Datos!$D$16,IF(Evalucion!P43=Datos!$C$17,Datos!$D$17,IF(Evalucion!P43=Datos!$C$18,Datos!$D$18,IF(Evalucion!P43=Datos!$C$19,Datos!$D$19,"=")))))</f>
        <v>5</v>
      </c>
      <c r="P45">
        <f>IF(Evalucion!Q43=Datos!$C$15,Datos!$D$15,IF(Evalucion!Q43=Datos!$C$16,Datos!$D$16,IF(Evalucion!Q43=Datos!$C$17,Datos!$D$17,IF(Evalucion!Q43=Datos!$C$18,Datos!$D$18,IF(Evalucion!Q43=Datos!$C$19,Datos!$D$19,"=")))))</f>
        <v>1</v>
      </c>
      <c r="Q45">
        <f>IF(Evalucion!R43=Datos!$C$15,Datos!$D$15,IF(Evalucion!R43=Datos!$C$16,Datos!$D$16,IF(Evalucion!R43=Datos!$C$17,Datos!$D$17,IF(Evalucion!R43=Datos!$C$18,Datos!$D$18,IF(Evalucion!R43=Datos!$C$19,Datos!$D$19,"=")))))</f>
        <v>5</v>
      </c>
      <c r="R45">
        <f>IF(Evalucion!S43=Datos!$C$15,Datos!$D$15,IF(Evalucion!S43=Datos!$C$16,Datos!$D$16,IF(Evalucion!S43=Datos!$C$17,Datos!$D$17,IF(Evalucion!S43=Datos!$C$18,Datos!$D$18,IF(Evalucion!S43=Datos!$C$19,Datos!$D$19,"=")))))</f>
        <v>5</v>
      </c>
      <c r="S45">
        <f>IF(Evalucion!T43=Datos!$C$15,Datos!$D$15,IF(Evalucion!T43=Datos!$C$16,Datos!$D$16,IF(Evalucion!T43=Datos!$C$17,Datos!$D$17,IF(Evalucion!T43=Datos!$C$18,Datos!$D$18,IF(Evalucion!T43=Datos!$C$19,Datos!$D$19,"=")))))</f>
        <v>5</v>
      </c>
      <c r="T45">
        <f>IF(Evalucion!U43=Datos!$C$15,Datos!$D$15,IF(Evalucion!U43=Datos!$C$16,Datos!$D$16,IF(Evalucion!U43=Datos!$C$17,Datos!$D$17,IF(Evalucion!U43=Datos!$C$18,Datos!$D$18,IF(Evalucion!U43=Datos!$C$19,Datos!$D$19,"=")))))</f>
        <v>5</v>
      </c>
      <c r="U45">
        <f>IF(Evalucion!V43=Datos!$C$15,Datos!$D$15,IF(Evalucion!V43=Datos!$C$16,Datos!$D$16,IF(Evalucion!V43=Datos!$C$17,Datos!$D$17,IF(Evalucion!V43=Datos!$C$18,Datos!$D$18,IF(Evalucion!V43=Datos!$C$19,Datos!$D$19,"=")))))</f>
        <v>5</v>
      </c>
      <c r="V45">
        <f>IF(Evalucion!W43=Datos!$C$15,Datos!$D$15,IF(Evalucion!W43=Datos!$C$16,Datos!$D$16,IF(Evalucion!W43=Datos!$C$17,Datos!$D$17,IF(Evalucion!W43=Datos!$C$18,Datos!$D$18,IF(Evalucion!W43=Datos!$C$19,Datos!$D$19,"=")))))</f>
        <v>5</v>
      </c>
      <c r="W45">
        <f>IF(Evalucion!X43=Datos!$C$15,Datos!$D$15,IF(Evalucion!X43=Datos!$C$16,Datos!$D$16,IF(Evalucion!X43=Datos!$C$17,Datos!$D$17,IF(Evalucion!X43=Datos!$C$18,Datos!$D$18,IF(Evalucion!X43=Datos!$C$19,Datos!$D$19,"=")))))</f>
        <v>5</v>
      </c>
      <c r="X45">
        <f>IF(Evalucion!Y43=Datos!$C$15,Datos!$D$15,IF(Evalucion!Y43=Datos!$C$16,Datos!$D$16,IF(Evalucion!Y43=Datos!$C$17,Datos!$D$17,IF(Evalucion!Y43=Datos!$C$18,Datos!$D$18,IF(Evalucion!Y43=Datos!$C$19,Datos!$D$19,"=")))))</f>
        <v>5</v>
      </c>
      <c r="Y45">
        <f>IF(Evalucion!Z43=Datos!$C$15,Datos!$D$15,IF(Evalucion!Z43=Datos!$C$16,Datos!$D$16,IF(Evalucion!Z43=Datos!$C$17,Datos!$D$17,IF(Evalucion!Z43=Datos!$C$18,Datos!$D$18,IF(Evalucion!Z43=Datos!$C$19,Datos!$D$19,"=")))))</f>
        <v>5</v>
      </c>
      <c r="Z45">
        <f>IF(Evalucion!AA43=Datos!$C$15,Datos!$D$15,IF(Evalucion!AA43=Datos!$C$16,Datos!$D$16,IF(Evalucion!AA43=Datos!$C$17,Datos!$D$17,IF(Evalucion!AA43=Datos!$C$18,Datos!$D$18,IF(Evalucion!AA43=Datos!$C$19,Datos!$D$19,"=")))))</f>
        <v>5</v>
      </c>
      <c r="AA45">
        <f>IF(Evalucion!AB43=Datos!$C$15,Datos!$D$15,IF(Evalucion!AB43=Datos!$C$16,Datos!$D$16,IF(Evalucion!AB43=Datos!$C$17,Datos!$D$17,IF(Evalucion!AB43=Datos!$C$18,Datos!$D$18,IF(Evalucion!AB43=Datos!$C$19,Datos!$D$19,"=")))))</f>
        <v>5</v>
      </c>
      <c r="AB45">
        <f>IF(Evalucion!AC43=Datos!$C$15,Datos!$D$15,IF(Evalucion!AC43=Datos!$C$16,Datos!$D$16,IF(Evalucion!AC43=Datos!$C$17,Datos!$D$17,IF(Evalucion!AC43=Datos!$C$18,Datos!$D$18,IF(Evalucion!AC43=Datos!$C$19,Datos!$D$19,"=")))))</f>
        <v>5</v>
      </c>
      <c r="AC45">
        <f>IF(Evalucion!AD43=Datos!$C$15,Datos!$D$15,IF(Evalucion!AD43=Datos!$C$16,Datos!$D$16,IF(Evalucion!AD43=Datos!$C$17,Datos!$D$17,IF(Evalucion!AD43=Datos!$C$18,Datos!$D$18,IF(Evalucion!AD43=Datos!$C$19,Datos!$D$19,"=")))))</f>
        <v>5</v>
      </c>
      <c r="AD45">
        <f>IF(Evalucion!AE43=Datos!$C$15,Datos!$D$15,IF(Evalucion!AE43=Datos!$C$16,Datos!$D$16,IF(Evalucion!AE43=Datos!$C$17,Datos!$D$17,IF(Evalucion!AE43=Datos!$C$18,Datos!$D$18,IF(Evalucion!AE43=Datos!$C$19,Datos!$D$19,"=")))))</f>
        <v>3</v>
      </c>
      <c r="AE45">
        <f>IF(Evalucion!AF43=Datos!$C$15,Datos!$D$15,IF(Evalucion!AF43=Datos!$C$16,Datos!$D$16,IF(Evalucion!AF43=Datos!$C$17,Datos!$D$17,IF(Evalucion!AF43=Datos!$C$18,Datos!$D$18,IF(Evalucion!AF43=Datos!$C$19,Datos!$D$19,"=")))))</f>
        <v>5</v>
      </c>
      <c r="AF45">
        <f>IF(Evalucion!AG43=Datos!$C$15,Datos!$D$15,IF(Evalucion!AG43=Datos!$C$16,Datos!$D$16,IF(Evalucion!AG43=Datos!$C$17,Datos!$D$17,IF(Evalucion!AG43=Datos!$C$18,Datos!$D$18,IF(Evalucion!AG43=Datos!$C$19,Datos!$D$19,"=")))))</f>
        <v>5</v>
      </c>
      <c r="AO45">
        <f>IF(Evalucion!AP43=Datos!$C$15,Datos!$D$15,IF(Evalucion!AP43=Datos!$C$16,Datos!$D$16,IF(Evalucion!AP43=Datos!$C$17,Datos!$D$17,IF(Evalucion!AP43=Datos!$C$18,Datos!$D$18,IF(Evalucion!AP43=Datos!$C$19,Datos!$D$19,"=")))))</f>
        <v>5</v>
      </c>
      <c r="AP45">
        <f>IF(Evalucion!AQ43=Datos!$C$15,Datos!$D$15,IF(Evalucion!AQ43=Datos!$C$16,Datos!$D$16,IF(Evalucion!AQ43=Datos!$C$17,Datos!$D$17,IF(Evalucion!AQ43=Datos!$C$18,Datos!$D$18,IF(Evalucion!AQ43=Datos!$C$19,Datos!$D$19,"=")))))</f>
        <v>3</v>
      </c>
      <c r="AQ45">
        <f>IF(Evalucion!AR43=Datos!$C$15,Datos!$D$15,IF(Evalucion!AR43=Datos!$C$16,Datos!$D$16,IF(Evalucion!AR43=Datos!$C$17,Datos!$D$17,IF(Evalucion!AR43=Datos!$C$18,Datos!$D$18,IF(Evalucion!AR43=Datos!$C$19,Datos!$D$19,"=")))))</f>
        <v>1</v>
      </c>
      <c r="AR45">
        <f>IF(Evalucion!AS43=Datos!$C$15,Datos!$D$15,IF(Evalucion!AS43=Datos!$C$16,Datos!$D$16,IF(Evalucion!AS43=Datos!$C$17,Datos!$D$17,IF(Evalucion!AS43=Datos!$C$18,Datos!$D$18,IF(Evalucion!AS43=Datos!$C$19,Datos!$D$19,"=")))))</f>
        <v>3</v>
      </c>
      <c r="AS45">
        <f>IF(Evalucion!AT43=Datos!$C$15,Datos!$D$15,IF(Evalucion!AT43=Datos!$C$16,Datos!$D$16,IF(Evalucion!AT43=Datos!$C$17,Datos!$D$17,IF(Evalucion!AT43=Datos!$C$18,Datos!$D$18,IF(Evalucion!AT43=Datos!$C$19,Datos!$D$19,"=")))))</f>
        <v>1</v>
      </c>
      <c r="AT45">
        <f>IF(Evalucion!AU43=Datos!$C$15,Datos!$D$15,IF(Evalucion!AU43=Datos!$C$16,Datos!$D$16,IF(Evalucion!AU43=Datos!$C$17,Datos!$D$17,IF(Evalucion!AU43=Datos!$C$18,Datos!$D$18,IF(Evalucion!AU43=Datos!$C$19,Datos!$D$19,"=")))))</f>
        <v>3</v>
      </c>
      <c r="AV45">
        <f>IF(Evalucion!AW43=Datos!$C$15,Datos!$D$15,IF(Evalucion!AW43=Datos!$C$16,Datos!$D$16,IF(Evalucion!AW43=Datos!$C$17,Datos!$D$17,IF(Evalucion!AW43=Datos!$C$18,Datos!$D$18,IF(Evalucion!AW43=Datos!$C$19,Datos!$D$19,"=")))))</f>
        <v>1</v>
      </c>
      <c r="AW45">
        <f>IF(Evalucion!AX43=Datos!$C$15,Datos!$D$15,IF(Evalucion!AX43=Datos!$C$16,Datos!$D$16,IF(Evalucion!AX43=Datos!$C$17,Datos!$D$17,IF(Evalucion!AX43=Datos!$C$18,Datos!$D$18,IF(Evalucion!AX43=Datos!$C$19,Datos!$D$19,"=")))))</f>
        <v>3</v>
      </c>
      <c r="AX45">
        <f>IF(Evalucion!AY43=Datos!$C$15,Datos!$D$15,IF(Evalucion!AY43=Datos!$C$16,Datos!$D$16,IF(Evalucion!AY43=Datos!$C$17,Datos!$D$17,IF(Evalucion!AY43=Datos!$C$18,Datos!$D$18,IF(Evalucion!AY43=Datos!$C$19,Datos!$D$19,"=")))))</f>
        <v>5</v>
      </c>
      <c r="AY45">
        <f>IF(Evalucion!AZ43=Datos!$C$15,Datos!$D$15,IF(Evalucion!AZ43=Datos!$C$16,Datos!$D$16,IF(Evalucion!AZ43=Datos!$C$17,Datos!$D$17,IF(Evalucion!AZ43=Datos!$C$18,Datos!$D$18,IF(Evalucion!AZ43=Datos!$C$19,Datos!$D$19,"=")))))</f>
        <v>5</v>
      </c>
      <c r="AZ45">
        <f>IF(Evalucion!BA43=Datos!$C$15,Datos!$D$15,IF(Evalucion!BA43=Datos!$C$16,Datos!$D$16,IF(Evalucion!BA43=Datos!$C$17,Datos!$D$17,IF(Evalucion!BA43=Datos!$C$18,Datos!$D$18,IF(Evalucion!BA43=Datos!$C$19,Datos!$D$19,"=")))))</f>
        <v>5</v>
      </c>
      <c r="BA45">
        <f>IF(Evalucion!BB43=Datos!$C$15,Datos!$D$15,IF(Evalucion!BB43=Datos!$C$16,Datos!$D$16,IF(Evalucion!BB43=Datos!$C$17,Datos!$D$17,IF(Evalucion!BB43=Datos!$C$18,Datos!$D$18,IF(Evalucion!BB43=Datos!$C$19,Datos!$D$19,"=")))))</f>
        <v>5</v>
      </c>
      <c r="BB45">
        <f>IF(Evalucion!BC43=Datos!$C$15,Datos!$D$15,IF(Evalucion!BC43=Datos!$C$16,Datos!$D$16,IF(Evalucion!BC43=Datos!$C$17,Datos!$D$17,IF(Evalucion!BC43=Datos!$C$18,Datos!$D$18,IF(Evalucion!BC43=Datos!$C$19,Datos!$D$19,"=")))))</f>
        <v>5</v>
      </c>
      <c r="BC45">
        <f>IF(Evalucion!BD43=Datos!$C$15,Datos!$D$15,IF(Evalucion!BD43=Datos!$C$16,Datos!$D$16,IF(Evalucion!BD43=Datos!$C$17,Datos!$D$17,IF(Evalucion!BD43=Datos!$C$18,Datos!$D$18,IF(Evalucion!BD43=Datos!$C$19,Datos!$D$19,"=")))))</f>
        <v>5</v>
      </c>
      <c r="BD45">
        <f>IF(Evalucion!BE43=Datos!$C$15,Datos!$D$15,IF(Evalucion!BE43=Datos!$C$16,Datos!$D$16,IF(Evalucion!BE43=Datos!$C$17,Datos!$D$17,IF(Evalucion!BE43=Datos!$C$18,Datos!$D$18,IF(Evalucion!BE43=Datos!$C$19,Datos!$D$19,"=")))))</f>
        <v>5</v>
      </c>
      <c r="BE45">
        <f>IF(Evalucion!BF43=Datos!$C$15,Datos!$D$15,IF(Evalucion!BF43=Datos!$C$16,Datos!$D$16,IF(Evalucion!BF43=Datos!$C$17,Datos!$D$17,IF(Evalucion!BF43=Datos!$C$18,Datos!$D$18,IF(Evalucion!BF43=Datos!$C$19,Datos!$D$19,"=")))))</f>
        <v>5</v>
      </c>
      <c r="BF45">
        <f>IF(Evalucion!BG43=Datos!$C$15,Datos!$D$15,IF(Evalucion!BG43=Datos!$C$16,Datos!$D$16,IF(Evalucion!BG43=Datos!$C$17,Datos!$D$17,IF(Evalucion!BG43=Datos!$C$18,Datos!$D$18,IF(Evalucion!BG43=Datos!$C$19,Datos!$D$19,"=")))))</f>
        <v>5</v>
      </c>
      <c r="BG45">
        <f>IF(Evalucion!BH43=Datos!$C$15,Datos!$D$15,IF(Evalucion!BH43=Datos!$C$16,Datos!$D$16,IF(Evalucion!BH43=Datos!$C$17,Datos!$D$17,IF(Evalucion!BH43=Datos!$C$18,Datos!$D$18,IF(Evalucion!BH43=Datos!$C$19,Datos!$D$19,"=")))))</f>
        <v>5</v>
      </c>
      <c r="BH45">
        <f>IF(Evalucion!BI43=Datos!$C$15,Datos!$D$15,IF(Evalucion!BI43=Datos!$C$16,Datos!$D$16,IF(Evalucion!BI43=Datos!$C$17,Datos!$D$17,IF(Evalucion!BI43=Datos!$C$18,Datos!$D$18,IF(Evalucion!BI43=Datos!$C$19,Datos!$D$19,"=")))))</f>
        <v>5</v>
      </c>
      <c r="BI45">
        <f>IF(Evalucion!BJ43=Datos!$C$15,Datos!$D$15,IF(Evalucion!BJ43=Datos!$C$16,Datos!$D$16,IF(Evalucion!BJ43=Datos!$C$17,Datos!$D$17,IF(Evalucion!BJ43=Datos!$C$18,Datos!$D$18,IF(Evalucion!BJ43=Datos!$C$19,Datos!$D$19,"=")))))</f>
        <v>5</v>
      </c>
      <c r="BJ45">
        <f>IF(Evalucion!BK43=Datos!$C$15,Datos!$D$15,IF(Evalucion!BK43=Datos!$C$16,Datos!$D$16,IF(Evalucion!BK43=Datos!$C$17,Datos!$D$17,IF(Evalucion!BK43=Datos!$C$18,Datos!$D$18,IF(Evalucion!BK43=Datos!$C$19,Datos!$D$19,"=")))))</f>
        <v>5</v>
      </c>
      <c r="BK45">
        <f>IF(Evalucion!BL43=Datos!$C$15,Datos!$D$15,IF(Evalucion!BL43=Datos!$C$16,Datos!$D$16,IF(Evalucion!BL43=Datos!$C$17,Datos!$D$17,IF(Evalucion!BL43=Datos!$C$18,Datos!$D$18,IF(Evalucion!BL43=Datos!$C$19,Datos!$D$19,"=")))))</f>
        <v>5</v>
      </c>
      <c r="BL45">
        <f>IF(Evalucion!BM43=Datos!$C$15,Datos!$D$15,IF(Evalucion!BM43=Datos!$C$16,Datos!$D$16,IF(Evalucion!BM43=Datos!$C$17,Datos!$D$17,IF(Evalucion!BM43=Datos!$C$18,Datos!$D$18,IF(Evalucion!BM43=Datos!$C$19,Datos!$D$19,"=")))))</f>
        <v>5</v>
      </c>
      <c r="BM45">
        <f>IF(Evalucion!BN43=Datos!$C$15,Datos!$D$15,IF(Evalucion!BN43=Datos!$C$16,Datos!$D$16,IF(Evalucion!BN43=Datos!$C$17,Datos!$D$17,IF(Evalucion!BN43=Datos!$C$18,Datos!$D$18,IF(Evalucion!BN43=Datos!$C$19,Datos!$D$19,"=")))))</f>
        <v>3</v>
      </c>
      <c r="BN45">
        <f>IF(Evalucion!BO43=Datos!$C$15,Datos!$D$15,IF(Evalucion!BO43=Datos!$C$16,Datos!$D$16,IF(Evalucion!BO43=Datos!$C$17,Datos!$D$17,IF(Evalucion!BO43=Datos!$C$18,Datos!$D$18,IF(Evalucion!BO43=Datos!$C$19,Datos!$D$19,"=")))))</f>
        <v>5</v>
      </c>
      <c r="BO45">
        <f>IF(Evalucion!BP43=Datos!$C$15,Datos!$D$15,IF(Evalucion!BP43=Datos!$C$16,Datos!$D$16,IF(Evalucion!BP43=Datos!$C$17,Datos!$D$17,IF(Evalucion!BP43=Datos!$C$18,Datos!$D$18,IF(Evalucion!BP43=Datos!$C$19,Datos!$D$19,"=")))))</f>
        <v>5</v>
      </c>
      <c r="BP45">
        <f>IF(Evalucion!BQ43=Datos!$C$15,Datos!$D$15,IF(Evalucion!BQ43=Datos!$C$16,Datos!$D$16,IF(Evalucion!BQ43=Datos!$C$17,Datos!$D$17,IF(Evalucion!BQ43=Datos!$C$18,Datos!$D$18,IF(Evalucion!BQ43=Datos!$C$19,Datos!$D$19,"=")))))</f>
        <v>5</v>
      </c>
      <c r="BQ45">
        <f>IF(Evalucion!BR43=Datos!$C$15,Datos!$D$15,IF(Evalucion!BR43=Datos!$C$16,Datos!$D$16,IF(Evalucion!BR43=Datos!$C$17,Datos!$D$17,IF(Evalucion!BR43=Datos!$C$18,Datos!$D$18,IF(Evalucion!BR43=Datos!$C$19,Datos!$D$19,"=")))))</f>
        <v>5</v>
      </c>
      <c r="BR45">
        <f>IF(Evalucion!BS43=Datos!$C$15,Datos!$D$15,IF(Evalucion!BS43=Datos!$C$16,Datos!$D$16,IF(Evalucion!BS43=Datos!$C$17,Datos!$D$17,IF(Evalucion!BS43=Datos!$C$18,Datos!$D$18,IF(Evalucion!BS43=Datos!$C$19,Datos!$D$19,"=")))))</f>
        <v>5</v>
      </c>
      <c r="BS45">
        <f>IF(Evalucion!BT43=Datos!$C$15,Datos!$D$15,IF(Evalucion!BT43=Datos!$C$16,Datos!$D$16,IF(Evalucion!BT43=Datos!$C$17,Datos!$D$17,IF(Evalucion!BT43=Datos!$C$18,Datos!$D$18,IF(Evalucion!BT43=Datos!$C$19,Datos!$D$19,"=")))))</f>
        <v>5</v>
      </c>
      <c r="BT45">
        <f>IF(Evalucion!BU43=Datos!$C$15,Datos!$D$15,IF(Evalucion!BU43=Datos!$C$16,Datos!$D$16,IF(Evalucion!BU43=Datos!$C$17,Datos!$D$17,IF(Evalucion!BU43=Datos!$C$18,Datos!$D$18,IF(Evalucion!BU43=Datos!$C$19,Datos!$D$19,"=")))))</f>
        <v>5</v>
      </c>
      <c r="BU45">
        <f>IF(Evalucion!BV43=Datos!$C$15,Datos!$D$15,IF(Evalucion!BV43=Datos!$C$16,Datos!$D$16,IF(Evalucion!BV43=Datos!$C$17,Datos!$D$17,IF(Evalucion!BV43=Datos!$C$18,Datos!$D$18,IF(Evalucion!BV43=Datos!$C$19,Datos!$D$19,"=")))))</f>
        <v>5</v>
      </c>
      <c r="BV45">
        <f>IF(Evalucion!BW43=Datos!$C$15,Datos!$D$15,IF(Evalucion!BW43=Datos!$C$16,Datos!$D$16,IF(Evalucion!BW43=Datos!$C$17,Datos!$D$17,IF(Evalucion!BW43=Datos!$C$18,Datos!$D$18,IF(Evalucion!BW43=Datos!$C$19,Datos!$D$19,"=")))))</f>
        <v>5</v>
      </c>
      <c r="BW45">
        <f>IF(Evalucion!BX43=Datos!$C$15,Datos!$D$15,IF(Evalucion!BX43=Datos!$C$16,Datos!$D$16,IF(Evalucion!BX43=Datos!$C$17,Datos!$D$17,IF(Evalucion!BX43=Datos!$C$18,Datos!$D$18,IF(Evalucion!BX43=Datos!$C$19,Datos!$D$19,"=")))))</f>
        <v>5</v>
      </c>
      <c r="BX45">
        <f>IF(Evalucion!BY43=Datos!$C$15,Datos!$D$15,IF(Evalucion!BY43=Datos!$C$16,Datos!$D$16,IF(Evalucion!BY43=Datos!$C$17,Datos!$D$17,IF(Evalucion!BY43=Datos!$C$18,Datos!$D$18,IF(Evalucion!BY43=Datos!$C$19,Datos!$D$19,"=")))))</f>
        <v>5</v>
      </c>
      <c r="BY45">
        <f>IF(Evalucion!BZ43=Datos!$C$15,Datos!$D$15,IF(Evalucion!BZ43=Datos!$C$16,Datos!$D$16,IF(Evalucion!BZ43=Datos!$C$17,Datos!$D$17,IF(Evalucion!BZ43=Datos!$C$18,Datos!$D$18,IF(Evalucion!BZ43=Datos!$C$19,Datos!$D$19,"=")))))</f>
        <v>5</v>
      </c>
      <c r="BZ45">
        <f>IF(Evalucion!CA43=Datos!$C$15,Datos!$D$15,IF(Evalucion!CA43=Datos!$C$16,Datos!$D$16,IF(Evalucion!CA43=Datos!$C$17,Datos!$D$17,IF(Evalucion!CA43=Datos!$C$18,Datos!$D$18,IF(Evalucion!CA43=Datos!$C$19,Datos!$D$19,"=")))))</f>
        <v>5</v>
      </c>
      <c r="CA45">
        <f>IF(Evalucion!CB43=Datos!$C$15,Datos!$D$15,IF(Evalucion!CB43=Datos!$C$16,Datos!$D$16,IF(Evalucion!CB43=Datos!$C$17,Datos!$D$17,IF(Evalucion!CB43=Datos!$C$18,Datos!$D$18,IF(Evalucion!CB43=Datos!$C$19,Datos!$D$19,"=")))))</f>
        <v>5</v>
      </c>
      <c r="CB45">
        <f>IF(Evalucion!CC43=Datos!$C$15,Datos!$D$15,IF(Evalucion!CC43=Datos!$C$16,Datos!$D$16,IF(Evalucion!CC43=Datos!$C$17,Datos!$D$17,IF(Evalucion!CC43=Datos!$C$18,Datos!$D$18,IF(Evalucion!CC43=Datos!$C$19,Datos!$D$19,"=")))))</f>
        <v>5</v>
      </c>
      <c r="CC45">
        <f>IF(Evalucion!CD43=Datos!$C$15,Datos!$D$15,IF(Evalucion!CD43=Datos!$C$16,Datos!$D$16,IF(Evalucion!CD43=Datos!$C$17,Datos!$D$17,IF(Evalucion!CD43=Datos!$C$18,Datos!$D$18,IF(Evalucion!CD43=Datos!$C$19,Datos!$D$19,"=")))))</f>
        <v>5</v>
      </c>
      <c r="CD45">
        <f>IF(Evalucion!CE43=Datos!$C$15,Datos!$D$15,IF(Evalucion!CE43=Datos!$C$16,Datos!$D$16,IF(Evalucion!CE43=Datos!$C$17,Datos!$D$17,IF(Evalucion!CE43=Datos!$C$18,Datos!$D$18,IF(Evalucion!CE43=Datos!$C$19,Datos!$D$19,"=")))))</f>
        <v>5</v>
      </c>
      <c r="CE45">
        <f>IF(Evalucion!CF43=Datos!$C$15,Datos!$D$15,IF(Evalucion!CF43=Datos!$C$16,Datos!$D$16,IF(Evalucion!CF43=Datos!$C$17,Datos!$D$17,IF(Evalucion!CF43=Datos!$C$18,Datos!$D$18,IF(Evalucion!CF43=Datos!$C$19,Datos!$D$19,"=")))))</f>
        <v>3</v>
      </c>
      <c r="CF45">
        <f>IF(Evalucion!CG43=Datos!$C$15,Datos!$D$15,IF(Evalucion!CG43=Datos!$C$16,Datos!$D$16,IF(Evalucion!CG43=Datos!$C$17,Datos!$D$17,IF(Evalucion!CG43=Datos!$C$18,Datos!$D$18,IF(Evalucion!CG43=Datos!$C$19,Datos!$D$19,"=")))))</f>
        <v>5</v>
      </c>
      <c r="CG45">
        <f>IF(Evalucion!CH43=Datos!$C$15,Datos!$D$15,IF(Evalucion!CH43=Datos!$C$16,Datos!$D$16,IF(Evalucion!CH43=Datos!$C$17,Datos!$D$17,IF(Evalucion!CH43=Datos!$C$18,Datos!$D$18,IF(Evalucion!CH43=Datos!$C$19,Datos!$D$19,"=")))))</f>
        <v>1</v>
      </c>
      <c r="CH45">
        <f>IF(Evalucion!CI43=Datos!$C$15,Datos!$D$15,IF(Evalucion!CI43=Datos!$C$16,Datos!$D$16,IF(Evalucion!CI43=Datos!$C$17,Datos!$D$17,IF(Evalucion!CI43=Datos!$C$18,Datos!$D$18,IF(Evalucion!CI43=Datos!$C$19,Datos!$D$19,"=")))))</f>
        <v>5</v>
      </c>
      <c r="CI45">
        <f>IF(Evalucion!CJ43=Datos!$C$15,Datos!$D$15,IF(Evalucion!CJ43=Datos!$C$16,Datos!$D$16,IF(Evalucion!CJ43=Datos!$C$17,Datos!$D$17,IF(Evalucion!CJ43=Datos!$C$18,Datos!$D$18,IF(Evalucion!CJ43=Datos!$C$19,Datos!$D$19,"=")))))</f>
        <v>3</v>
      </c>
      <c r="CJ45">
        <f>IF(Evalucion!CK43=Datos!$C$15,Datos!$D$15,IF(Evalucion!CK43=Datos!$C$16,Datos!$D$16,IF(Evalucion!CK43=Datos!$C$17,Datos!$D$17,IF(Evalucion!CK43=Datos!$C$18,Datos!$D$18,IF(Evalucion!CK43=Datos!$C$19,Datos!$D$19,"=")))))</f>
        <v>5</v>
      </c>
      <c r="CK45">
        <f>IF(Evalucion!CL43=Datos!$C$15,Datos!$D$15,IF(Evalucion!CL43=Datos!$C$16,Datos!$D$16,IF(Evalucion!CL43=Datos!$C$17,Datos!$D$17,IF(Evalucion!CL43=Datos!$C$18,Datos!$D$18,IF(Evalucion!CL43=Datos!$C$19,Datos!$D$19,"=")))))</f>
        <v>5</v>
      </c>
      <c r="CL45">
        <f>IF(Evalucion!CM43=Datos!$C$15,Datos!$D$15,IF(Evalucion!CM43=Datos!$C$16,Datos!$D$16,IF(Evalucion!CM43=Datos!$C$17,Datos!$D$17,IF(Evalucion!CM43=Datos!$C$18,Datos!$D$18,IF(Evalucion!CM43=Datos!$C$19,Datos!$D$19,"=")))))</f>
        <v>5</v>
      </c>
      <c r="CM45">
        <f>IF(Evalucion!CN43=Datos!$C$15,Datos!$D$15,IF(Evalucion!CN43=Datos!$C$16,Datos!$D$16,IF(Evalucion!CN43=Datos!$C$17,Datos!$D$17,IF(Evalucion!CN43=Datos!$C$18,Datos!$D$18,IF(Evalucion!CN43=Datos!$C$19,Datos!$D$19,"=")))))</f>
        <v>3</v>
      </c>
      <c r="CN45">
        <f>IF(Evalucion!CO43=Datos!$C$15,Datos!$D$15,IF(Evalucion!CO43=Datos!$C$16,Datos!$D$16,IF(Evalucion!CO43=Datos!$C$17,Datos!$D$17,IF(Evalucion!CO43=Datos!$C$18,Datos!$D$18,IF(Evalucion!CO43=Datos!$C$19,Datos!$D$19,"=")))))</f>
        <v>5</v>
      </c>
      <c r="CO45">
        <f>IF(Evalucion!CP43=Datos!$C$15,Datos!$D$15,IF(Evalucion!CP43=Datos!$C$16,Datos!$D$16,IF(Evalucion!CP43=Datos!$C$17,Datos!$D$17,IF(Evalucion!CP43=Datos!$C$18,Datos!$D$18,IF(Evalucion!CP43=Datos!$C$19,Datos!$D$19,"=")))))</f>
        <v>5</v>
      </c>
      <c r="CP45">
        <f>IF(Evalucion!CQ43=Datos!$C$15,Datos!$D$15,IF(Evalucion!CQ43=Datos!$C$16,Datos!$D$16,IF(Evalucion!CQ43=Datos!$C$17,Datos!$D$17,IF(Evalucion!CQ43=Datos!$C$18,Datos!$D$18,IF(Evalucion!CQ43=Datos!$C$19,Datos!$D$19,"=")))))</f>
        <v>5</v>
      </c>
      <c r="CQ45">
        <f>IF(Evalucion!CR43=Datos!$C$15,Datos!$D$15,IF(Evalucion!CR43=Datos!$C$16,Datos!$D$16,IF(Evalucion!CR43=Datos!$C$17,Datos!$D$17,IF(Evalucion!CR43=Datos!$C$18,Datos!$D$18,IF(Evalucion!CR43=Datos!$C$19,Datos!$D$19,"=")))))</f>
        <v>1</v>
      </c>
      <c r="CR45">
        <f>IF(Evalucion!CS43=Datos!$C$15,Datos!$D$15,IF(Evalucion!CS43=Datos!$C$16,Datos!$D$16,IF(Evalucion!CS43=Datos!$C$17,Datos!$D$17,IF(Evalucion!CS43=Datos!$C$18,Datos!$D$18,IF(Evalucion!CS43=Datos!$C$19,Datos!$D$19,"=")))))</f>
        <v>5</v>
      </c>
      <c r="CS45">
        <f>IF(Evalucion!CT43=Datos!$C$15,Datos!$D$15,IF(Evalucion!CT43=Datos!$C$16,Datos!$D$16,IF(Evalucion!CT43=Datos!$C$17,Datos!$D$17,IF(Evalucion!CT43=Datos!$C$18,Datos!$D$18,IF(Evalucion!CT43=Datos!$C$19,Datos!$D$19,"=")))))</f>
        <v>1</v>
      </c>
      <c r="CT45">
        <f>IF(Evalucion!CU43=Datos!$C$15,Datos!$D$15,IF(Evalucion!CU43=Datos!$C$16,Datos!$D$16,IF(Evalucion!CU43=Datos!$C$17,Datos!$D$17,IF(Evalucion!CU43=Datos!$C$18,Datos!$D$18,IF(Evalucion!CU43=Datos!$C$19,Datos!$D$19,"=")))))</f>
        <v>5</v>
      </c>
      <c r="CU45">
        <f>IF(Evalucion!CV43=Datos!$C$15,Datos!$D$15,IF(Evalucion!CV43=Datos!$C$16,Datos!$D$16,IF(Evalucion!CV43=Datos!$C$17,Datos!$D$17,IF(Evalucion!CV43=Datos!$C$18,Datos!$D$18,IF(Evalucion!CV43=Datos!$C$19,Datos!$D$19,"=")))))</f>
        <v>3</v>
      </c>
      <c r="CV45">
        <f>IF(Evalucion!CW43=Datos!$C$15,Datos!$D$15,IF(Evalucion!CW43=Datos!$C$16,Datos!$D$16,IF(Evalucion!CW43=Datos!$C$17,Datos!$D$17,IF(Evalucion!CW43=Datos!$C$18,Datos!$D$18,IF(Evalucion!CW43=Datos!$C$19,Datos!$D$19,"=")))))</f>
        <v>5</v>
      </c>
      <c r="CW45">
        <f>IF(Evalucion!CX43=Datos!$C$15,Datos!$D$15,IF(Evalucion!CX43=Datos!$C$16,Datos!$D$16,IF(Evalucion!CX43=Datos!$C$17,Datos!$D$17,IF(Evalucion!CX43=Datos!$C$18,Datos!$D$18,IF(Evalucion!CX43=Datos!$C$19,Datos!$D$19,"=")))))</f>
        <v>3</v>
      </c>
      <c r="CX45">
        <f>IF(Evalucion!CY43=Datos!$C$15,Datos!$D$15,IF(Evalucion!CY43=Datos!$C$16,Datos!$D$16,IF(Evalucion!CY43=Datos!$C$17,Datos!$D$17,IF(Evalucion!CY43=Datos!$C$18,Datos!$D$18,IF(Evalucion!CY43=Datos!$C$19,Datos!$D$19,"=")))))</f>
        <v>5</v>
      </c>
      <c r="CY45">
        <f>IF(Evalucion!CZ43=Datos!$C$15,Datos!$D$15,IF(Evalucion!CZ43=Datos!$C$16,Datos!$D$16,IF(Evalucion!CZ43=Datos!$C$17,Datos!$D$17,IF(Evalucion!CZ43=Datos!$C$18,Datos!$D$18,IF(Evalucion!CZ43=Datos!$C$19,Datos!$D$19,"=")))))</f>
        <v>3</v>
      </c>
      <c r="CZ45">
        <f>IF(Evalucion!DA43=Datos!$C$15,Datos!$D$15,IF(Evalucion!DA43=Datos!$C$16,Datos!$D$16,IF(Evalucion!DA43=Datos!$C$17,Datos!$D$17,IF(Evalucion!DA43=Datos!$C$18,Datos!$D$18,IF(Evalucion!DA43=Datos!$C$19,Datos!$D$19,"=")))))</f>
        <v>5</v>
      </c>
      <c r="DA45">
        <f>IF(Evalucion!DB43=Datos!$C$15,Datos!$D$15,IF(Evalucion!DB43=Datos!$C$16,Datos!$D$16,IF(Evalucion!DB43=Datos!$C$17,Datos!$D$17,IF(Evalucion!DB43=Datos!$C$18,Datos!$D$18,IF(Evalucion!DB43=Datos!$C$19,Datos!$D$19,"=")))))</f>
        <v>3</v>
      </c>
      <c r="DB45">
        <f>IF(Evalucion!DC43=Datos!$C$15,Datos!$D$15,IF(Evalucion!DC43=Datos!$C$16,Datos!$D$16,IF(Evalucion!DC43=Datos!$C$17,Datos!$D$17,IF(Evalucion!DC43=Datos!$C$18,Datos!$D$18,IF(Evalucion!DC43=Datos!$C$19,Datos!$D$19,"=")))))</f>
        <v>5</v>
      </c>
      <c r="DC45">
        <f>IF(Evalucion!DD43=Datos!$C$15,Datos!$D$15,IF(Evalucion!DD43=Datos!$C$16,Datos!$D$16,IF(Evalucion!DD43=Datos!$C$17,Datos!$D$17,IF(Evalucion!DD43=Datos!$C$18,Datos!$D$18,IF(Evalucion!DD43=Datos!$C$19,Datos!$D$19,"=")))))</f>
        <v>5</v>
      </c>
      <c r="DD45">
        <f>IF(Evalucion!DE43=Datos!$C$15,Datos!$D$15,IF(Evalucion!DE43=Datos!$C$16,Datos!$D$16,IF(Evalucion!DE43=Datos!$C$17,Datos!$D$17,IF(Evalucion!DE43=Datos!$C$18,Datos!$D$18,IF(Evalucion!DE43=Datos!$C$19,Datos!$D$19,"=")))))</f>
        <v>5</v>
      </c>
      <c r="DE45">
        <f>IF(Evalucion!DF43=Datos!$C$15,Datos!$D$15,IF(Evalucion!DF43=Datos!$C$16,Datos!$D$16,IF(Evalucion!DF43=Datos!$C$17,Datos!$D$17,IF(Evalucion!DF43=Datos!$C$18,Datos!$D$18,IF(Evalucion!DF43=Datos!$C$19,Datos!$D$19,"=")))))</f>
        <v>3</v>
      </c>
      <c r="DF45">
        <f>IF(Evalucion!DG43=Datos!$C$15,Datos!$D$15,IF(Evalucion!DG43=Datos!$C$16,Datos!$D$16,IF(Evalucion!DG43=Datos!$C$17,Datos!$D$17,IF(Evalucion!DG43=Datos!$C$18,Datos!$D$18,IF(Evalucion!DG43=Datos!$C$19,Datos!$D$19,"=")))))</f>
        <v>5</v>
      </c>
      <c r="DG45">
        <f>IF(Evalucion!DH43=Datos!$C$15,Datos!$D$15,IF(Evalucion!DH43=Datos!$C$16,Datos!$D$16,IF(Evalucion!DH43=Datos!$C$17,Datos!$D$17,IF(Evalucion!DH43=Datos!$C$18,Datos!$D$18,IF(Evalucion!DH43=Datos!$C$19,Datos!$D$19,"=")))))</f>
        <v>3</v>
      </c>
      <c r="DH45">
        <f>IF(Evalucion!DI43=Datos!$C$15,Datos!$D$15,IF(Evalucion!DI43=Datos!$C$16,Datos!$D$16,IF(Evalucion!DI43=Datos!$C$17,Datos!$D$17,IF(Evalucion!DI43=Datos!$C$18,Datos!$D$18,IF(Evalucion!DI43=Datos!$C$19,Datos!$D$19,"=")))))</f>
        <v>5</v>
      </c>
      <c r="DI45">
        <f>IF(Evalucion!DJ43=Datos!$C$15,Datos!$D$15,IF(Evalucion!DJ43=Datos!$C$16,Datos!$D$16,IF(Evalucion!DJ43=Datos!$C$17,Datos!$D$17,IF(Evalucion!DJ43=Datos!$C$18,Datos!$D$18,IF(Evalucion!DJ43=Datos!$C$19,Datos!$D$19,"=")))))</f>
        <v>1</v>
      </c>
      <c r="DJ45">
        <f>IF(Evalucion!DK43=Datos!$C$15,Datos!$D$15,IF(Evalucion!DK43=Datos!$C$16,Datos!$D$16,IF(Evalucion!DK43=Datos!$C$17,Datos!$D$17,IF(Evalucion!DK43=Datos!$C$18,Datos!$D$18,IF(Evalucion!DK43=Datos!$C$19,Datos!$D$19,"=")))))</f>
        <v>5</v>
      </c>
      <c r="DK45">
        <f>IF(Evalucion!DL43=Datos!$C$15,Datos!$D$15,IF(Evalucion!DL43=Datos!$C$16,Datos!$D$16,IF(Evalucion!DL43=Datos!$C$17,Datos!$D$17,IF(Evalucion!DL43=Datos!$C$18,Datos!$D$18,IF(Evalucion!DL43=Datos!$C$19,Datos!$D$19,"=")))))</f>
        <v>5</v>
      </c>
      <c r="DL45">
        <f>IF(Evalucion!DM43=Datos!$C$15,Datos!$D$15,IF(Evalucion!DM43=Datos!$C$16,Datos!$D$16,IF(Evalucion!DM43=Datos!$C$17,Datos!$D$17,IF(Evalucion!DM43=Datos!$C$18,Datos!$D$18,IF(Evalucion!DM43=Datos!$C$19,Datos!$D$19,"=")))))</f>
        <v>5</v>
      </c>
      <c r="DM45">
        <f>IF(Evalucion!DN43=Datos!$C$15,Datos!$D$15,IF(Evalucion!DN43=Datos!$C$16,Datos!$D$16,IF(Evalucion!DN43=Datos!$C$17,Datos!$D$17,IF(Evalucion!DN43=Datos!$C$18,Datos!$D$18,IF(Evalucion!DN43=Datos!$C$19,Datos!$D$19,"=")))))</f>
        <v>5</v>
      </c>
      <c r="DN45">
        <f>IF(Evalucion!DO43=Datos!$C$15,Datos!$D$15,IF(Evalucion!DO43=Datos!$C$16,Datos!$D$16,IF(Evalucion!DO43=Datos!$C$17,Datos!$D$17,IF(Evalucion!DO43=Datos!$C$18,Datos!$D$18,IF(Evalucion!DO43=Datos!$C$19,Datos!$D$19,"=")))))</f>
        <v>5</v>
      </c>
      <c r="DO45">
        <f>IF(Evalucion!DP43=Datos!$C$15,Datos!$D$15,IF(Evalucion!DP43=Datos!$C$16,Datos!$D$16,IF(Evalucion!DP43=Datos!$C$17,Datos!$D$17,IF(Evalucion!DP43=Datos!$C$18,Datos!$D$18,IF(Evalucion!DP43=Datos!$C$19,Datos!$D$19,"=")))))</f>
        <v>5</v>
      </c>
      <c r="DP45">
        <f>IF(Evalucion!DQ43=Datos!$C$15,Datos!$D$15,IF(Evalucion!DQ43=Datos!$C$16,Datos!$D$16,IF(Evalucion!DQ43=Datos!$C$17,Datos!$D$17,IF(Evalucion!DQ43=Datos!$C$18,Datos!$D$18,IF(Evalucion!DQ43=Datos!$C$19,Datos!$D$19,"=")))))</f>
        <v>5</v>
      </c>
      <c r="DQ45">
        <f>IF(Evalucion!DR43=Datos!$C$15,Datos!$D$15,IF(Evalucion!DR43=Datos!$C$16,Datos!$D$16,IF(Evalucion!DR43=Datos!$C$17,Datos!$D$17,IF(Evalucion!DR43=Datos!$C$18,Datos!$D$18,IF(Evalucion!DR43=Datos!$C$19,Datos!$D$19,"=")))))</f>
        <v>5</v>
      </c>
      <c r="DR45">
        <f>IF(Evalucion!DS43=Datos!$C$15,Datos!$D$15,IF(Evalucion!DS43=Datos!$C$16,Datos!$D$16,IF(Evalucion!DS43=Datos!$C$17,Datos!$D$17,IF(Evalucion!DS43=Datos!$C$18,Datos!$D$18,IF(Evalucion!DS43=Datos!$C$19,Datos!$D$19,"=")))))</f>
        <v>5</v>
      </c>
      <c r="DS45">
        <f>IF(Evalucion!DT43=Datos!$C$15,Datos!$D$15,IF(Evalucion!DT43=Datos!$C$16,Datos!$D$16,IF(Evalucion!DT43=Datos!$C$17,Datos!$D$17,IF(Evalucion!DT43=Datos!$C$18,Datos!$D$18,IF(Evalucion!DT43=Datos!$C$19,Datos!$D$19,"=")))))</f>
        <v>5</v>
      </c>
      <c r="DT45">
        <f>IF(Evalucion!DU43=Datos!$C$15,Datos!$D$15,IF(Evalucion!DU43=Datos!$C$16,Datos!$D$16,IF(Evalucion!DU43=Datos!$C$17,Datos!$D$17,IF(Evalucion!DU43=Datos!$C$18,Datos!$D$18,IF(Evalucion!DU43=Datos!$C$19,Datos!$D$19,"=")))))</f>
        <v>5</v>
      </c>
      <c r="DU45">
        <f>IF(Evalucion!DV43=Datos!$C$15,Datos!$D$15,IF(Evalucion!DV43=Datos!$C$16,Datos!$D$16,IF(Evalucion!DV43=Datos!$C$17,Datos!$D$17,IF(Evalucion!DV43=Datos!$C$18,Datos!$D$18,IF(Evalucion!DV43=Datos!$C$19,Datos!$D$19,"=")))))</f>
        <v>5</v>
      </c>
      <c r="DV45">
        <f>IF(Evalucion!DW43=Datos!$C$15,Datos!$D$15,IF(Evalucion!DW43=Datos!$C$16,Datos!$D$16,IF(Evalucion!DW43=Datos!$C$17,Datos!$D$17,IF(Evalucion!DW43=Datos!$C$18,Datos!$D$18,IF(Evalucion!DW43=Datos!$C$19,Datos!$D$19,"=")))))</f>
        <v>5</v>
      </c>
      <c r="DW45">
        <f>IF(Evalucion!DX43=Datos!$C$15,Datos!$D$15,IF(Evalucion!DX43=Datos!$C$16,Datos!$D$16,IF(Evalucion!DX43=Datos!$C$17,Datos!$D$17,IF(Evalucion!DX43=Datos!$C$18,Datos!$D$18,IF(Evalucion!DX43=Datos!$C$19,Datos!$D$19,"=")))))</f>
        <v>5</v>
      </c>
      <c r="DX45">
        <f>IF(Evalucion!DY43=Datos!$C$15,Datos!$D$15,IF(Evalucion!DY43=Datos!$C$16,Datos!$D$16,IF(Evalucion!DY43=Datos!$C$17,Datos!$D$17,IF(Evalucion!DY43=Datos!$C$18,Datos!$D$18,IF(Evalucion!DY43=Datos!$C$19,Datos!$D$19,"=")))))</f>
        <v>5</v>
      </c>
      <c r="DY45">
        <f>IF(Evalucion!DZ43=Datos!$C$15,Datos!$D$15,IF(Evalucion!DZ43=Datos!$C$16,Datos!$D$16,IF(Evalucion!DZ43=Datos!$C$17,Datos!$D$17,IF(Evalucion!DZ43=Datos!$C$18,Datos!$D$18,IF(Evalucion!DZ43=Datos!$C$19,Datos!$D$19,"=")))))</f>
        <v>3</v>
      </c>
      <c r="DZ45">
        <f>IF(Evalucion!EA43=Datos!$C$15,Datos!$D$15,IF(Evalucion!EA43=Datos!$C$16,Datos!$D$16,IF(Evalucion!EA43=Datos!$C$17,Datos!$D$17,IF(Evalucion!EA43=Datos!$C$18,Datos!$D$18,IF(Evalucion!EA43=Datos!$C$19,Datos!$D$19,"=")))))</f>
        <v>5</v>
      </c>
      <c r="EA45">
        <f>IF(Evalucion!EB43=Datos!$C$15,Datos!$D$15,IF(Evalucion!EB43=Datos!$C$16,Datos!$D$16,IF(Evalucion!EB43=Datos!$C$17,Datos!$D$17,IF(Evalucion!EB43=Datos!$C$18,Datos!$D$18,IF(Evalucion!EB43=Datos!$C$19,Datos!$D$19,"=")))))</f>
        <v>5</v>
      </c>
      <c r="EB45">
        <f>IF(Evalucion!EC43=Datos!$C$15,Datos!$D$15,IF(Evalucion!EC43=Datos!$C$16,Datos!$D$16,IF(Evalucion!EC43=Datos!$C$17,Datos!$D$17,IF(Evalucion!EC43=Datos!$C$18,Datos!$D$18,IF(Evalucion!EC43=Datos!$C$19,Datos!$D$19,"=")))))</f>
        <v>5</v>
      </c>
      <c r="EC45">
        <f>IF(Evalucion!ED43=Datos!$C$15,Datos!$D$15,IF(Evalucion!ED43=Datos!$C$16,Datos!$D$16,IF(Evalucion!ED43=Datos!$C$17,Datos!$D$17,IF(Evalucion!ED43=Datos!$C$18,Datos!$D$18,IF(Evalucion!ED43=Datos!$C$19,Datos!$D$19,"=")))))</f>
        <v>3</v>
      </c>
      <c r="ED45">
        <f>IF(Evalucion!EE43=Datos!$C$15,Datos!$D$15,IF(Evalucion!EE43=Datos!$C$16,Datos!$D$16,IF(Evalucion!EE43=Datos!$C$17,Datos!$D$17,IF(Evalucion!EE43=Datos!$C$18,Datos!$D$18,IF(Evalucion!EE43=Datos!$C$19,Datos!$D$19,"=")))))</f>
        <v>5</v>
      </c>
      <c r="EE45">
        <f>IF(Evalucion!EF43=Datos!$C$15,Datos!$D$15,IF(Evalucion!EF43=Datos!$C$16,Datos!$D$16,IF(Evalucion!EF43=Datos!$C$17,Datos!$D$17,IF(Evalucion!EF43=Datos!$C$18,Datos!$D$18,IF(Evalucion!EF43=Datos!$C$19,Datos!$D$19,"=")))))</f>
        <v>5</v>
      </c>
      <c r="EF45">
        <f>IF(Evalucion!EG43=Datos!$C$15,Datos!$D$15,IF(Evalucion!EG43=Datos!$C$16,Datos!$D$16,IF(Evalucion!EG43=Datos!$C$17,Datos!$D$17,IF(Evalucion!EG43=Datos!$C$18,Datos!$D$18,IF(Evalucion!EG43=Datos!$C$19,Datos!$D$19,"=")))))</f>
        <v>1</v>
      </c>
      <c r="EG45">
        <f>IF(Evalucion!EH43=Datos!$C$15,Datos!$D$15,IF(Evalucion!EH43=Datos!$C$16,Datos!$D$16,IF(Evalucion!EH43=Datos!$C$17,Datos!$D$17,IF(Evalucion!EH43=Datos!$C$18,Datos!$D$18,IF(Evalucion!EH43=Datos!$C$19,Datos!$D$19,"=")))))</f>
        <v>1</v>
      </c>
      <c r="EH45">
        <f>IF(Evalucion!EI43=Datos!$C$15,Datos!$D$15,IF(Evalucion!EI43=Datos!$C$16,Datos!$D$16,IF(Evalucion!EI43=Datos!$C$17,Datos!$D$17,IF(Evalucion!EI43=Datos!$C$18,Datos!$D$18,IF(Evalucion!EI43=Datos!$C$19,Datos!$D$19,"=")))))</f>
        <v>1</v>
      </c>
      <c r="EI45">
        <f>IF(Evalucion!EJ43=Datos!$C$15,Datos!$D$15,IF(Evalucion!EJ43=Datos!$C$16,Datos!$D$16,IF(Evalucion!EJ43=Datos!$C$17,Datos!$D$17,IF(Evalucion!EJ43=Datos!$C$18,Datos!$D$18,IF(Evalucion!EJ43=Datos!$C$19,Datos!$D$19,"=")))))</f>
        <v>1</v>
      </c>
      <c r="EJ45">
        <f>IF(Evalucion!EK43=Datos!$C$15,Datos!$D$15,IF(Evalucion!EK43=Datos!$C$16,Datos!$D$16,IF(Evalucion!EK43=Datos!$C$17,Datos!$D$17,IF(Evalucion!EK43=Datos!$C$18,Datos!$D$18,IF(Evalucion!EK43=Datos!$C$19,Datos!$D$19,"=")))))</f>
        <v>1</v>
      </c>
      <c r="EK45">
        <f>IF(Evalucion!EL43=Datos!$C$15,Datos!$D$15,IF(Evalucion!EL43=Datos!$C$16,Datos!$D$16,IF(Evalucion!EL43=Datos!$C$17,Datos!$D$17,IF(Evalucion!EL43=Datos!$C$18,Datos!$D$18,IF(Evalucion!EL43=Datos!$C$19,Datos!$D$19,"=")))))</f>
        <v>1</v>
      </c>
      <c r="EL45">
        <f>IF(Evalucion!EM43=Datos!$C$15,Datos!$D$15,IF(Evalucion!EM43=Datos!$C$16,Datos!$D$16,IF(Evalucion!EM43=Datos!$C$17,Datos!$D$17,IF(Evalucion!EM43=Datos!$C$18,Datos!$D$18,IF(Evalucion!EM43=Datos!$C$19,Datos!$D$19,"=")))))</f>
        <v>1</v>
      </c>
      <c r="EM45">
        <f>IF(Evalucion!EN43=Datos!$C$15,Datos!$D$15,IF(Evalucion!EN43=Datos!$C$16,Datos!$D$16,IF(Evalucion!EN43=Datos!$C$17,Datos!$D$17,IF(Evalucion!EN43=Datos!$C$18,Datos!$D$18,IF(Evalucion!EN43=Datos!$C$19,Datos!$D$19,"=")))))</f>
        <v>1</v>
      </c>
      <c r="EN45">
        <f>IF(Evalucion!EO43=Datos!$C$15,Datos!$D$15,IF(Evalucion!EO43=Datos!$C$16,Datos!$D$16,IF(Evalucion!EO43=Datos!$C$17,Datos!$D$17,IF(Evalucion!EO43=Datos!$C$18,Datos!$D$18,IF(Evalucion!EO43=Datos!$C$19,Datos!$D$19,"=")))))</f>
        <v>1</v>
      </c>
      <c r="EO45">
        <f>IF(Evalucion!EP43=Datos!$C$15,Datos!$D$15,IF(Evalucion!EP43=Datos!$C$16,Datos!$D$16,IF(Evalucion!EP43=Datos!$C$17,Datos!$D$17,IF(Evalucion!EP43=Datos!$C$18,Datos!$D$18,IF(Evalucion!EP43=Datos!$C$19,Datos!$D$19,"=")))))</f>
        <v>1</v>
      </c>
      <c r="EP45">
        <f>IF(Evalucion!EQ43=Datos!$C$15,Datos!$D$15,IF(Evalucion!EQ43=Datos!$C$16,Datos!$D$16,IF(Evalucion!EQ43=Datos!$C$17,Datos!$D$17,IF(Evalucion!EQ43=Datos!$C$18,Datos!$D$18,IF(Evalucion!EQ43=Datos!$C$19,Datos!$D$19,"=")))))</f>
        <v>1</v>
      </c>
      <c r="EQ45">
        <f>IF(Evalucion!ER43=Datos!$C$15,Datos!$D$15,IF(Evalucion!ER43=Datos!$C$16,Datos!$D$16,IF(Evalucion!ER43=Datos!$C$17,Datos!$D$17,IF(Evalucion!ER43=Datos!$C$18,Datos!$D$18,IF(Evalucion!ER43=Datos!$C$19,Datos!$D$19,"=")))))</f>
        <v>1</v>
      </c>
      <c r="ER45">
        <f>IF(Evalucion!ES43=Datos!$C$15,Datos!$D$15,IF(Evalucion!ES43=Datos!$C$16,Datos!$D$16,IF(Evalucion!ES43=Datos!$C$17,Datos!$D$17,IF(Evalucion!ES43=Datos!$C$18,Datos!$D$18,IF(Evalucion!ES43=Datos!$C$19,Datos!$D$19,"=")))))</f>
        <v>5</v>
      </c>
      <c r="ES45">
        <f>IF(Evalucion!ET43=Datos!$C$15,Datos!$D$15,IF(Evalucion!ET43=Datos!$C$16,Datos!$D$16,IF(Evalucion!ET43=Datos!$C$17,Datos!$D$17,IF(Evalucion!ET43=Datos!$C$18,Datos!$D$18,IF(Evalucion!ET43=Datos!$C$19,Datos!$D$19,"=")))))</f>
        <v>5</v>
      </c>
      <c r="ET45">
        <f>IF(Evalucion!EU43=Datos!$C$15,Datos!$D$15,IF(Evalucion!EU43=Datos!$C$16,Datos!$D$16,IF(Evalucion!EU43=Datos!$C$17,Datos!$D$17,IF(Evalucion!EU43=Datos!$C$18,Datos!$D$18,IF(Evalucion!EU43=Datos!$C$19,Datos!$D$19,"=")))))</f>
        <v>5</v>
      </c>
      <c r="EU45">
        <f>IF(Evalucion!EV43=Datos!$C$15,Datos!$D$15,IF(Evalucion!EV43=Datos!$C$16,Datos!$D$16,IF(Evalucion!EV43=Datos!$C$17,Datos!$D$17,IF(Evalucion!EV43=Datos!$C$18,Datos!$D$18,IF(Evalucion!EV43=Datos!$C$19,Datos!$D$19,"=")))))</f>
        <v>1</v>
      </c>
      <c r="EV45">
        <f>IF(Evalucion!EW43=Datos!$C$15,Datos!$D$15,IF(Evalucion!EW43=Datos!$C$16,Datos!$D$16,IF(Evalucion!EW43=Datos!$C$17,Datos!$D$17,IF(Evalucion!EW43=Datos!$C$18,Datos!$D$18,IF(Evalucion!EW43=Datos!$C$19,Datos!$D$19,"=")))))</f>
        <v>5</v>
      </c>
      <c r="EW45">
        <f>IF(Evalucion!EX43=Datos!$C$15,Datos!$D$15,IF(Evalucion!EX43=Datos!$C$16,Datos!$D$16,IF(Evalucion!EX43=Datos!$C$17,Datos!$D$17,IF(Evalucion!EX43=Datos!$C$18,Datos!$D$18,IF(Evalucion!EX43=Datos!$C$19,Datos!$D$19,"=")))))</f>
        <v>5</v>
      </c>
      <c r="EX45">
        <f>IF(Evalucion!EY43=Datos!$C$15,Datos!$D$15,IF(Evalucion!EY43=Datos!$C$16,Datos!$D$16,IF(Evalucion!EY43=Datos!$C$17,Datos!$D$17,IF(Evalucion!EY43=Datos!$C$18,Datos!$D$18,IF(Evalucion!EY43=Datos!$C$19,Datos!$D$19,"=")))))</f>
        <v>5</v>
      </c>
      <c r="EY45">
        <f>IF(Evalucion!EZ43=Datos!$C$15,Datos!$D$15,IF(Evalucion!EZ43=Datos!$C$16,Datos!$D$16,IF(Evalucion!EZ43=Datos!$C$17,Datos!$D$17,IF(Evalucion!EZ43=Datos!$C$18,Datos!$D$18,IF(Evalucion!EZ43=Datos!$C$19,Datos!$D$19,"=")))))</f>
        <v>3</v>
      </c>
      <c r="FA45">
        <f t="shared" si="8"/>
        <v>319</v>
      </c>
      <c r="FB45">
        <f t="shared" si="8"/>
        <v>261</v>
      </c>
      <c r="FC45" s="3">
        <f t="shared" si="4"/>
        <v>0.69599999999999995</v>
      </c>
      <c r="FD45" t="str">
        <f t="shared" si="9"/>
        <v>Conf_CR</v>
      </c>
      <c r="FF45">
        <f t="shared" si="5"/>
        <v>580</v>
      </c>
      <c r="FG45">
        <f t="shared" si="6"/>
        <v>0</v>
      </c>
    </row>
    <row r="46" spans="1:163" x14ac:dyDescent="0.2">
      <c r="A46">
        <f t="shared" si="7"/>
        <v>43</v>
      </c>
      <c r="B46" t="s">
        <v>287</v>
      </c>
      <c r="C46" t="s">
        <v>196</v>
      </c>
      <c r="D46" s="6">
        <v>43101</v>
      </c>
      <c r="E46">
        <f>IF(Evalucion!F44=Datos!$C$15,Datos!$D$15,IF(Evalucion!F44=Datos!$C$16,Datos!$D$16,IF(Evalucion!F44=Datos!$C$17,Datos!$D$17,IF(Evalucion!F44=Datos!$C$18,Datos!$D$18,IF(Evalucion!F44=Datos!$C$19,Datos!$D$19,"=")))))</f>
        <v>5</v>
      </c>
      <c r="F46">
        <f>IF(Evalucion!G44=Datos!$C$15,Datos!$D$15,IF(Evalucion!G44=Datos!$C$16,Datos!$D$16,IF(Evalucion!G44=Datos!$C$17,Datos!$D$17,IF(Evalucion!G44=Datos!$C$18,Datos!$D$18,IF(Evalucion!G44=Datos!$C$19,Datos!$D$19,"=")))))</f>
        <v>5</v>
      </c>
      <c r="G46">
        <f>IF(Evalucion!H44=Datos!$C$15,Datos!$D$15,IF(Evalucion!H44=Datos!$C$16,Datos!$D$16,IF(Evalucion!H44=Datos!$C$17,Datos!$D$17,IF(Evalucion!H44=Datos!$C$18,Datos!$D$18,IF(Evalucion!H44=Datos!$C$19,Datos!$D$19,"=")))))</f>
        <v>5</v>
      </c>
      <c r="H46">
        <f>IF(Evalucion!I44=Datos!$C$15,Datos!$D$15,IF(Evalucion!I44=Datos!$C$16,Datos!$D$16,IF(Evalucion!I44=Datos!$C$17,Datos!$D$17,IF(Evalucion!I44=Datos!$C$18,Datos!$D$18,IF(Evalucion!I44=Datos!$C$19,Datos!$D$19,"=")))))</f>
        <v>1</v>
      </c>
      <c r="I46">
        <f>IF(Evalucion!J44=Datos!$C$15,Datos!$D$15,IF(Evalucion!J44=Datos!$C$16,Datos!$D$16,IF(Evalucion!J44=Datos!$C$17,Datos!$D$17,IF(Evalucion!J44=Datos!$C$18,Datos!$D$18,IF(Evalucion!J44=Datos!$C$19,Datos!$D$19,"=")))))</f>
        <v>1</v>
      </c>
      <c r="J46">
        <f>IF(Evalucion!K44=Datos!$C$15,Datos!$D$15,IF(Evalucion!K44=Datos!$C$16,Datos!$D$16,IF(Evalucion!K44=Datos!$C$17,Datos!$D$17,IF(Evalucion!K44=Datos!$C$18,Datos!$D$18,IF(Evalucion!K44=Datos!$C$19,Datos!$D$19,"=")))))</f>
        <v>1</v>
      </c>
      <c r="K46">
        <f>IF(Evalucion!L44=Datos!$C$15,Datos!$D$15,IF(Evalucion!L44=Datos!$C$16,Datos!$D$16,IF(Evalucion!L44=Datos!$C$17,Datos!$D$17,IF(Evalucion!L44=Datos!$C$18,Datos!$D$18,IF(Evalucion!L44=Datos!$C$19,Datos!$D$19,"=")))))</f>
        <v>5</v>
      </c>
      <c r="L46">
        <f>IF(Evalucion!M44=Datos!$C$15,Datos!$D$15,IF(Evalucion!M44=Datos!$C$16,Datos!$D$16,IF(Evalucion!M44=Datos!$C$17,Datos!$D$17,IF(Evalucion!M44=Datos!$C$18,Datos!$D$18,IF(Evalucion!M44=Datos!$C$19,Datos!$D$19,"=")))))</f>
        <v>5</v>
      </c>
      <c r="M46">
        <f>IF(Evalucion!N44=Datos!$C$15,Datos!$D$15,IF(Evalucion!N44=Datos!$C$16,Datos!$D$16,IF(Evalucion!N44=Datos!$C$17,Datos!$D$17,IF(Evalucion!N44=Datos!$C$18,Datos!$D$18,IF(Evalucion!N44=Datos!$C$19,Datos!$D$19,"=")))))</f>
        <v>5</v>
      </c>
      <c r="N46">
        <f>IF(Evalucion!O44=Datos!$C$15,Datos!$D$15,IF(Evalucion!O44=Datos!$C$16,Datos!$D$16,IF(Evalucion!O44=Datos!$C$17,Datos!$D$17,IF(Evalucion!O44=Datos!$C$18,Datos!$D$18,IF(Evalucion!O44=Datos!$C$19,Datos!$D$19,"=")))))</f>
        <v>5</v>
      </c>
      <c r="O46">
        <f>IF(Evalucion!P44=Datos!$C$15,Datos!$D$15,IF(Evalucion!P44=Datos!$C$16,Datos!$D$16,IF(Evalucion!P44=Datos!$C$17,Datos!$D$17,IF(Evalucion!P44=Datos!$C$18,Datos!$D$18,IF(Evalucion!P44=Datos!$C$19,Datos!$D$19,"=")))))</f>
        <v>5</v>
      </c>
      <c r="P46">
        <f>IF(Evalucion!Q44=Datos!$C$15,Datos!$D$15,IF(Evalucion!Q44=Datos!$C$16,Datos!$D$16,IF(Evalucion!Q44=Datos!$C$17,Datos!$D$17,IF(Evalucion!Q44=Datos!$C$18,Datos!$D$18,IF(Evalucion!Q44=Datos!$C$19,Datos!$D$19,"=")))))</f>
        <v>5</v>
      </c>
      <c r="Q46">
        <f>IF(Evalucion!R44=Datos!$C$15,Datos!$D$15,IF(Evalucion!R44=Datos!$C$16,Datos!$D$16,IF(Evalucion!R44=Datos!$C$17,Datos!$D$17,IF(Evalucion!R44=Datos!$C$18,Datos!$D$18,IF(Evalucion!R44=Datos!$C$19,Datos!$D$19,"=")))))</f>
        <v>5</v>
      </c>
      <c r="R46">
        <f>IF(Evalucion!S44=Datos!$C$15,Datos!$D$15,IF(Evalucion!S44=Datos!$C$16,Datos!$D$16,IF(Evalucion!S44=Datos!$C$17,Datos!$D$17,IF(Evalucion!S44=Datos!$C$18,Datos!$D$18,IF(Evalucion!S44=Datos!$C$19,Datos!$D$19,"=")))))</f>
        <v>5</v>
      </c>
      <c r="S46">
        <f>IF(Evalucion!T44=Datos!$C$15,Datos!$D$15,IF(Evalucion!T44=Datos!$C$16,Datos!$D$16,IF(Evalucion!T44=Datos!$C$17,Datos!$D$17,IF(Evalucion!T44=Datos!$C$18,Datos!$D$18,IF(Evalucion!T44=Datos!$C$19,Datos!$D$19,"=")))))</f>
        <v>5</v>
      </c>
      <c r="T46">
        <f>IF(Evalucion!U44=Datos!$C$15,Datos!$D$15,IF(Evalucion!U44=Datos!$C$16,Datos!$D$16,IF(Evalucion!U44=Datos!$C$17,Datos!$D$17,IF(Evalucion!U44=Datos!$C$18,Datos!$D$18,IF(Evalucion!U44=Datos!$C$19,Datos!$D$19,"=")))))</f>
        <v>5</v>
      </c>
      <c r="U46">
        <f>IF(Evalucion!V44=Datos!$C$15,Datos!$D$15,IF(Evalucion!V44=Datos!$C$16,Datos!$D$16,IF(Evalucion!V44=Datos!$C$17,Datos!$D$17,IF(Evalucion!V44=Datos!$C$18,Datos!$D$18,IF(Evalucion!V44=Datos!$C$19,Datos!$D$19,"=")))))</f>
        <v>5</v>
      </c>
      <c r="V46">
        <f>IF(Evalucion!W44=Datos!$C$15,Datos!$D$15,IF(Evalucion!W44=Datos!$C$16,Datos!$D$16,IF(Evalucion!W44=Datos!$C$17,Datos!$D$17,IF(Evalucion!W44=Datos!$C$18,Datos!$D$18,IF(Evalucion!W44=Datos!$C$19,Datos!$D$19,"=")))))</f>
        <v>5</v>
      </c>
      <c r="W46">
        <f>IF(Evalucion!X44=Datos!$C$15,Datos!$D$15,IF(Evalucion!X44=Datos!$C$16,Datos!$D$16,IF(Evalucion!X44=Datos!$C$17,Datos!$D$17,IF(Evalucion!X44=Datos!$C$18,Datos!$D$18,IF(Evalucion!X44=Datos!$C$19,Datos!$D$19,"=")))))</f>
        <v>5</v>
      </c>
      <c r="X46">
        <f>IF(Evalucion!Y44=Datos!$C$15,Datos!$D$15,IF(Evalucion!Y44=Datos!$C$16,Datos!$D$16,IF(Evalucion!Y44=Datos!$C$17,Datos!$D$17,IF(Evalucion!Y44=Datos!$C$18,Datos!$D$18,IF(Evalucion!Y44=Datos!$C$19,Datos!$D$19,"=")))))</f>
        <v>5</v>
      </c>
      <c r="Y46">
        <f>IF(Evalucion!Z44=Datos!$C$15,Datos!$D$15,IF(Evalucion!Z44=Datos!$C$16,Datos!$D$16,IF(Evalucion!Z44=Datos!$C$17,Datos!$D$17,IF(Evalucion!Z44=Datos!$C$18,Datos!$D$18,IF(Evalucion!Z44=Datos!$C$19,Datos!$D$19,"=")))))</f>
        <v>5</v>
      </c>
      <c r="Z46">
        <f>IF(Evalucion!AA44=Datos!$C$15,Datos!$D$15,IF(Evalucion!AA44=Datos!$C$16,Datos!$D$16,IF(Evalucion!AA44=Datos!$C$17,Datos!$D$17,IF(Evalucion!AA44=Datos!$C$18,Datos!$D$18,IF(Evalucion!AA44=Datos!$C$19,Datos!$D$19,"=")))))</f>
        <v>5</v>
      </c>
      <c r="AA46">
        <f>IF(Evalucion!AB44=Datos!$C$15,Datos!$D$15,IF(Evalucion!AB44=Datos!$C$16,Datos!$D$16,IF(Evalucion!AB44=Datos!$C$17,Datos!$D$17,IF(Evalucion!AB44=Datos!$C$18,Datos!$D$18,IF(Evalucion!AB44=Datos!$C$19,Datos!$D$19,"=")))))</f>
        <v>5</v>
      </c>
      <c r="AB46">
        <f>IF(Evalucion!AC44=Datos!$C$15,Datos!$D$15,IF(Evalucion!AC44=Datos!$C$16,Datos!$D$16,IF(Evalucion!AC44=Datos!$C$17,Datos!$D$17,IF(Evalucion!AC44=Datos!$C$18,Datos!$D$18,IF(Evalucion!AC44=Datos!$C$19,Datos!$D$19,"=")))))</f>
        <v>5</v>
      </c>
      <c r="AC46">
        <f>IF(Evalucion!AD44=Datos!$C$15,Datos!$D$15,IF(Evalucion!AD44=Datos!$C$16,Datos!$D$16,IF(Evalucion!AD44=Datos!$C$17,Datos!$D$17,IF(Evalucion!AD44=Datos!$C$18,Datos!$D$18,IF(Evalucion!AD44=Datos!$C$19,Datos!$D$19,"=")))))</f>
        <v>5</v>
      </c>
      <c r="AD46">
        <f>IF(Evalucion!AE44=Datos!$C$15,Datos!$D$15,IF(Evalucion!AE44=Datos!$C$16,Datos!$D$16,IF(Evalucion!AE44=Datos!$C$17,Datos!$D$17,IF(Evalucion!AE44=Datos!$C$18,Datos!$D$18,IF(Evalucion!AE44=Datos!$C$19,Datos!$D$19,"=")))))</f>
        <v>3</v>
      </c>
      <c r="AE46">
        <f>IF(Evalucion!AF44=Datos!$C$15,Datos!$D$15,IF(Evalucion!AF44=Datos!$C$16,Datos!$D$16,IF(Evalucion!AF44=Datos!$C$17,Datos!$D$17,IF(Evalucion!AF44=Datos!$C$18,Datos!$D$18,IF(Evalucion!AF44=Datos!$C$19,Datos!$D$19,"=")))))</f>
        <v>5</v>
      </c>
      <c r="AF46">
        <f>IF(Evalucion!AG44=Datos!$C$15,Datos!$D$15,IF(Evalucion!AG44=Datos!$C$16,Datos!$D$16,IF(Evalucion!AG44=Datos!$C$17,Datos!$D$17,IF(Evalucion!AG44=Datos!$C$18,Datos!$D$18,IF(Evalucion!AG44=Datos!$C$19,Datos!$D$19,"=")))))</f>
        <v>5</v>
      </c>
      <c r="AO46">
        <f>IF(Evalucion!AP44=Datos!$C$15,Datos!$D$15,IF(Evalucion!AP44=Datos!$C$16,Datos!$D$16,IF(Evalucion!AP44=Datos!$C$17,Datos!$D$17,IF(Evalucion!AP44=Datos!$C$18,Datos!$D$18,IF(Evalucion!AP44=Datos!$C$19,Datos!$D$19,"=")))))</f>
        <v>5</v>
      </c>
      <c r="AP46">
        <f>IF(Evalucion!AQ44=Datos!$C$15,Datos!$D$15,IF(Evalucion!AQ44=Datos!$C$16,Datos!$D$16,IF(Evalucion!AQ44=Datos!$C$17,Datos!$D$17,IF(Evalucion!AQ44=Datos!$C$18,Datos!$D$18,IF(Evalucion!AQ44=Datos!$C$19,Datos!$D$19,"=")))))</f>
        <v>3</v>
      </c>
      <c r="AQ46">
        <f>IF(Evalucion!AR44=Datos!$C$15,Datos!$D$15,IF(Evalucion!AR44=Datos!$C$16,Datos!$D$16,IF(Evalucion!AR44=Datos!$C$17,Datos!$D$17,IF(Evalucion!AR44=Datos!$C$18,Datos!$D$18,IF(Evalucion!AR44=Datos!$C$19,Datos!$D$19,"=")))))</f>
        <v>1</v>
      </c>
      <c r="AR46">
        <f>IF(Evalucion!AS44=Datos!$C$15,Datos!$D$15,IF(Evalucion!AS44=Datos!$C$16,Datos!$D$16,IF(Evalucion!AS44=Datos!$C$17,Datos!$D$17,IF(Evalucion!AS44=Datos!$C$18,Datos!$D$18,IF(Evalucion!AS44=Datos!$C$19,Datos!$D$19,"=")))))</f>
        <v>1</v>
      </c>
      <c r="AS46">
        <f>IF(Evalucion!AT44=Datos!$C$15,Datos!$D$15,IF(Evalucion!AT44=Datos!$C$16,Datos!$D$16,IF(Evalucion!AT44=Datos!$C$17,Datos!$D$17,IF(Evalucion!AT44=Datos!$C$18,Datos!$D$18,IF(Evalucion!AT44=Datos!$C$19,Datos!$D$19,"=")))))</f>
        <v>5</v>
      </c>
      <c r="AT46">
        <f>IF(Evalucion!AU44=Datos!$C$15,Datos!$D$15,IF(Evalucion!AU44=Datos!$C$16,Datos!$D$16,IF(Evalucion!AU44=Datos!$C$17,Datos!$D$17,IF(Evalucion!AU44=Datos!$C$18,Datos!$D$18,IF(Evalucion!AU44=Datos!$C$19,Datos!$D$19,"=")))))</f>
        <v>5</v>
      </c>
      <c r="AV46">
        <f>IF(Evalucion!AW44=Datos!$C$15,Datos!$D$15,IF(Evalucion!AW44=Datos!$C$16,Datos!$D$16,IF(Evalucion!AW44=Datos!$C$17,Datos!$D$17,IF(Evalucion!AW44=Datos!$C$18,Datos!$D$18,IF(Evalucion!AW44=Datos!$C$19,Datos!$D$19,"=")))))</f>
        <v>5</v>
      </c>
      <c r="AW46">
        <f>IF(Evalucion!AX44=Datos!$C$15,Datos!$D$15,IF(Evalucion!AX44=Datos!$C$16,Datos!$D$16,IF(Evalucion!AX44=Datos!$C$17,Datos!$D$17,IF(Evalucion!AX44=Datos!$C$18,Datos!$D$18,IF(Evalucion!AX44=Datos!$C$19,Datos!$D$19,"=")))))</f>
        <v>5</v>
      </c>
      <c r="AX46">
        <f>IF(Evalucion!AY44=Datos!$C$15,Datos!$D$15,IF(Evalucion!AY44=Datos!$C$16,Datos!$D$16,IF(Evalucion!AY44=Datos!$C$17,Datos!$D$17,IF(Evalucion!AY44=Datos!$C$18,Datos!$D$18,IF(Evalucion!AY44=Datos!$C$19,Datos!$D$19,"=")))))</f>
        <v>5</v>
      </c>
      <c r="AY46">
        <f>IF(Evalucion!AZ44=Datos!$C$15,Datos!$D$15,IF(Evalucion!AZ44=Datos!$C$16,Datos!$D$16,IF(Evalucion!AZ44=Datos!$C$17,Datos!$D$17,IF(Evalucion!AZ44=Datos!$C$18,Datos!$D$18,IF(Evalucion!AZ44=Datos!$C$19,Datos!$D$19,"=")))))</f>
        <v>5</v>
      </c>
      <c r="AZ46">
        <f>IF(Evalucion!BA44=Datos!$C$15,Datos!$D$15,IF(Evalucion!BA44=Datos!$C$16,Datos!$D$16,IF(Evalucion!BA44=Datos!$C$17,Datos!$D$17,IF(Evalucion!BA44=Datos!$C$18,Datos!$D$18,IF(Evalucion!BA44=Datos!$C$19,Datos!$D$19,"=")))))</f>
        <v>5</v>
      </c>
      <c r="BA46">
        <f>IF(Evalucion!BB44=Datos!$C$15,Datos!$D$15,IF(Evalucion!BB44=Datos!$C$16,Datos!$D$16,IF(Evalucion!BB44=Datos!$C$17,Datos!$D$17,IF(Evalucion!BB44=Datos!$C$18,Datos!$D$18,IF(Evalucion!BB44=Datos!$C$19,Datos!$D$19,"=")))))</f>
        <v>5</v>
      </c>
      <c r="BB46">
        <f>IF(Evalucion!BC44=Datos!$C$15,Datos!$D$15,IF(Evalucion!BC44=Datos!$C$16,Datos!$D$16,IF(Evalucion!BC44=Datos!$C$17,Datos!$D$17,IF(Evalucion!BC44=Datos!$C$18,Datos!$D$18,IF(Evalucion!BC44=Datos!$C$19,Datos!$D$19,"=")))))</f>
        <v>5</v>
      </c>
      <c r="BC46">
        <f>IF(Evalucion!BD44=Datos!$C$15,Datos!$D$15,IF(Evalucion!BD44=Datos!$C$16,Datos!$D$16,IF(Evalucion!BD44=Datos!$C$17,Datos!$D$17,IF(Evalucion!BD44=Datos!$C$18,Datos!$D$18,IF(Evalucion!BD44=Datos!$C$19,Datos!$D$19,"=")))))</f>
        <v>1</v>
      </c>
      <c r="BD46">
        <f>IF(Evalucion!BE44=Datos!$C$15,Datos!$D$15,IF(Evalucion!BE44=Datos!$C$16,Datos!$D$16,IF(Evalucion!BE44=Datos!$C$17,Datos!$D$17,IF(Evalucion!BE44=Datos!$C$18,Datos!$D$18,IF(Evalucion!BE44=Datos!$C$19,Datos!$D$19,"=")))))</f>
        <v>5</v>
      </c>
      <c r="BE46">
        <f>IF(Evalucion!BF44=Datos!$C$15,Datos!$D$15,IF(Evalucion!BF44=Datos!$C$16,Datos!$D$16,IF(Evalucion!BF44=Datos!$C$17,Datos!$D$17,IF(Evalucion!BF44=Datos!$C$18,Datos!$D$18,IF(Evalucion!BF44=Datos!$C$19,Datos!$D$19,"=")))))</f>
        <v>1</v>
      </c>
      <c r="BF46">
        <f>IF(Evalucion!BG44=Datos!$C$15,Datos!$D$15,IF(Evalucion!BG44=Datos!$C$16,Datos!$D$16,IF(Evalucion!BG44=Datos!$C$17,Datos!$D$17,IF(Evalucion!BG44=Datos!$C$18,Datos!$D$18,IF(Evalucion!BG44=Datos!$C$19,Datos!$D$19,"=")))))</f>
        <v>5</v>
      </c>
      <c r="BG46">
        <f>IF(Evalucion!BH44=Datos!$C$15,Datos!$D$15,IF(Evalucion!BH44=Datos!$C$16,Datos!$D$16,IF(Evalucion!BH44=Datos!$C$17,Datos!$D$17,IF(Evalucion!BH44=Datos!$C$18,Datos!$D$18,IF(Evalucion!BH44=Datos!$C$19,Datos!$D$19,"=")))))</f>
        <v>5</v>
      </c>
      <c r="BH46">
        <f>IF(Evalucion!BI44=Datos!$C$15,Datos!$D$15,IF(Evalucion!BI44=Datos!$C$16,Datos!$D$16,IF(Evalucion!BI44=Datos!$C$17,Datos!$D$17,IF(Evalucion!BI44=Datos!$C$18,Datos!$D$18,IF(Evalucion!BI44=Datos!$C$19,Datos!$D$19,"=")))))</f>
        <v>5</v>
      </c>
      <c r="BI46">
        <f>IF(Evalucion!BJ44=Datos!$C$15,Datos!$D$15,IF(Evalucion!BJ44=Datos!$C$16,Datos!$D$16,IF(Evalucion!BJ44=Datos!$C$17,Datos!$D$17,IF(Evalucion!BJ44=Datos!$C$18,Datos!$D$18,IF(Evalucion!BJ44=Datos!$C$19,Datos!$D$19,"=")))))</f>
        <v>5</v>
      </c>
      <c r="BJ46">
        <f>IF(Evalucion!BK44=Datos!$C$15,Datos!$D$15,IF(Evalucion!BK44=Datos!$C$16,Datos!$D$16,IF(Evalucion!BK44=Datos!$C$17,Datos!$D$17,IF(Evalucion!BK44=Datos!$C$18,Datos!$D$18,IF(Evalucion!BK44=Datos!$C$19,Datos!$D$19,"=")))))</f>
        <v>5</v>
      </c>
      <c r="BK46">
        <f>IF(Evalucion!BL44=Datos!$C$15,Datos!$D$15,IF(Evalucion!BL44=Datos!$C$16,Datos!$D$16,IF(Evalucion!BL44=Datos!$C$17,Datos!$D$17,IF(Evalucion!BL44=Datos!$C$18,Datos!$D$18,IF(Evalucion!BL44=Datos!$C$19,Datos!$D$19,"=")))))</f>
        <v>5</v>
      </c>
      <c r="BL46">
        <f>IF(Evalucion!BM44=Datos!$C$15,Datos!$D$15,IF(Evalucion!BM44=Datos!$C$16,Datos!$D$16,IF(Evalucion!BM44=Datos!$C$17,Datos!$D$17,IF(Evalucion!BM44=Datos!$C$18,Datos!$D$18,IF(Evalucion!BM44=Datos!$C$19,Datos!$D$19,"=")))))</f>
        <v>5</v>
      </c>
      <c r="BM46">
        <f>IF(Evalucion!BN44=Datos!$C$15,Datos!$D$15,IF(Evalucion!BN44=Datos!$C$16,Datos!$D$16,IF(Evalucion!BN44=Datos!$C$17,Datos!$D$17,IF(Evalucion!BN44=Datos!$C$18,Datos!$D$18,IF(Evalucion!BN44=Datos!$C$19,Datos!$D$19,"=")))))</f>
        <v>5</v>
      </c>
      <c r="BN46">
        <f>IF(Evalucion!BO44=Datos!$C$15,Datos!$D$15,IF(Evalucion!BO44=Datos!$C$16,Datos!$D$16,IF(Evalucion!BO44=Datos!$C$17,Datos!$D$17,IF(Evalucion!BO44=Datos!$C$18,Datos!$D$18,IF(Evalucion!BO44=Datos!$C$19,Datos!$D$19,"=")))))</f>
        <v>5</v>
      </c>
      <c r="BO46">
        <f>IF(Evalucion!BP44=Datos!$C$15,Datos!$D$15,IF(Evalucion!BP44=Datos!$C$16,Datos!$D$16,IF(Evalucion!BP44=Datos!$C$17,Datos!$D$17,IF(Evalucion!BP44=Datos!$C$18,Datos!$D$18,IF(Evalucion!BP44=Datos!$C$19,Datos!$D$19,"=")))))</f>
        <v>5</v>
      </c>
      <c r="BP46">
        <f>IF(Evalucion!BQ44=Datos!$C$15,Datos!$D$15,IF(Evalucion!BQ44=Datos!$C$16,Datos!$D$16,IF(Evalucion!BQ44=Datos!$C$17,Datos!$D$17,IF(Evalucion!BQ44=Datos!$C$18,Datos!$D$18,IF(Evalucion!BQ44=Datos!$C$19,Datos!$D$19,"=")))))</f>
        <v>5</v>
      </c>
      <c r="BQ46">
        <f>IF(Evalucion!BR44=Datos!$C$15,Datos!$D$15,IF(Evalucion!BR44=Datos!$C$16,Datos!$D$16,IF(Evalucion!BR44=Datos!$C$17,Datos!$D$17,IF(Evalucion!BR44=Datos!$C$18,Datos!$D$18,IF(Evalucion!BR44=Datos!$C$19,Datos!$D$19,"=")))))</f>
        <v>3</v>
      </c>
      <c r="BR46">
        <f>IF(Evalucion!BS44=Datos!$C$15,Datos!$D$15,IF(Evalucion!BS44=Datos!$C$16,Datos!$D$16,IF(Evalucion!BS44=Datos!$C$17,Datos!$D$17,IF(Evalucion!BS44=Datos!$C$18,Datos!$D$18,IF(Evalucion!BS44=Datos!$C$19,Datos!$D$19,"=")))))</f>
        <v>5</v>
      </c>
      <c r="BS46">
        <f>IF(Evalucion!BT44=Datos!$C$15,Datos!$D$15,IF(Evalucion!BT44=Datos!$C$16,Datos!$D$16,IF(Evalucion!BT44=Datos!$C$17,Datos!$D$17,IF(Evalucion!BT44=Datos!$C$18,Datos!$D$18,IF(Evalucion!BT44=Datos!$C$19,Datos!$D$19,"=")))))</f>
        <v>1</v>
      </c>
      <c r="BT46">
        <f>IF(Evalucion!BU44=Datos!$C$15,Datos!$D$15,IF(Evalucion!BU44=Datos!$C$16,Datos!$D$16,IF(Evalucion!BU44=Datos!$C$17,Datos!$D$17,IF(Evalucion!BU44=Datos!$C$18,Datos!$D$18,IF(Evalucion!BU44=Datos!$C$19,Datos!$D$19,"=")))))</f>
        <v>5</v>
      </c>
      <c r="BU46">
        <f>IF(Evalucion!BV44=Datos!$C$15,Datos!$D$15,IF(Evalucion!BV44=Datos!$C$16,Datos!$D$16,IF(Evalucion!BV44=Datos!$C$17,Datos!$D$17,IF(Evalucion!BV44=Datos!$C$18,Datos!$D$18,IF(Evalucion!BV44=Datos!$C$19,Datos!$D$19,"=")))))</f>
        <v>3</v>
      </c>
      <c r="BV46">
        <f>IF(Evalucion!BW44=Datos!$C$15,Datos!$D$15,IF(Evalucion!BW44=Datos!$C$16,Datos!$D$16,IF(Evalucion!BW44=Datos!$C$17,Datos!$D$17,IF(Evalucion!BW44=Datos!$C$18,Datos!$D$18,IF(Evalucion!BW44=Datos!$C$19,Datos!$D$19,"=")))))</f>
        <v>5</v>
      </c>
      <c r="BW46">
        <f>IF(Evalucion!BX44=Datos!$C$15,Datos!$D$15,IF(Evalucion!BX44=Datos!$C$16,Datos!$D$16,IF(Evalucion!BX44=Datos!$C$17,Datos!$D$17,IF(Evalucion!BX44=Datos!$C$18,Datos!$D$18,IF(Evalucion!BX44=Datos!$C$19,Datos!$D$19,"=")))))</f>
        <v>5</v>
      </c>
      <c r="BX46">
        <f>IF(Evalucion!BY44=Datos!$C$15,Datos!$D$15,IF(Evalucion!BY44=Datos!$C$16,Datos!$D$16,IF(Evalucion!BY44=Datos!$C$17,Datos!$D$17,IF(Evalucion!BY44=Datos!$C$18,Datos!$D$18,IF(Evalucion!BY44=Datos!$C$19,Datos!$D$19,"=")))))</f>
        <v>5</v>
      </c>
      <c r="BY46">
        <f>IF(Evalucion!BZ44=Datos!$C$15,Datos!$D$15,IF(Evalucion!BZ44=Datos!$C$16,Datos!$D$16,IF(Evalucion!BZ44=Datos!$C$17,Datos!$D$17,IF(Evalucion!BZ44=Datos!$C$18,Datos!$D$18,IF(Evalucion!BZ44=Datos!$C$19,Datos!$D$19,"=")))))</f>
        <v>5</v>
      </c>
      <c r="BZ46">
        <f>IF(Evalucion!CA44=Datos!$C$15,Datos!$D$15,IF(Evalucion!CA44=Datos!$C$16,Datos!$D$16,IF(Evalucion!CA44=Datos!$C$17,Datos!$D$17,IF(Evalucion!CA44=Datos!$C$18,Datos!$D$18,IF(Evalucion!CA44=Datos!$C$19,Datos!$D$19,"=")))))</f>
        <v>5</v>
      </c>
      <c r="CA46">
        <f>IF(Evalucion!CB44=Datos!$C$15,Datos!$D$15,IF(Evalucion!CB44=Datos!$C$16,Datos!$D$16,IF(Evalucion!CB44=Datos!$C$17,Datos!$D$17,IF(Evalucion!CB44=Datos!$C$18,Datos!$D$18,IF(Evalucion!CB44=Datos!$C$19,Datos!$D$19,"=")))))</f>
        <v>5</v>
      </c>
      <c r="CB46">
        <f>IF(Evalucion!CC44=Datos!$C$15,Datos!$D$15,IF(Evalucion!CC44=Datos!$C$16,Datos!$D$16,IF(Evalucion!CC44=Datos!$C$17,Datos!$D$17,IF(Evalucion!CC44=Datos!$C$18,Datos!$D$18,IF(Evalucion!CC44=Datos!$C$19,Datos!$D$19,"=")))))</f>
        <v>5</v>
      </c>
      <c r="CC46">
        <f>IF(Evalucion!CD44=Datos!$C$15,Datos!$D$15,IF(Evalucion!CD44=Datos!$C$16,Datos!$D$16,IF(Evalucion!CD44=Datos!$C$17,Datos!$D$17,IF(Evalucion!CD44=Datos!$C$18,Datos!$D$18,IF(Evalucion!CD44=Datos!$C$19,Datos!$D$19,"=")))))</f>
        <v>5</v>
      </c>
      <c r="CD46">
        <f>IF(Evalucion!CE44=Datos!$C$15,Datos!$D$15,IF(Evalucion!CE44=Datos!$C$16,Datos!$D$16,IF(Evalucion!CE44=Datos!$C$17,Datos!$D$17,IF(Evalucion!CE44=Datos!$C$18,Datos!$D$18,IF(Evalucion!CE44=Datos!$C$19,Datos!$D$19,"=")))))</f>
        <v>5</v>
      </c>
      <c r="CE46">
        <f>IF(Evalucion!CF44=Datos!$C$15,Datos!$D$15,IF(Evalucion!CF44=Datos!$C$16,Datos!$D$16,IF(Evalucion!CF44=Datos!$C$17,Datos!$D$17,IF(Evalucion!CF44=Datos!$C$18,Datos!$D$18,IF(Evalucion!CF44=Datos!$C$19,Datos!$D$19,"=")))))</f>
        <v>3</v>
      </c>
      <c r="CF46">
        <f>IF(Evalucion!CG44=Datos!$C$15,Datos!$D$15,IF(Evalucion!CG44=Datos!$C$16,Datos!$D$16,IF(Evalucion!CG44=Datos!$C$17,Datos!$D$17,IF(Evalucion!CG44=Datos!$C$18,Datos!$D$18,IF(Evalucion!CG44=Datos!$C$19,Datos!$D$19,"=")))))</f>
        <v>5</v>
      </c>
      <c r="CG46">
        <f>IF(Evalucion!CH44=Datos!$C$15,Datos!$D$15,IF(Evalucion!CH44=Datos!$C$16,Datos!$D$16,IF(Evalucion!CH44=Datos!$C$17,Datos!$D$17,IF(Evalucion!CH44=Datos!$C$18,Datos!$D$18,IF(Evalucion!CH44=Datos!$C$19,Datos!$D$19,"=")))))</f>
        <v>1</v>
      </c>
      <c r="CH46">
        <f>IF(Evalucion!CI44=Datos!$C$15,Datos!$D$15,IF(Evalucion!CI44=Datos!$C$16,Datos!$D$16,IF(Evalucion!CI44=Datos!$C$17,Datos!$D$17,IF(Evalucion!CI44=Datos!$C$18,Datos!$D$18,IF(Evalucion!CI44=Datos!$C$19,Datos!$D$19,"=")))))</f>
        <v>5</v>
      </c>
      <c r="CI46">
        <f>IF(Evalucion!CJ44=Datos!$C$15,Datos!$D$15,IF(Evalucion!CJ44=Datos!$C$16,Datos!$D$16,IF(Evalucion!CJ44=Datos!$C$17,Datos!$D$17,IF(Evalucion!CJ44=Datos!$C$18,Datos!$D$18,IF(Evalucion!CJ44=Datos!$C$19,Datos!$D$19,"=")))))</f>
        <v>3</v>
      </c>
      <c r="CJ46">
        <f>IF(Evalucion!CK44=Datos!$C$15,Datos!$D$15,IF(Evalucion!CK44=Datos!$C$16,Datos!$D$16,IF(Evalucion!CK44=Datos!$C$17,Datos!$D$17,IF(Evalucion!CK44=Datos!$C$18,Datos!$D$18,IF(Evalucion!CK44=Datos!$C$19,Datos!$D$19,"=")))))</f>
        <v>5</v>
      </c>
      <c r="CK46">
        <f>IF(Evalucion!CL44=Datos!$C$15,Datos!$D$15,IF(Evalucion!CL44=Datos!$C$16,Datos!$D$16,IF(Evalucion!CL44=Datos!$C$17,Datos!$D$17,IF(Evalucion!CL44=Datos!$C$18,Datos!$D$18,IF(Evalucion!CL44=Datos!$C$19,Datos!$D$19,"=")))))</f>
        <v>5</v>
      </c>
      <c r="CL46">
        <f>IF(Evalucion!CM44=Datos!$C$15,Datos!$D$15,IF(Evalucion!CM44=Datos!$C$16,Datos!$D$16,IF(Evalucion!CM44=Datos!$C$17,Datos!$D$17,IF(Evalucion!CM44=Datos!$C$18,Datos!$D$18,IF(Evalucion!CM44=Datos!$C$19,Datos!$D$19,"=")))))</f>
        <v>5</v>
      </c>
      <c r="CM46">
        <f>IF(Evalucion!CN44=Datos!$C$15,Datos!$D$15,IF(Evalucion!CN44=Datos!$C$16,Datos!$D$16,IF(Evalucion!CN44=Datos!$C$17,Datos!$D$17,IF(Evalucion!CN44=Datos!$C$18,Datos!$D$18,IF(Evalucion!CN44=Datos!$C$19,Datos!$D$19,"=")))))</f>
        <v>5</v>
      </c>
      <c r="CN46">
        <f>IF(Evalucion!CO44=Datos!$C$15,Datos!$D$15,IF(Evalucion!CO44=Datos!$C$16,Datos!$D$16,IF(Evalucion!CO44=Datos!$C$17,Datos!$D$17,IF(Evalucion!CO44=Datos!$C$18,Datos!$D$18,IF(Evalucion!CO44=Datos!$C$19,Datos!$D$19,"=")))))</f>
        <v>5</v>
      </c>
      <c r="CO46">
        <f>IF(Evalucion!CP44=Datos!$C$15,Datos!$D$15,IF(Evalucion!CP44=Datos!$C$16,Datos!$D$16,IF(Evalucion!CP44=Datos!$C$17,Datos!$D$17,IF(Evalucion!CP44=Datos!$C$18,Datos!$D$18,IF(Evalucion!CP44=Datos!$C$19,Datos!$D$19,"=")))))</f>
        <v>5</v>
      </c>
      <c r="CP46">
        <f>IF(Evalucion!CQ44=Datos!$C$15,Datos!$D$15,IF(Evalucion!CQ44=Datos!$C$16,Datos!$D$16,IF(Evalucion!CQ44=Datos!$C$17,Datos!$D$17,IF(Evalucion!CQ44=Datos!$C$18,Datos!$D$18,IF(Evalucion!CQ44=Datos!$C$19,Datos!$D$19,"=")))))</f>
        <v>5</v>
      </c>
      <c r="CQ46">
        <f>IF(Evalucion!CR44=Datos!$C$15,Datos!$D$15,IF(Evalucion!CR44=Datos!$C$16,Datos!$D$16,IF(Evalucion!CR44=Datos!$C$17,Datos!$D$17,IF(Evalucion!CR44=Datos!$C$18,Datos!$D$18,IF(Evalucion!CR44=Datos!$C$19,Datos!$D$19,"=")))))</f>
        <v>3</v>
      </c>
      <c r="CR46">
        <f>IF(Evalucion!CS44=Datos!$C$15,Datos!$D$15,IF(Evalucion!CS44=Datos!$C$16,Datos!$D$16,IF(Evalucion!CS44=Datos!$C$17,Datos!$D$17,IF(Evalucion!CS44=Datos!$C$18,Datos!$D$18,IF(Evalucion!CS44=Datos!$C$19,Datos!$D$19,"=")))))</f>
        <v>5</v>
      </c>
      <c r="CS46">
        <f>IF(Evalucion!CT44=Datos!$C$15,Datos!$D$15,IF(Evalucion!CT44=Datos!$C$16,Datos!$D$16,IF(Evalucion!CT44=Datos!$C$17,Datos!$D$17,IF(Evalucion!CT44=Datos!$C$18,Datos!$D$18,IF(Evalucion!CT44=Datos!$C$19,Datos!$D$19,"=")))))</f>
        <v>3</v>
      </c>
      <c r="CT46">
        <f>IF(Evalucion!CU44=Datos!$C$15,Datos!$D$15,IF(Evalucion!CU44=Datos!$C$16,Datos!$D$16,IF(Evalucion!CU44=Datos!$C$17,Datos!$D$17,IF(Evalucion!CU44=Datos!$C$18,Datos!$D$18,IF(Evalucion!CU44=Datos!$C$19,Datos!$D$19,"=")))))</f>
        <v>5</v>
      </c>
      <c r="CU46">
        <f>IF(Evalucion!CV44=Datos!$C$15,Datos!$D$15,IF(Evalucion!CV44=Datos!$C$16,Datos!$D$16,IF(Evalucion!CV44=Datos!$C$17,Datos!$D$17,IF(Evalucion!CV44=Datos!$C$18,Datos!$D$18,IF(Evalucion!CV44=Datos!$C$19,Datos!$D$19,"=")))))</f>
        <v>3</v>
      </c>
      <c r="CV46">
        <f>IF(Evalucion!CW44=Datos!$C$15,Datos!$D$15,IF(Evalucion!CW44=Datos!$C$16,Datos!$D$16,IF(Evalucion!CW44=Datos!$C$17,Datos!$D$17,IF(Evalucion!CW44=Datos!$C$18,Datos!$D$18,IF(Evalucion!CW44=Datos!$C$19,Datos!$D$19,"=")))))</f>
        <v>5</v>
      </c>
      <c r="CW46">
        <f>IF(Evalucion!CX44=Datos!$C$15,Datos!$D$15,IF(Evalucion!CX44=Datos!$C$16,Datos!$D$16,IF(Evalucion!CX44=Datos!$C$17,Datos!$D$17,IF(Evalucion!CX44=Datos!$C$18,Datos!$D$18,IF(Evalucion!CX44=Datos!$C$19,Datos!$D$19,"=")))))</f>
        <v>3</v>
      </c>
      <c r="CX46">
        <f>IF(Evalucion!CY44=Datos!$C$15,Datos!$D$15,IF(Evalucion!CY44=Datos!$C$16,Datos!$D$16,IF(Evalucion!CY44=Datos!$C$17,Datos!$D$17,IF(Evalucion!CY44=Datos!$C$18,Datos!$D$18,IF(Evalucion!CY44=Datos!$C$19,Datos!$D$19,"=")))))</f>
        <v>5</v>
      </c>
      <c r="CY46">
        <f>IF(Evalucion!CZ44=Datos!$C$15,Datos!$D$15,IF(Evalucion!CZ44=Datos!$C$16,Datos!$D$16,IF(Evalucion!CZ44=Datos!$C$17,Datos!$D$17,IF(Evalucion!CZ44=Datos!$C$18,Datos!$D$18,IF(Evalucion!CZ44=Datos!$C$19,Datos!$D$19,"=")))))</f>
        <v>3</v>
      </c>
      <c r="CZ46">
        <f>IF(Evalucion!DA44=Datos!$C$15,Datos!$D$15,IF(Evalucion!DA44=Datos!$C$16,Datos!$D$16,IF(Evalucion!DA44=Datos!$C$17,Datos!$D$17,IF(Evalucion!DA44=Datos!$C$18,Datos!$D$18,IF(Evalucion!DA44=Datos!$C$19,Datos!$D$19,"=")))))</f>
        <v>5</v>
      </c>
      <c r="DA46">
        <f>IF(Evalucion!DB44=Datos!$C$15,Datos!$D$15,IF(Evalucion!DB44=Datos!$C$16,Datos!$D$16,IF(Evalucion!DB44=Datos!$C$17,Datos!$D$17,IF(Evalucion!DB44=Datos!$C$18,Datos!$D$18,IF(Evalucion!DB44=Datos!$C$19,Datos!$D$19,"=")))))</f>
        <v>3</v>
      </c>
      <c r="DB46">
        <f>IF(Evalucion!DC44=Datos!$C$15,Datos!$D$15,IF(Evalucion!DC44=Datos!$C$16,Datos!$D$16,IF(Evalucion!DC44=Datos!$C$17,Datos!$D$17,IF(Evalucion!DC44=Datos!$C$18,Datos!$D$18,IF(Evalucion!DC44=Datos!$C$19,Datos!$D$19,"=")))))</f>
        <v>5</v>
      </c>
      <c r="DC46">
        <f>IF(Evalucion!DD44=Datos!$C$15,Datos!$D$15,IF(Evalucion!DD44=Datos!$C$16,Datos!$D$16,IF(Evalucion!DD44=Datos!$C$17,Datos!$D$17,IF(Evalucion!DD44=Datos!$C$18,Datos!$D$18,IF(Evalucion!DD44=Datos!$C$19,Datos!$D$19,"=")))))</f>
        <v>5</v>
      </c>
      <c r="DD46">
        <f>IF(Evalucion!DE44=Datos!$C$15,Datos!$D$15,IF(Evalucion!DE44=Datos!$C$16,Datos!$D$16,IF(Evalucion!DE44=Datos!$C$17,Datos!$D$17,IF(Evalucion!DE44=Datos!$C$18,Datos!$D$18,IF(Evalucion!DE44=Datos!$C$19,Datos!$D$19,"=")))))</f>
        <v>1</v>
      </c>
      <c r="DE46">
        <f>IF(Evalucion!DF44=Datos!$C$15,Datos!$D$15,IF(Evalucion!DF44=Datos!$C$16,Datos!$D$16,IF(Evalucion!DF44=Datos!$C$17,Datos!$D$17,IF(Evalucion!DF44=Datos!$C$18,Datos!$D$18,IF(Evalucion!DF44=Datos!$C$19,Datos!$D$19,"=")))))</f>
        <v>1</v>
      </c>
      <c r="DF46">
        <f>IF(Evalucion!DG44=Datos!$C$15,Datos!$D$15,IF(Evalucion!DG44=Datos!$C$16,Datos!$D$16,IF(Evalucion!DG44=Datos!$C$17,Datos!$D$17,IF(Evalucion!DG44=Datos!$C$18,Datos!$D$18,IF(Evalucion!DG44=Datos!$C$19,Datos!$D$19,"=")))))</f>
        <v>5</v>
      </c>
      <c r="DG46">
        <f>IF(Evalucion!DH44=Datos!$C$15,Datos!$D$15,IF(Evalucion!DH44=Datos!$C$16,Datos!$D$16,IF(Evalucion!DH44=Datos!$C$17,Datos!$D$17,IF(Evalucion!DH44=Datos!$C$18,Datos!$D$18,IF(Evalucion!DH44=Datos!$C$19,Datos!$D$19,"=")))))</f>
        <v>5</v>
      </c>
      <c r="DH46">
        <f>IF(Evalucion!DI44=Datos!$C$15,Datos!$D$15,IF(Evalucion!DI44=Datos!$C$16,Datos!$D$16,IF(Evalucion!DI44=Datos!$C$17,Datos!$D$17,IF(Evalucion!DI44=Datos!$C$18,Datos!$D$18,IF(Evalucion!DI44=Datos!$C$19,Datos!$D$19,"=")))))</f>
        <v>1</v>
      </c>
      <c r="DI46">
        <f>IF(Evalucion!DJ44=Datos!$C$15,Datos!$D$15,IF(Evalucion!DJ44=Datos!$C$16,Datos!$D$16,IF(Evalucion!DJ44=Datos!$C$17,Datos!$D$17,IF(Evalucion!DJ44=Datos!$C$18,Datos!$D$18,IF(Evalucion!DJ44=Datos!$C$19,Datos!$D$19,"=")))))</f>
        <v>1</v>
      </c>
      <c r="DJ46">
        <f>IF(Evalucion!DK44=Datos!$C$15,Datos!$D$15,IF(Evalucion!DK44=Datos!$C$16,Datos!$D$16,IF(Evalucion!DK44=Datos!$C$17,Datos!$D$17,IF(Evalucion!DK44=Datos!$C$18,Datos!$D$18,IF(Evalucion!DK44=Datos!$C$19,Datos!$D$19,"=")))))</f>
        <v>1</v>
      </c>
      <c r="DK46">
        <f>IF(Evalucion!DL44=Datos!$C$15,Datos!$D$15,IF(Evalucion!DL44=Datos!$C$16,Datos!$D$16,IF(Evalucion!DL44=Datos!$C$17,Datos!$D$17,IF(Evalucion!DL44=Datos!$C$18,Datos!$D$18,IF(Evalucion!DL44=Datos!$C$19,Datos!$D$19,"=")))))</f>
        <v>1</v>
      </c>
      <c r="DL46">
        <f>IF(Evalucion!DM44=Datos!$C$15,Datos!$D$15,IF(Evalucion!DM44=Datos!$C$16,Datos!$D$16,IF(Evalucion!DM44=Datos!$C$17,Datos!$D$17,IF(Evalucion!DM44=Datos!$C$18,Datos!$D$18,IF(Evalucion!DM44=Datos!$C$19,Datos!$D$19,"=")))))</f>
        <v>1</v>
      </c>
      <c r="DM46">
        <f>IF(Evalucion!DN44=Datos!$C$15,Datos!$D$15,IF(Evalucion!DN44=Datos!$C$16,Datos!$D$16,IF(Evalucion!DN44=Datos!$C$17,Datos!$D$17,IF(Evalucion!DN44=Datos!$C$18,Datos!$D$18,IF(Evalucion!DN44=Datos!$C$19,Datos!$D$19,"=")))))</f>
        <v>1</v>
      </c>
      <c r="DN46">
        <f>IF(Evalucion!DO44=Datos!$C$15,Datos!$D$15,IF(Evalucion!DO44=Datos!$C$16,Datos!$D$16,IF(Evalucion!DO44=Datos!$C$17,Datos!$D$17,IF(Evalucion!DO44=Datos!$C$18,Datos!$D$18,IF(Evalucion!DO44=Datos!$C$19,Datos!$D$19,"=")))))</f>
        <v>5</v>
      </c>
      <c r="DO46">
        <f>IF(Evalucion!DP44=Datos!$C$15,Datos!$D$15,IF(Evalucion!DP44=Datos!$C$16,Datos!$D$16,IF(Evalucion!DP44=Datos!$C$17,Datos!$D$17,IF(Evalucion!DP44=Datos!$C$18,Datos!$D$18,IF(Evalucion!DP44=Datos!$C$19,Datos!$D$19,"=")))))</f>
        <v>5</v>
      </c>
      <c r="DP46">
        <f>IF(Evalucion!DQ44=Datos!$C$15,Datos!$D$15,IF(Evalucion!DQ44=Datos!$C$16,Datos!$D$16,IF(Evalucion!DQ44=Datos!$C$17,Datos!$D$17,IF(Evalucion!DQ44=Datos!$C$18,Datos!$D$18,IF(Evalucion!DQ44=Datos!$C$19,Datos!$D$19,"=")))))</f>
        <v>5</v>
      </c>
      <c r="DQ46">
        <f>IF(Evalucion!DR44=Datos!$C$15,Datos!$D$15,IF(Evalucion!DR44=Datos!$C$16,Datos!$D$16,IF(Evalucion!DR44=Datos!$C$17,Datos!$D$17,IF(Evalucion!DR44=Datos!$C$18,Datos!$D$18,IF(Evalucion!DR44=Datos!$C$19,Datos!$D$19,"=")))))</f>
        <v>3</v>
      </c>
      <c r="DR46">
        <f>IF(Evalucion!DS44=Datos!$C$15,Datos!$D$15,IF(Evalucion!DS44=Datos!$C$16,Datos!$D$16,IF(Evalucion!DS44=Datos!$C$17,Datos!$D$17,IF(Evalucion!DS44=Datos!$C$18,Datos!$D$18,IF(Evalucion!DS44=Datos!$C$19,Datos!$D$19,"=")))))</f>
        <v>5</v>
      </c>
      <c r="DS46">
        <f>IF(Evalucion!DT44=Datos!$C$15,Datos!$D$15,IF(Evalucion!DT44=Datos!$C$16,Datos!$D$16,IF(Evalucion!DT44=Datos!$C$17,Datos!$D$17,IF(Evalucion!DT44=Datos!$C$18,Datos!$D$18,IF(Evalucion!DT44=Datos!$C$19,Datos!$D$19,"=")))))</f>
        <v>3</v>
      </c>
      <c r="DT46">
        <f>IF(Evalucion!DU44=Datos!$C$15,Datos!$D$15,IF(Evalucion!DU44=Datos!$C$16,Datos!$D$16,IF(Evalucion!DU44=Datos!$C$17,Datos!$D$17,IF(Evalucion!DU44=Datos!$C$18,Datos!$D$18,IF(Evalucion!DU44=Datos!$C$19,Datos!$D$19,"=")))))</f>
        <v>5</v>
      </c>
      <c r="DU46">
        <f>IF(Evalucion!DV44=Datos!$C$15,Datos!$D$15,IF(Evalucion!DV44=Datos!$C$16,Datos!$D$16,IF(Evalucion!DV44=Datos!$C$17,Datos!$D$17,IF(Evalucion!DV44=Datos!$C$18,Datos!$D$18,IF(Evalucion!DV44=Datos!$C$19,Datos!$D$19,"=")))))</f>
        <v>5</v>
      </c>
      <c r="DV46">
        <f>IF(Evalucion!DW44=Datos!$C$15,Datos!$D$15,IF(Evalucion!DW44=Datos!$C$16,Datos!$D$16,IF(Evalucion!DW44=Datos!$C$17,Datos!$D$17,IF(Evalucion!DW44=Datos!$C$18,Datos!$D$18,IF(Evalucion!DW44=Datos!$C$19,Datos!$D$19,"=")))))</f>
        <v>5</v>
      </c>
      <c r="DW46">
        <f>IF(Evalucion!DX44=Datos!$C$15,Datos!$D$15,IF(Evalucion!DX44=Datos!$C$16,Datos!$D$16,IF(Evalucion!DX44=Datos!$C$17,Datos!$D$17,IF(Evalucion!DX44=Datos!$C$18,Datos!$D$18,IF(Evalucion!DX44=Datos!$C$19,Datos!$D$19,"=")))))</f>
        <v>5</v>
      </c>
      <c r="DX46">
        <f>IF(Evalucion!DY44=Datos!$C$15,Datos!$D$15,IF(Evalucion!DY44=Datos!$C$16,Datos!$D$16,IF(Evalucion!DY44=Datos!$C$17,Datos!$D$17,IF(Evalucion!DY44=Datos!$C$18,Datos!$D$18,IF(Evalucion!DY44=Datos!$C$19,Datos!$D$19,"=")))))</f>
        <v>5</v>
      </c>
      <c r="DY46">
        <f>IF(Evalucion!DZ44=Datos!$C$15,Datos!$D$15,IF(Evalucion!DZ44=Datos!$C$16,Datos!$D$16,IF(Evalucion!DZ44=Datos!$C$17,Datos!$D$17,IF(Evalucion!DZ44=Datos!$C$18,Datos!$D$18,IF(Evalucion!DZ44=Datos!$C$19,Datos!$D$19,"=")))))</f>
        <v>3</v>
      </c>
      <c r="DZ46">
        <f>IF(Evalucion!EA44=Datos!$C$15,Datos!$D$15,IF(Evalucion!EA44=Datos!$C$16,Datos!$D$16,IF(Evalucion!EA44=Datos!$C$17,Datos!$D$17,IF(Evalucion!EA44=Datos!$C$18,Datos!$D$18,IF(Evalucion!EA44=Datos!$C$19,Datos!$D$19,"=")))))</f>
        <v>5</v>
      </c>
      <c r="EA46">
        <f>IF(Evalucion!EB44=Datos!$C$15,Datos!$D$15,IF(Evalucion!EB44=Datos!$C$16,Datos!$D$16,IF(Evalucion!EB44=Datos!$C$17,Datos!$D$17,IF(Evalucion!EB44=Datos!$C$18,Datos!$D$18,IF(Evalucion!EB44=Datos!$C$19,Datos!$D$19,"=")))))</f>
        <v>5</v>
      </c>
      <c r="EB46">
        <f>IF(Evalucion!EC44=Datos!$C$15,Datos!$D$15,IF(Evalucion!EC44=Datos!$C$16,Datos!$D$16,IF(Evalucion!EC44=Datos!$C$17,Datos!$D$17,IF(Evalucion!EC44=Datos!$C$18,Datos!$D$18,IF(Evalucion!EC44=Datos!$C$19,Datos!$D$19,"=")))))</f>
        <v>5</v>
      </c>
      <c r="EC46">
        <f>IF(Evalucion!ED44=Datos!$C$15,Datos!$D$15,IF(Evalucion!ED44=Datos!$C$16,Datos!$D$16,IF(Evalucion!ED44=Datos!$C$17,Datos!$D$17,IF(Evalucion!ED44=Datos!$C$18,Datos!$D$18,IF(Evalucion!ED44=Datos!$C$19,Datos!$D$19,"=")))))</f>
        <v>3</v>
      </c>
      <c r="ED46">
        <f>IF(Evalucion!EE44=Datos!$C$15,Datos!$D$15,IF(Evalucion!EE44=Datos!$C$16,Datos!$D$16,IF(Evalucion!EE44=Datos!$C$17,Datos!$D$17,IF(Evalucion!EE44=Datos!$C$18,Datos!$D$18,IF(Evalucion!EE44=Datos!$C$19,Datos!$D$19,"=")))))</f>
        <v>5</v>
      </c>
      <c r="EE46">
        <f>IF(Evalucion!EF44=Datos!$C$15,Datos!$D$15,IF(Evalucion!EF44=Datos!$C$16,Datos!$D$16,IF(Evalucion!EF44=Datos!$C$17,Datos!$D$17,IF(Evalucion!EF44=Datos!$C$18,Datos!$D$18,IF(Evalucion!EF44=Datos!$C$19,Datos!$D$19,"=")))))</f>
        <v>5</v>
      </c>
      <c r="EF46">
        <f>IF(Evalucion!EG44=Datos!$C$15,Datos!$D$15,IF(Evalucion!EG44=Datos!$C$16,Datos!$D$16,IF(Evalucion!EG44=Datos!$C$17,Datos!$D$17,IF(Evalucion!EG44=Datos!$C$18,Datos!$D$18,IF(Evalucion!EG44=Datos!$C$19,Datos!$D$19,"=")))))</f>
        <v>5</v>
      </c>
      <c r="EG46">
        <f>IF(Evalucion!EH44=Datos!$C$15,Datos!$D$15,IF(Evalucion!EH44=Datos!$C$16,Datos!$D$16,IF(Evalucion!EH44=Datos!$C$17,Datos!$D$17,IF(Evalucion!EH44=Datos!$C$18,Datos!$D$18,IF(Evalucion!EH44=Datos!$C$19,Datos!$D$19,"=")))))</f>
        <v>5</v>
      </c>
      <c r="EH46">
        <f>IF(Evalucion!EI44=Datos!$C$15,Datos!$D$15,IF(Evalucion!EI44=Datos!$C$16,Datos!$D$16,IF(Evalucion!EI44=Datos!$C$17,Datos!$D$17,IF(Evalucion!EI44=Datos!$C$18,Datos!$D$18,IF(Evalucion!EI44=Datos!$C$19,Datos!$D$19,"=")))))</f>
        <v>5</v>
      </c>
      <c r="EI46">
        <f>IF(Evalucion!EJ44=Datos!$C$15,Datos!$D$15,IF(Evalucion!EJ44=Datos!$C$16,Datos!$D$16,IF(Evalucion!EJ44=Datos!$C$17,Datos!$D$17,IF(Evalucion!EJ44=Datos!$C$18,Datos!$D$18,IF(Evalucion!EJ44=Datos!$C$19,Datos!$D$19,"=")))))</f>
        <v>5</v>
      </c>
      <c r="EJ46">
        <f>IF(Evalucion!EK44=Datos!$C$15,Datos!$D$15,IF(Evalucion!EK44=Datos!$C$16,Datos!$D$16,IF(Evalucion!EK44=Datos!$C$17,Datos!$D$17,IF(Evalucion!EK44=Datos!$C$18,Datos!$D$18,IF(Evalucion!EK44=Datos!$C$19,Datos!$D$19,"=")))))</f>
        <v>5</v>
      </c>
      <c r="EK46">
        <f>IF(Evalucion!EL44=Datos!$C$15,Datos!$D$15,IF(Evalucion!EL44=Datos!$C$16,Datos!$D$16,IF(Evalucion!EL44=Datos!$C$17,Datos!$D$17,IF(Evalucion!EL44=Datos!$C$18,Datos!$D$18,IF(Evalucion!EL44=Datos!$C$19,Datos!$D$19,"=")))))</f>
        <v>5</v>
      </c>
      <c r="EL46">
        <f>IF(Evalucion!EM44=Datos!$C$15,Datos!$D$15,IF(Evalucion!EM44=Datos!$C$16,Datos!$D$16,IF(Evalucion!EM44=Datos!$C$17,Datos!$D$17,IF(Evalucion!EM44=Datos!$C$18,Datos!$D$18,IF(Evalucion!EM44=Datos!$C$19,Datos!$D$19,"=")))))</f>
        <v>5</v>
      </c>
      <c r="EM46">
        <f>IF(Evalucion!EN44=Datos!$C$15,Datos!$D$15,IF(Evalucion!EN44=Datos!$C$16,Datos!$D$16,IF(Evalucion!EN44=Datos!$C$17,Datos!$D$17,IF(Evalucion!EN44=Datos!$C$18,Datos!$D$18,IF(Evalucion!EN44=Datos!$C$19,Datos!$D$19,"=")))))</f>
        <v>5</v>
      </c>
      <c r="EN46">
        <f>IF(Evalucion!EO44=Datos!$C$15,Datos!$D$15,IF(Evalucion!EO44=Datos!$C$16,Datos!$D$16,IF(Evalucion!EO44=Datos!$C$17,Datos!$D$17,IF(Evalucion!EO44=Datos!$C$18,Datos!$D$18,IF(Evalucion!EO44=Datos!$C$19,Datos!$D$19,"=")))))</f>
        <v>5</v>
      </c>
      <c r="EO46">
        <f>IF(Evalucion!EP44=Datos!$C$15,Datos!$D$15,IF(Evalucion!EP44=Datos!$C$16,Datos!$D$16,IF(Evalucion!EP44=Datos!$C$17,Datos!$D$17,IF(Evalucion!EP44=Datos!$C$18,Datos!$D$18,IF(Evalucion!EP44=Datos!$C$19,Datos!$D$19,"=")))))</f>
        <v>5</v>
      </c>
      <c r="EP46">
        <f>IF(Evalucion!EQ44=Datos!$C$15,Datos!$D$15,IF(Evalucion!EQ44=Datos!$C$16,Datos!$D$16,IF(Evalucion!EQ44=Datos!$C$17,Datos!$D$17,IF(Evalucion!EQ44=Datos!$C$18,Datos!$D$18,IF(Evalucion!EQ44=Datos!$C$19,Datos!$D$19,"=")))))</f>
        <v>5</v>
      </c>
      <c r="EQ46">
        <f>IF(Evalucion!ER44=Datos!$C$15,Datos!$D$15,IF(Evalucion!ER44=Datos!$C$16,Datos!$D$16,IF(Evalucion!ER44=Datos!$C$17,Datos!$D$17,IF(Evalucion!ER44=Datos!$C$18,Datos!$D$18,IF(Evalucion!ER44=Datos!$C$19,Datos!$D$19,"=")))))</f>
        <v>5</v>
      </c>
      <c r="ER46">
        <f>IF(Evalucion!ES44=Datos!$C$15,Datos!$D$15,IF(Evalucion!ES44=Datos!$C$16,Datos!$D$16,IF(Evalucion!ES44=Datos!$C$17,Datos!$D$17,IF(Evalucion!ES44=Datos!$C$18,Datos!$D$18,IF(Evalucion!ES44=Datos!$C$19,Datos!$D$19,"=")))))</f>
        <v>5</v>
      </c>
      <c r="ES46">
        <f>IF(Evalucion!ET44=Datos!$C$15,Datos!$D$15,IF(Evalucion!ET44=Datos!$C$16,Datos!$D$16,IF(Evalucion!ET44=Datos!$C$17,Datos!$D$17,IF(Evalucion!ET44=Datos!$C$18,Datos!$D$18,IF(Evalucion!ET44=Datos!$C$19,Datos!$D$19,"=")))))</f>
        <v>5</v>
      </c>
      <c r="ET46">
        <f>IF(Evalucion!EU44=Datos!$C$15,Datos!$D$15,IF(Evalucion!EU44=Datos!$C$16,Datos!$D$16,IF(Evalucion!EU44=Datos!$C$17,Datos!$D$17,IF(Evalucion!EU44=Datos!$C$18,Datos!$D$18,IF(Evalucion!EU44=Datos!$C$19,Datos!$D$19,"=")))))</f>
        <v>5</v>
      </c>
      <c r="EU46">
        <f>IF(Evalucion!EV44=Datos!$C$15,Datos!$D$15,IF(Evalucion!EV44=Datos!$C$16,Datos!$D$16,IF(Evalucion!EV44=Datos!$C$17,Datos!$D$17,IF(Evalucion!EV44=Datos!$C$18,Datos!$D$18,IF(Evalucion!EV44=Datos!$C$19,Datos!$D$19,"=")))))</f>
        <v>3</v>
      </c>
      <c r="EV46">
        <f>IF(Evalucion!EW44=Datos!$C$15,Datos!$D$15,IF(Evalucion!EW44=Datos!$C$16,Datos!$D$16,IF(Evalucion!EW44=Datos!$C$17,Datos!$D$17,IF(Evalucion!EW44=Datos!$C$18,Datos!$D$18,IF(Evalucion!EW44=Datos!$C$19,Datos!$D$19,"=")))))</f>
        <v>5</v>
      </c>
      <c r="EW46">
        <f>IF(Evalucion!EX44=Datos!$C$15,Datos!$D$15,IF(Evalucion!EX44=Datos!$C$16,Datos!$D$16,IF(Evalucion!EX44=Datos!$C$17,Datos!$D$17,IF(Evalucion!EX44=Datos!$C$18,Datos!$D$18,IF(Evalucion!EX44=Datos!$C$19,Datos!$D$19,"=")))))</f>
        <v>5</v>
      </c>
      <c r="EX46">
        <f>IF(Evalucion!EY44=Datos!$C$15,Datos!$D$15,IF(Evalucion!EY44=Datos!$C$16,Datos!$D$16,IF(Evalucion!EY44=Datos!$C$17,Datos!$D$17,IF(Evalucion!EY44=Datos!$C$18,Datos!$D$18,IF(Evalucion!EY44=Datos!$C$19,Datos!$D$19,"=")))))</f>
        <v>5</v>
      </c>
      <c r="EY46">
        <f>IF(Evalucion!EZ44=Datos!$C$15,Datos!$D$15,IF(Evalucion!EZ44=Datos!$C$16,Datos!$D$16,IF(Evalucion!EZ44=Datos!$C$17,Datos!$D$17,IF(Evalucion!EZ44=Datos!$C$18,Datos!$D$18,IF(Evalucion!EZ44=Datos!$C$19,Datos!$D$19,"=")))))</f>
        <v>3</v>
      </c>
      <c r="FA46">
        <f t="shared" si="8"/>
        <v>331</v>
      </c>
      <c r="FB46">
        <f t="shared" si="8"/>
        <v>275</v>
      </c>
      <c r="FC46" s="3">
        <f t="shared" si="4"/>
        <v>0.73333333333333328</v>
      </c>
      <c r="FD46" t="str">
        <f t="shared" si="9"/>
        <v>Conf_CR</v>
      </c>
      <c r="FF46">
        <f t="shared" si="5"/>
        <v>606</v>
      </c>
      <c r="FG46">
        <f t="shared" si="6"/>
        <v>0</v>
      </c>
    </row>
    <row r="47" spans="1:163" x14ac:dyDescent="0.2">
      <c r="A47">
        <f t="shared" si="7"/>
        <v>44</v>
      </c>
      <c r="B47" t="s">
        <v>288</v>
      </c>
      <c r="C47" t="s">
        <v>196</v>
      </c>
      <c r="D47" s="6">
        <v>43101</v>
      </c>
      <c r="E47">
        <f>IF(Evalucion!F45=Datos!$C$15,Datos!$D$15,IF(Evalucion!F45=Datos!$C$16,Datos!$D$16,IF(Evalucion!F45=Datos!$C$17,Datos!$D$17,IF(Evalucion!F45=Datos!$C$18,Datos!$D$18,IF(Evalucion!F45=Datos!$C$19,Datos!$D$19,"=")))))</f>
        <v>5</v>
      </c>
      <c r="F47">
        <f>IF(Evalucion!G45=Datos!$C$15,Datos!$D$15,IF(Evalucion!G45=Datos!$C$16,Datos!$D$16,IF(Evalucion!G45=Datos!$C$17,Datos!$D$17,IF(Evalucion!G45=Datos!$C$18,Datos!$D$18,IF(Evalucion!G45=Datos!$C$19,Datos!$D$19,"=")))))</f>
        <v>5</v>
      </c>
      <c r="G47">
        <f>IF(Evalucion!H45=Datos!$C$15,Datos!$D$15,IF(Evalucion!H45=Datos!$C$16,Datos!$D$16,IF(Evalucion!H45=Datos!$C$17,Datos!$D$17,IF(Evalucion!H45=Datos!$C$18,Datos!$D$18,IF(Evalucion!H45=Datos!$C$19,Datos!$D$19,"=")))))</f>
        <v>5</v>
      </c>
      <c r="H47">
        <f>IF(Evalucion!I45=Datos!$C$15,Datos!$D$15,IF(Evalucion!I45=Datos!$C$16,Datos!$D$16,IF(Evalucion!I45=Datos!$C$17,Datos!$D$17,IF(Evalucion!I45=Datos!$C$18,Datos!$D$18,IF(Evalucion!I45=Datos!$C$19,Datos!$D$19,"=")))))</f>
        <v>1</v>
      </c>
      <c r="I47">
        <f>IF(Evalucion!J45=Datos!$C$15,Datos!$D$15,IF(Evalucion!J45=Datos!$C$16,Datos!$D$16,IF(Evalucion!J45=Datos!$C$17,Datos!$D$17,IF(Evalucion!J45=Datos!$C$18,Datos!$D$18,IF(Evalucion!J45=Datos!$C$19,Datos!$D$19,"=")))))</f>
        <v>1</v>
      </c>
      <c r="J47">
        <f>IF(Evalucion!K45=Datos!$C$15,Datos!$D$15,IF(Evalucion!K45=Datos!$C$16,Datos!$D$16,IF(Evalucion!K45=Datos!$C$17,Datos!$D$17,IF(Evalucion!K45=Datos!$C$18,Datos!$D$18,IF(Evalucion!K45=Datos!$C$19,Datos!$D$19,"=")))))</f>
        <v>1</v>
      </c>
      <c r="K47">
        <f>IF(Evalucion!L45=Datos!$C$15,Datos!$D$15,IF(Evalucion!L45=Datos!$C$16,Datos!$D$16,IF(Evalucion!L45=Datos!$C$17,Datos!$D$17,IF(Evalucion!L45=Datos!$C$18,Datos!$D$18,IF(Evalucion!L45=Datos!$C$19,Datos!$D$19,"=")))))</f>
        <v>5</v>
      </c>
      <c r="L47">
        <f>IF(Evalucion!M45=Datos!$C$15,Datos!$D$15,IF(Evalucion!M45=Datos!$C$16,Datos!$D$16,IF(Evalucion!M45=Datos!$C$17,Datos!$D$17,IF(Evalucion!M45=Datos!$C$18,Datos!$D$18,IF(Evalucion!M45=Datos!$C$19,Datos!$D$19,"=")))))</f>
        <v>5</v>
      </c>
      <c r="M47">
        <f>IF(Evalucion!N45=Datos!$C$15,Datos!$D$15,IF(Evalucion!N45=Datos!$C$16,Datos!$D$16,IF(Evalucion!N45=Datos!$C$17,Datos!$D$17,IF(Evalucion!N45=Datos!$C$18,Datos!$D$18,IF(Evalucion!N45=Datos!$C$19,Datos!$D$19,"=")))))</f>
        <v>5</v>
      </c>
      <c r="N47">
        <f>IF(Evalucion!O45=Datos!$C$15,Datos!$D$15,IF(Evalucion!O45=Datos!$C$16,Datos!$D$16,IF(Evalucion!O45=Datos!$C$17,Datos!$D$17,IF(Evalucion!O45=Datos!$C$18,Datos!$D$18,IF(Evalucion!O45=Datos!$C$19,Datos!$D$19,"=")))))</f>
        <v>5</v>
      </c>
      <c r="O47">
        <f>IF(Evalucion!P45=Datos!$C$15,Datos!$D$15,IF(Evalucion!P45=Datos!$C$16,Datos!$D$16,IF(Evalucion!P45=Datos!$C$17,Datos!$D$17,IF(Evalucion!P45=Datos!$C$18,Datos!$D$18,IF(Evalucion!P45=Datos!$C$19,Datos!$D$19,"=")))))</f>
        <v>5</v>
      </c>
      <c r="P47">
        <f>IF(Evalucion!Q45=Datos!$C$15,Datos!$D$15,IF(Evalucion!Q45=Datos!$C$16,Datos!$D$16,IF(Evalucion!Q45=Datos!$C$17,Datos!$D$17,IF(Evalucion!Q45=Datos!$C$18,Datos!$D$18,IF(Evalucion!Q45=Datos!$C$19,Datos!$D$19,"=")))))</f>
        <v>5</v>
      </c>
      <c r="Q47">
        <f>IF(Evalucion!R45=Datos!$C$15,Datos!$D$15,IF(Evalucion!R45=Datos!$C$16,Datos!$D$16,IF(Evalucion!R45=Datos!$C$17,Datos!$D$17,IF(Evalucion!R45=Datos!$C$18,Datos!$D$18,IF(Evalucion!R45=Datos!$C$19,Datos!$D$19,"=")))))</f>
        <v>5</v>
      </c>
      <c r="R47">
        <f>IF(Evalucion!S45=Datos!$C$15,Datos!$D$15,IF(Evalucion!S45=Datos!$C$16,Datos!$D$16,IF(Evalucion!S45=Datos!$C$17,Datos!$D$17,IF(Evalucion!S45=Datos!$C$18,Datos!$D$18,IF(Evalucion!S45=Datos!$C$19,Datos!$D$19,"=")))))</f>
        <v>5</v>
      </c>
      <c r="S47">
        <f>IF(Evalucion!T45=Datos!$C$15,Datos!$D$15,IF(Evalucion!T45=Datos!$C$16,Datos!$D$16,IF(Evalucion!T45=Datos!$C$17,Datos!$D$17,IF(Evalucion!T45=Datos!$C$18,Datos!$D$18,IF(Evalucion!T45=Datos!$C$19,Datos!$D$19,"=")))))</f>
        <v>5</v>
      </c>
      <c r="T47">
        <f>IF(Evalucion!U45=Datos!$C$15,Datos!$D$15,IF(Evalucion!U45=Datos!$C$16,Datos!$D$16,IF(Evalucion!U45=Datos!$C$17,Datos!$D$17,IF(Evalucion!U45=Datos!$C$18,Datos!$D$18,IF(Evalucion!U45=Datos!$C$19,Datos!$D$19,"=")))))</f>
        <v>5</v>
      </c>
      <c r="U47">
        <f>IF(Evalucion!V45=Datos!$C$15,Datos!$D$15,IF(Evalucion!V45=Datos!$C$16,Datos!$D$16,IF(Evalucion!V45=Datos!$C$17,Datos!$D$17,IF(Evalucion!V45=Datos!$C$18,Datos!$D$18,IF(Evalucion!V45=Datos!$C$19,Datos!$D$19,"=")))))</f>
        <v>5</v>
      </c>
      <c r="V47">
        <f>IF(Evalucion!W45=Datos!$C$15,Datos!$D$15,IF(Evalucion!W45=Datos!$C$16,Datos!$D$16,IF(Evalucion!W45=Datos!$C$17,Datos!$D$17,IF(Evalucion!W45=Datos!$C$18,Datos!$D$18,IF(Evalucion!W45=Datos!$C$19,Datos!$D$19,"=")))))</f>
        <v>5</v>
      </c>
      <c r="W47">
        <f>IF(Evalucion!X45=Datos!$C$15,Datos!$D$15,IF(Evalucion!X45=Datos!$C$16,Datos!$D$16,IF(Evalucion!X45=Datos!$C$17,Datos!$D$17,IF(Evalucion!X45=Datos!$C$18,Datos!$D$18,IF(Evalucion!X45=Datos!$C$19,Datos!$D$19,"=")))))</f>
        <v>5</v>
      </c>
      <c r="X47">
        <f>IF(Evalucion!Y45=Datos!$C$15,Datos!$D$15,IF(Evalucion!Y45=Datos!$C$16,Datos!$D$16,IF(Evalucion!Y45=Datos!$C$17,Datos!$D$17,IF(Evalucion!Y45=Datos!$C$18,Datos!$D$18,IF(Evalucion!Y45=Datos!$C$19,Datos!$D$19,"=")))))</f>
        <v>5</v>
      </c>
      <c r="Y47">
        <f>IF(Evalucion!Z45=Datos!$C$15,Datos!$D$15,IF(Evalucion!Z45=Datos!$C$16,Datos!$D$16,IF(Evalucion!Z45=Datos!$C$17,Datos!$D$17,IF(Evalucion!Z45=Datos!$C$18,Datos!$D$18,IF(Evalucion!Z45=Datos!$C$19,Datos!$D$19,"=")))))</f>
        <v>5</v>
      </c>
      <c r="Z47">
        <f>IF(Evalucion!AA45=Datos!$C$15,Datos!$D$15,IF(Evalucion!AA45=Datos!$C$16,Datos!$D$16,IF(Evalucion!AA45=Datos!$C$17,Datos!$D$17,IF(Evalucion!AA45=Datos!$C$18,Datos!$D$18,IF(Evalucion!AA45=Datos!$C$19,Datos!$D$19,"=")))))</f>
        <v>5</v>
      </c>
      <c r="AA47">
        <f>IF(Evalucion!AB45=Datos!$C$15,Datos!$D$15,IF(Evalucion!AB45=Datos!$C$16,Datos!$D$16,IF(Evalucion!AB45=Datos!$C$17,Datos!$D$17,IF(Evalucion!AB45=Datos!$C$18,Datos!$D$18,IF(Evalucion!AB45=Datos!$C$19,Datos!$D$19,"=")))))</f>
        <v>5</v>
      </c>
      <c r="AB47">
        <f>IF(Evalucion!AC45=Datos!$C$15,Datos!$D$15,IF(Evalucion!AC45=Datos!$C$16,Datos!$D$16,IF(Evalucion!AC45=Datos!$C$17,Datos!$D$17,IF(Evalucion!AC45=Datos!$C$18,Datos!$D$18,IF(Evalucion!AC45=Datos!$C$19,Datos!$D$19,"=")))))</f>
        <v>5</v>
      </c>
      <c r="AC47">
        <f>IF(Evalucion!AD45=Datos!$C$15,Datos!$D$15,IF(Evalucion!AD45=Datos!$C$16,Datos!$D$16,IF(Evalucion!AD45=Datos!$C$17,Datos!$D$17,IF(Evalucion!AD45=Datos!$C$18,Datos!$D$18,IF(Evalucion!AD45=Datos!$C$19,Datos!$D$19,"=")))))</f>
        <v>5</v>
      </c>
      <c r="AD47">
        <f>IF(Evalucion!AE45=Datos!$C$15,Datos!$D$15,IF(Evalucion!AE45=Datos!$C$16,Datos!$D$16,IF(Evalucion!AE45=Datos!$C$17,Datos!$D$17,IF(Evalucion!AE45=Datos!$C$18,Datos!$D$18,IF(Evalucion!AE45=Datos!$C$19,Datos!$D$19,"=")))))</f>
        <v>3</v>
      </c>
      <c r="AE47">
        <f>IF(Evalucion!AF45=Datos!$C$15,Datos!$D$15,IF(Evalucion!AF45=Datos!$C$16,Datos!$D$16,IF(Evalucion!AF45=Datos!$C$17,Datos!$D$17,IF(Evalucion!AF45=Datos!$C$18,Datos!$D$18,IF(Evalucion!AF45=Datos!$C$19,Datos!$D$19,"=")))))</f>
        <v>5</v>
      </c>
      <c r="AF47">
        <f>IF(Evalucion!AG45=Datos!$C$15,Datos!$D$15,IF(Evalucion!AG45=Datos!$C$16,Datos!$D$16,IF(Evalucion!AG45=Datos!$C$17,Datos!$D$17,IF(Evalucion!AG45=Datos!$C$18,Datos!$D$18,IF(Evalucion!AG45=Datos!$C$19,Datos!$D$19,"=")))))</f>
        <v>5</v>
      </c>
      <c r="AO47">
        <f>IF(Evalucion!AP45=Datos!$C$15,Datos!$D$15,IF(Evalucion!AP45=Datos!$C$16,Datos!$D$16,IF(Evalucion!AP45=Datos!$C$17,Datos!$D$17,IF(Evalucion!AP45=Datos!$C$18,Datos!$D$18,IF(Evalucion!AP45=Datos!$C$19,Datos!$D$19,"=")))))</f>
        <v>5</v>
      </c>
      <c r="AP47">
        <f>IF(Evalucion!AQ45=Datos!$C$15,Datos!$D$15,IF(Evalucion!AQ45=Datos!$C$16,Datos!$D$16,IF(Evalucion!AQ45=Datos!$C$17,Datos!$D$17,IF(Evalucion!AQ45=Datos!$C$18,Datos!$D$18,IF(Evalucion!AQ45=Datos!$C$19,Datos!$D$19,"=")))))</f>
        <v>3</v>
      </c>
      <c r="AQ47">
        <f>IF(Evalucion!AR45=Datos!$C$15,Datos!$D$15,IF(Evalucion!AR45=Datos!$C$16,Datos!$D$16,IF(Evalucion!AR45=Datos!$C$17,Datos!$D$17,IF(Evalucion!AR45=Datos!$C$18,Datos!$D$18,IF(Evalucion!AR45=Datos!$C$19,Datos!$D$19,"=")))))</f>
        <v>1</v>
      </c>
      <c r="AR47">
        <f>IF(Evalucion!AS45=Datos!$C$15,Datos!$D$15,IF(Evalucion!AS45=Datos!$C$16,Datos!$D$16,IF(Evalucion!AS45=Datos!$C$17,Datos!$D$17,IF(Evalucion!AS45=Datos!$C$18,Datos!$D$18,IF(Evalucion!AS45=Datos!$C$19,Datos!$D$19,"=")))))</f>
        <v>1</v>
      </c>
      <c r="AS47">
        <f>IF(Evalucion!AT45=Datos!$C$15,Datos!$D$15,IF(Evalucion!AT45=Datos!$C$16,Datos!$D$16,IF(Evalucion!AT45=Datos!$C$17,Datos!$D$17,IF(Evalucion!AT45=Datos!$C$18,Datos!$D$18,IF(Evalucion!AT45=Datos!$C$19,Datos!$D$19,"=")))))</f>
        <v>5</v>
      </c>
      <c r="AT47">
        <f>IF(Evalucion!AU45=Datos!$C$15,Datos!$D$15,IF(Evalucion!AU45=Datos!$C$16,Datos!$D$16,IF(Evalucion!AU45=Datos!$C$17,Datos!$D$17,IF(Evalucion!AU45=Datos!$C$18,Datos!$D$18,IF(Evalucion!AU45=Datos!$C$19,Datos!$D$19,"=")))))</f>
        <v>5</v>
      </c>
      <c r="AV47">
        <f>IF(Evalucion!AW45=Datos!$C$15,Datos!$D$15,IF(Evalucion!AW45=Datos!$C$16,Datos!$D$16,IF(Evalucion!AW45=Datos!$C$17,Datos!$D$17,IF(Evalucion!AW45=Datos!$C$18,Datos!$D$18,IF(Evalucion!AW45=Datos!$C$19,Datos!$D$19,"=")))))</f>
        <v>5</v>
      </c>
      <c r="AW47">
        <f>IF(Evalucion!AX45=Datos!$C$15,Datos!$D$15,IF(Evalucion!AX45=Datos!$C$16,Datos!$D$16,IF(Evalucion!AX45=Datos!$C$17,Datos!$D$17,IF(Evalucion!AX45=Datos!$C$18,Datos!$D$18,IF(Evalucion!AX45=Datos!$C$19,Datos!$D$19,"=")))))</f>
        <v>5</v>
      </c>
      <c r="AX47">
        <f>IF(Evalucion!AY45=Datos!$C$15,Datos!$D$15,IF(Evalucion!AY45=Datos!$C$16,Datos!$D$16,IF(Evalucion!AY45=Datos!$C$17,Datos!$D$17,IF(Evalucion!AY45=Datos!$C$18,Datos!$D$18,IF(Evalucion!AY45=Datos!$C$19,Datos!$D$19,"=")))))</f>
        <v>5</v>
      </c>
      <c r="AY47">
        <f>IF(Evalucion!AZ45=Datos!$C$15,Datos!$D$15,IF(Evalucion!AZ45=Datos!$C$16,Datos!$D$16,IF(Evalucion!AZ45=Datos!$C$17,Datos!$D$17,IF(Evalucion!AZ45=Datos!$C$18,Datos!$D$18,IF(Evalucion!AZ45=Datos!$C$19,Datos!$D$19,"=")))))</f>
        <v>5</v>
      </c>
      <c r="AZ47">
        <f>IF(Evalucion!BA45=Datos!$C$15,Datos!$D$15,IF(Evalucion!BA45=Datos!$C$16,Datos!$D$16,IF(Evalucion!BA45=Datos!$C$17,Datos!$D$17,IF(Evalucion!BA45=Datos!$C$18,Datos!$D$18,IF(Evalucion!BA45=Datos!$C$19,Datos!$D$19,"=")))))</f>
        <v>5</v>
      </c>
      <c r="BA47">
        <f>IF(Evalucion!BB45=Datos!$C$15,Datos!$D$15,IF(Evalucion!BB45=Datos!$C$16,Datos!$D$16,IF(Evalucion!BB45=Datos!$C$17,Datos!$D$17,IF(Evalucion!BB45=Datos!$C$18,Datos!$D$18,IF(Evalucion!BB45=Datos!$C$19,Datos!$D$19,"=")))))</f>
        <v>5</v>
      </c>
      <c r="BB47">
        <f>IF(Evalucion!BC45=Datos!$C$15,Datos!$D$15,IF(Evalucion!BC45=Datos!$C$16,Datos!$D$16,IF(Evalucion!BC45=Datos!$C$17,Datos!$D$17,IF(Evalucion!BC45=Datos!$C$18,Datos!$D$18,IF(Evalucion!BC45=Datos!$C$19,Datos!$D$19,"=")))))</f>
        <v>5</v>
      </c>
      <c r="BC47">
        <f>IF(Evalucion!BD45=Datos!$C$15,Datos!$D$15,IF(Evalucion!BD45=Datos!$C$16,Datos!$D$16,IF(Evalucion!BD45=Datos!$C$17,Datos!$D$17,IF(Evalucion!BD45=Datos!$C$18,Datos!$D$18,IF(Evalucion!BD45=Datos!$C$19,Datos!$D$19,"=")))))</f>
        <v>1</v>
      </c>
      <c r="BD47">
        <f>IF(Evalucion!BE45=Datos!$C$15,Datos!$D$15,IF(Evalucion!BE45=Datos!$C$16,Datos!$D$16,IF(Evalucion!BE45=Datos!$C$17,Datos!$D$17,IF(Evalucion!BE45=Datos!$C$18,Datos!$D$18,IF(Evalucion!BE45=Datos!$C$19,Datos!$D$19,"=")))))</f>
        <v>5</v>
      </c>
      <c r="BE47">
        <f>IF(Evalucion!BF45=Datos!$C$15,Datos!$D$15,IF(Evalucion!BF45=Datos!$C$16,Datos!$D$16,IF(Evalucion!BF45=Datos!$C$17,Datos!$D$17,IF(Evalucion!BF45=Datos!$C$18,Datos!$D$18,IF(Evalucion!BF45=Datos!$C$19,Datos!$D$19,"=")))))</f>
        <v>1</v>
      </c>
      <c r="BF47">
        <f>IF(Evalucion!BG45=Datos!$C$15,Datos!$D$15,IF(Evalucion!BG45=Datos!$C$16,Datos!$D$16,IF(Evalucion!BG45=Datos!$C$17,Datos!$D$17,IF(Evalucion!BG45=Datos!$C$18,Datos!$D$18,IF(Evalucion!BG45=Datos!$C$19,Datos!$D$19,"=")))))</f>
        <v>5</v>
      </c>
      <c r="BG47">
        <f>IF(Evalucion!BH45=Datos!$C$15,Datos!$D$15,IF(Evalucion!BH45=Datos!$C$16,Datos!$D$16,IF(Evalucion!BH45=Datos!$C$17,Datos!$D$17,IF(Evalucion!BH45=Datos!$C$18,Datos!$D$18,IF(Evalucion!BH45=Datos!$C$19,Datos!$D$19,"=")))))</f>
        <v>5</v>
      </c>
      <c r="BH47">
        <f>IF(Evalucion!BI45=Datos!$C$15,Datos!$D$15,IF(Evalucion!BI45=Datos!$C$16,Datos!$D$16,IF(Evalucion!BI45=Datos!$C$17,Datos!$D$17,IF(Evalucion!BI45=Datos!$C$18,Datos!$D$18,IF(Evalucion!BI45=Datos!$C$19,Datos!$D$19,"=")))))</f>
        <v>5</v>
      </c>
      <c r="BI47">
        <f>IF(Evalucion!BJ45=Datos!$C$15,Datos!$D$15,IF(Evalucion!BJ45=Datos!$C$16,Datos!$D$16,IF(Evalucion!BJ45=Datos!$C$17,Datos!$D$17,IF(Evalucion!BJ45=Datos!$C$18,Datos!$D$18,IF(Evalucion!BJ45=Datos!$C$19,Datos!$D$19,"=")))))</f>
        <v>5</v>
      </c>
      <c r="BJ47">
        <f>IF(Evalucion!BK45=Datos!$C$15,Datos!$D$15,IF(Evalucion!BK45=Datos!$C$16,Datos!$D$16,IF(Evalucion!BK45=Datos!$C$17,Datos!$D$17,IF(Evalucion!BK45=Datos!$C$18,Datos!$D$18,IF(Evalucion!BK45=Datos!$C$19,Datos!$D$19,"=")))))</f>
        <v>5</v>
      </c>
      <c r="BK47">
        <f>IF(Evalucion!BL45=Datos!$C$15,Datos!$D$15,IF(Evalucion!BL45=Datos!$C$16,Datos!$D$16,IF(Evalucion!BL45=Datos!$C$17,Datos!$D$17,IF(Evalucion!BL45=Datos!$C$18,Datos!$D$18,IF(Evalucion!BL45=Datos!$C$19,Datos!$D$19,"=")))))</f>
        <v>5</v>
      </c>
      <c r="BL47">
        <f>IF(Evalucion!BM45=Datos!$C$15,Datos!$D$15,IF(Evalucion!BM45=Datos!$C$16,Datos!$D$16,IF(Evalucion!BM45=Datos!$C$17,Datos!$D$17,IF(Evalucion!BM45=Datos!$C$18,Datos!$D$18,IF(Evalucion!BM45=Datos!$C$19,Datos!$D$19,"=")))))</f>
        <v>5</v>
      </c>
      <c r="BM47">
        <f>IF(Evalucion!BN45=Datos!$C$15,Datos!$D$15,IF(Evalucion!BN45=Datos!$C$16,Datos!$D$16,IF(Evalucion!BN45=Datos!$C$17,Datos!$D$17,IF(Evalucion!BN45=Datos!$C$18,Datos!$D$18,IF(Evalucion!BN45=Datos!$C$19,Datos!$D$19,"=")))))</f>
        <v>5</v>
      </c>
      <c r="BN47">
        <f>IF(Evalucion!BO45=Datos!$C$15,Datos!$D$15,IF(Evalucion!BO45=Datos!$C$16,Datos!$D$16,IF(Evalucion!BO45=Datos!$C$17,Datos!$D$17,IF(Evalucion!BO45=Datos!$C$18,Datos!$D$18,IF(Evalucion!BO45=Datos!$C$19,Datos!$D$19,"=")))))</f>
        <v>5</v>
      </c>
      <c r="BO47">
        <f>IF(Evalucion!BP45=Datos!$C$15,Datos!$D$15,IF(Evalucion!BP45=Datos!$C$16,Datos!$D$16,IF(Evalucion!BP45=Datos!$C$17,Datos!$D$17,IF(Evalucion!BP45=Datos!$C$18,Datos!$D$18,IF(Evalucion!BP45=Datos!$C$19,Datos!$D$19,"=")))))</f>
        <v>5</v>
      </c>
      <c r="BP47">
        <f>IF(Evalucion!BQ45=Datos!$C$15,Datos!$D$15,IF(Evalucion!BQ45=Datos!$C$16,Datos!$D$16,IF(Evalucion!BQ45=Datos!$C$17,Datos!$D$17,IF(Evalucion!BQ45=Datos!$C$18,Datos!$D$18,IF(Evalucion!BQ45=Datos!$C$19,Datos!$D$19,"=")))))</f>
        <v>5</v>
      </c>
      <c r="BQ47">
        <f>IF(Evalucion!BR45=Datos!$C$15,Datos!$D$15,IF(Evalucion!BR45=Datos!$C$16,Datos!$D$16,IF(Evalucion!BR45=Datos!$C$17,Datos!$D$17,IF(Evalucion!BR45=Datos!$C$18,Datos!$D$18,IF(Evalucion!BR45=Datos!$C$19,Datos!$D$19,"=")))))</f>
        <v>3</v>
      </c>
      <c r="BR47">
        <f>IF(Evalucion!BS45=Datos!$C$15,Datos!$D$15,IF(Evalucion!BS45=Datos!$C$16,Datos!$D$16,IF(Evalucion!BS45=Datos!$C$17,Datos!$D$17,IF(Evalucion!BS45=Datos!$C$18,Datos!$D$18,IF(Evalucion!BS45=Datos!$C$19,Datos!$D$19,"=")))))</f>
        <v>5</v>
      </c>
      <c r="BS47">
        <f>IF(Evalucion!BT45=Datos!$C$15,Datos!$D$15,IF(Evalucion!BT45=Datos!$C$16,Datos!$D$16,IF(Evalucion!BT45=Datos!$C$17,Datos!$D$17,IF(Evalucion!BT45=Datos!$C$18,Datos!$D$18,IF(Evalucion!BT45=Datos!$C$19,Datos!$D$19,"=")))))</f>
        <v>1</v>
      </c>
      <c r="BT47">
        <f>IF(Evalucion!BU45=Datos!$C$15,Datos!$D$15,IF(Evalucion!BU45=Datos!$C$16,Datos!$D$16,IF(Evalucion!BU45=Datos!$C$17,Datos!$D$17,IF(Evalucion!BU45=Datos!$C$18,Datos!$D$18,IF(Evalucion!BU45=Datos!$C$19,Datos!$D$19,"=")))))</f>
        <v>5</v>
      </c>
      <c r="BU47">
        <f>IF(Evalucion!BV45=Datos!$C$15,Datos!$D$15,IF(Evalucion!BV45=Datos!$C$16,Datos!$D$16,IF(Evalucion!BV45=Datos!$C$17,Datos!$D$17,IF(Evalucion!BV45=Datos!$C$18,Datos!$D$18,IF(Evalucion!BV45=Datos!$C$19,Datos!$D$19,"=")))))</f>
        <v>3</v>
      </c>
      <c r="BV47">
        <f>IF(Evalucion!BW45=Datos!$C$15,Datos!$D$15,IF(Evalucion!BW45=Datos!$C$16,Datos!$D$16,IF(Evalucion!BW45=Datos!$C$17,Datos!$D$17,IF(Evalucion!BW45=Datos!$C$18,Datos!$D$18,IF(Evalucion!BW45=Datos!$C$19,Datos!$D$19,"=")))))</f>
        <v>5</v>
      </c>
      <c r="BW47">
        <f>IF(Evalucion!BX45=Datos!$C$15,Datos!$D$15,IF(Evalucion!BX45=Datos!$C$16,Datos!$D$16,IF(Evalucion!BX45=Datos!$C$17,Datos!$D$17,IF(Evalucion!BX45=Datos!$C$18,Datos!$D$18,IF(Evalucion!BX45=Datos!$C$19,Datos!$D$19,"=")))))</f>
        <v>5</v>
      </c>
      <c r="BX47">
        <f>IF(Evalucion!BY45=Datos!$C$15,Datos!$D$15,IF(Evalucion!BY45=Datos!$C$16,Datos!$D$16,IF(Evalucion!BY45=Datos!$C$17,Datos!$D$17,IF(Evalucion!BY45=Datos!$C$18,Datos!$D$18,IF(Evalucion!BY45=Datos!$C$19,Datos!$D$19,"=")))))</f>
        <v>5</v>
      </c>
      <c r="BY47">
        <f>IF(Evalucion!BZ45=Datos!$C$15,Datos!$D$15,IF(Evalucion!BZ45=Datos!$C$16,Datos!$D$16,IF(Evalucion!BZ45=Datos!$C$17,Datos!$D$17,IF(Evalucion!BZ45=Datos!$C$18,Datos!$D$18,IF(Evalucion!BZ45=Datos!$C$19,Datos!$D$19,"=")))))</f>
        <v>5</v>
      </c>
      <c r="BZ47">
        <f>IF(Evalucion!CA45=Datos!$C$15,Datos!$D$15,IF(Evalucion!CA45=Datos!$C$16,Datos!$D$16,IF(Evalucion!CA45=Datos!$C$17,Datos!$D$17,IF(Evalucion!CA45=Datos!$C$18,Datos!$D$18,IF(Evalucion!CA45=Datos!$C$19,Datos!$D$19,"=")))))</f>
        <v>5</v>
      </c>
      <c r="CA47">
        <f>IF(Evalucion!CB45=Datos!$C$15,Datos!$D$15,IF(Evalucion!CB45=Datos!$C$16,Datos!$D$16,IF(Evalucion!CB45=Datos!$C$17,Datos!$D$17,IF(Evalucion!CB45=Datos!$C$18,Datos!$D$18,IF(Evalucion!CB45=Datos!$C$19,Datos!$D$19,"=")))))</f>
        <v>5</v>
      </c>
      <c r="CB47">
        <f>IF(Evalucion!CC45=Datos!$C$15,Datos!$D$15,IF(Evalucion!CC45=Datos!$C$16,Datos!$D$16,IF(Evalucion!CC45=Datos!$C$17,Datos!$D$17,IF(Evalucion!CC45=Datos!$C$18,Datos!$D$18,IF(Evalucion!CC45=Datos!$C$19,Datos!$D$19,"=")))))</f>
        <v>5</v>
      </c>
      <c r="CC47">
        <f>IF(Evalucion!CD45=Datos!$C$15,Datos!$D$15,IF(Evalucion!CD45=Datos!$C$16,Datos!$D$16,IF(Evalucion!CD45=Datos!$C$17,Datos!$D$17,IF(Evalucion!CD45=Datos!$C$18,Datos!$D$18,IF(Evalucion!CD45=Datos!$C$19,Datos!$D$19,"=")))))</f>
        <v>5</v>
      </c>
      <c r="CD47">
        <f>IF(Evalucion!CE45=Datos!$C$15,Datos!$D$15,IF(Evalucion!CE45=Datos!$C$16,Datos!$D$16,IF(Evalucion!CE45=Datos!$C$17,Datos!$D$17,IF(Evalucion!CE45=Datos!$C$18,Datos!$D$18,IF(Evalucion!CE45=Datos!$C$19,Datos!$D$19,"=")))))</f>
        <v>5</v>
      </c>
      <c r="CE47">
        <f>IF(Evalucion!CF45=Datos!$C$15,Datos!$D$15,IF(Evalucion!CF45=Datos!$C$16,Datos!$D$16,IF(Evalucion!CF45=Datos!$C$17,Datos!$D$17,IF(Evalucion!CF45=Datos!$C$18,Datos!$D$18,IF(Evalucion!CF45=Datos!$C$19,Datos!$D$19,"=")))))</f>
        <v>3</v>
      </c>
      <c r="CF47">
        <f>IF(Evalucion!CG45=Datos!$C$15,Datos!$D$15,IF(Evalucion!CG45=Datos!$C$16,Datos!$D$16,IF(Evalucion!CG45=Datos!$C$17,Datos!$D$17,IF(Evalucion!CG45=Datos!$C$18,Datos!$D$18,IF(Evalucion!CG45=Datos!$C$19,Datos!$D$19,"=")))))</f>
        <v>5</v>
      </c>
      <c r="CG47">
        <f>IF(Evalucion!CH45=Datos!$C$15,Datos!$D$15,IF(Evalucion!CH45=Datos!$C$16,Datos!$D$16,IF(Evalucion!CH45=Datos!$C$17,Datos!$D$17,IF(Evalucion!CH45=Datos!$C$18,Datos!$D$18,IF(Evalucion!CH45=Datos!$C$19,Datos!$D$19,"=")))))</f>
        <v>1</v>
      </c>
      <c r="CH47">
        <f>IF(Evalucion!CI45=Datos!$C$15,Datos!$D$15,IF(Evalucion!CI45=Datos!$C$16,Datos!$D$16,IF(Evalucion!CI45=Datos!$C$17,Datos!$D$17,IF(Evalucion!CI45=Datos!$C$18,Datos!$D$18,IF(Evalucion!CI45=Datos!$C$19,Datos!$D$19,"=")))))</f>
        <v>5</v>
      </c>
      <c r="CI47">
        <f>IF(Evalucion!CJ45=Datos!$C$15,Datos!$D$15,IF(Evalucion!CJ45=Datos!$C$16,Datos!$D$16,IF(Evalucion!CJ45=Datos!$C$17,Datos!$D$17,IF(Evalucion!CJ45=Datos!$C$18,Datos!$D$18,IF(Evalucion!CJ45=Datos!$C$19,Datos!$D$19,"=")))))</f>
        <v>3</v>
      </c>
      <c r="CJ47">
        <f>IF(Evalucion!CK45=Datos!$C$15,Datos!$D$15,IF(Evalucion!CK45=Datos!$C$16,Datos!$D$16,IF(Evalucion!CK45=Datos!$C$17,Datos!$D$17,IF(Evalucion!CK45=Datos!$C$18,Datos!$D$18,IF(Evalucion!CK45=Datos!$C$19,Datos!$D$19,"=")))))</f>
        <v>5</v>
      </c>
      <c r="CK47">
        <f>IF(Evalucion!CL45=Datos!$C$15,Datos!$D$15,IF(Evalucion!CL45=Datos!$C$16,Datos!$D$16,IF(Evalucion!CL45=Datos!$C$17,Datos!$D$17,IF(Evalucion!CL45=Datos!$C$18,Datos!$D$18,IF(Evalucion!CL45=Datos!$C$19,Datos!$D$19,"=")))))</f>
        <v>5</v>
      </c>
      <c r="CL47">
        <f>IF(Evalucion!CM45=Datos!$C$15,Datos!$D$15,IF(Evalucion!CM45=Datos!$C$16,Datos!$D$16,IF(Evalucion!CM45=Datos!$C$17,Datos!$D$17,IF(Evalucion!CM45=Datos!$C$18,Datos!$D$18,IF(Evalucion!CM45=Datos!$C$19,Datos!$D$19,"=")))))</f>
        <v>5</v>
      </c>
      <c r="CM47">
        <f>IF(Evalucion!CN45=Datos!$C$15,Datos!$D$15,IF(Evalucion!CN45=Datos!$C$16,Datos!$D$16,IF(Evalucion!CN45=Datos!$C$17,Datos!$D$17,IF(Evalucion!CN45=Datos!$C$18,Datos!$D$18,IF(Evalucion!CN45=Datos!$C$19,Datos!$D$19,"=")))))</f>
        <v>5</v>
      </c>
      <c r="CN47">
        <f>IF(Evalucion!CO45=Datos!$C$15,Datos!$D$15,IF(Evalucion!CO45=Datos!$C$16,Datos!$D$16,IF(Evalucion!CO45=Datos!$C$17,Datos!$D$17,IF(Evalucion!CO45=Datos!$C$18,Datos!$D$18,IF(Evalucion!CO45=Datos!$C$19,Datos!$D$19,"=")))))</f>
        <v>5</v>
      </c>
      <c r="CO47">
        <f>IF(Evalucion!CP45=Datos!$C$15,Datos!$D$15,IF(Evalucion!CP45=Datos!$C$16,Datos!$D$16,IF(Evalucion!CP45=Datos!$C$17,Datos!$D$17,IF(Evalucion!CP45=Datos!$C$18,Datos!$D$18,IF(Evalucion!CP45=Datos!$C$19,Datos!$D$19,"=")))))</f>
        <v>5</v>
      </c>
      <c r="CP47">
        <f>IF(Evalucion!CQ45=Datos!$C$15,Datos!$D$15,IF(Evalucion!CQ45=Datos!$C$16,Datos!$D$16,IF(Evalucion!CQ45=Datos!$C$17,Datos!$D$17,IF(Evalucion!CQ45=Datos!$C$18,Datos!$D$18,IF(Evalucion!CQ45=Datos!$C$19,Datos!$D$19,"=")))))</f>
        <v>5</v>
      </c>
      <c r="CQ47">
        <f>IF(Evalucion!CR45=Datos!$C$15,Datos!$D$15,IF(Evalucion!CR45=Datos!$C$16,Datos!$D$16,IF(Evalucion!CR45=Datos!$C$17,Datos!$D$17,IF(Evalucion!CR45=Datos!$C$18,Datos!$D$18,IF(Evalucion!CR45=Datos!$C$19,Datos!$D$19,"=")))))</f>
        <v>3</v>
      </c>
      <c r="CR47">
        <f>IF(Evalucion!CS45=Datos!$C$15,Datos!$D$15,IF(Evalucion!CS45=Datos!$C$16,Datos!$D$16,IF(Evalucion!CS45=Datos!$C$17,Datos!$D$17,IF(Evalucion!CS45=Datos!$C$18,Datos!$D$18,IF(Evalucion!CS45=Datos!$C$19,Datos!$D$19,"=")))))</f>
        <v>5</v>
      </c>
      <c r="CS47">
        <f>IF(Evalucion!CT45=Datos!$C$15,Datos!$D$15,IF(Evalucion!CT45=Datos!$C$16,Datos!$D$16,IF(Evalucion!CT45=Datos!$C$17,Datos!$D$17,IF(Evalucion!CT45=Datos!$C$18,Datos!$D$18,IF(Evalucion!CT45=Datos!$C$19,Datos!$D$19,"=")))))</f>
        <v>3</v>
      </c>
      <c r="CT47">
        <f>IF(Evalucion!CU45=Datos!$C$15,Datos!$D$15,IF(Evalucion!CU45=Datos!$C$16,Datos!$D$16,IF(Evalucion!CU45=Datos!$C$17,Datos!$D$17,IF(Evalucion!CU45=Datos!$C$18,Datos!$D$18,IF(Evalucion!CU45=Datos!$C$19,Datos!$D$19,"=")))))</f>
        <v>5</v>
      </c>
      <c r="CU47">
        <f>IF(Evalucion!CV45=Datos!$C$15,Datos!$D$15,IF(Evalucion!CV45=Datos!$C$16,Datos!$D$16,IF(Evalucion!CV45=Datos!$C$17,Datos!$D$17,IF(Evalucion!CV45=Datos!$C$18,Datos!$D$18,IF(Evalucion!CV45=Datos!$C$19,Datos!$D$19,"=")))))</f>
        <v>3</v>
      </c>
      <c r="CV47">
        <f>IF(Evalucion!CW45=Datos!$C$15,Datos!$D$15,IF(Evalucion!CW45=Datos!$C$16,Datos!$D$16,IF(Evalucion!CW45=Datos!$C$17,Datos!$D$17,IF(Evalucion!CW45=Datos!$C$18,Datos!$D$18,IF(Evalucion!CW45=Datos!$C$19,Datos!$D$19,"=")))))</f>
        <v>5</v>
      </c>
      <c r="CW47">
        <f>IF(Evalucion!CX45=Datos!$C$15,Datos!$D$15,IF(Evalucion!CX45=Datos!$C$16,Datos!$D$16,IF(Evalucion!CX45=Datos!$C$17,Datos!$D$17,IF(Evalucion!CX45=Datos!$C$18,Datos!$D$18,IF(Evalucion!CX45=Datos!$C$19,Datos!$D$19,"=")))))</f>
        <v>3</v>
      </c>
      <c r="CX47">
        <f>IF(Evalucion!CY45=Datos!$C$15,Datos!$D$15,IF(Evalucion!CY45=Datos!$C$16,Datos!$D$16,IF(Evalucion!CY45=Datos!$C$17,Datos!$D$17,IF(Evalucion!CY45=Datos!$C$18,Datos!$D$18,IF(Evalucion!CY45=Datos!$C$19,Datos!$D$19,"=")))))</f>
        <v>5</v>
      </c>
      <c r="CY47">
        <f>IF(Evalucion!CZ45=Datos!$C$15,Datos!$D$15,IF(Evalucion!CZ45=Datos!$C$16,Datos!$D$16,IF(Evalucion!CZ45=Datos!$C$17,Datos!$D$17,IF(Evalucion!CZ45=Datos!$C$18,Datos!$D$18,IF(Evalucion!CZ45=Datos!$C$19,Datos!$D$19,"=")))))</f>
        <v>3</v>
      </c>
      <c r="CZ47">
        <f>IF(Evalucion!DA45=Datos!$C$15,Datos!$D$15,IF(Evalucion!DA45=Datos!$C$16,Datos!$D$16,IF(Evalucion!DA45=Datos!$C$17,Datos!$D$17,IF(Evalucion!DA45=Datos!$C$18,Datos!$D$18,IF(Evalucion!DA45=Datos!$C$19,Datos!$D$19,"=")))))</f>
        <v>5</v>
      </c>
      <c r="DA47">
        <f>IF(Evalucion!DB45=Datos!$C$15,Datos!$D$15,IF(Evalucion!DB45=Datos!$C$16,Datos!$D$16,IF(Evalucion!DB45=Datos!$C$17,Datos!$D$17,IF(Evalucion!DB45=Datos!$C$18,Datos!$D$18,IF(Evalucion!DB45=Datos!$C$19,Datos!$D$19,"=")))))</f>
        <v>3</v>
      </c>
      <c r="DB47">
        <f>IF(Evalucion!DC45=Datos!$C$15,Datos!$D$15,IF(Evalucion!DC45=Datos!$C$16,Datos!$D$16,IF(Evalucion!DC45=Datos!$C$17,Datos!$D$17,IF(Evalucion!DC45=Datos!$C$18,Datos!$D$18,IF(Evalucion!DC45=Datos!$C$19,Datos!$D$19,"=")))))</f>
        <v>5</v>
      </c>
      <c r="DC47">
        <f>IF(Evalucion!DD45=Datos!$C$15,Datos!$D$15,IF(Evalucion!DD45=Datos!$C$16,Datos!$D$16,IF(Evalucion!DD45=Datos!$C$17,Datos!$D$17,IF(Evalucion!DD45=Datos!$C$18,Datos!$D$18,IF(Evalucion!DD45=Datos!$C$19,Datos!$D$19,"=")))))</f>
        <v>5</v>
      </c>
      <c r="DD47">
        <f>IF(Evalucion!DE45=Datos!$C$15,Datos!$D$15,IF(Evalucion!DE45=Datos!$C$16,Datos!$D$16,IF(Evalucion!DE45=Datos!$C$17,Datos!$D$17,IF(Evalucion!DE45=Datos!$C$18,Datos!$D$18,IF(Evalucion!DE45=Datos!$C$19,Datos!$D$19,"=")))))</f>
        <v>1</v>
      </c>
      <c r="DE47">
        <f>IF(Evalucion!DF45=Datos!$C$15,Datos!$D$15,IF(Evalucion!DF45=Datos!$C$16,Datos!$D$16,IF(Evalucion!DF45=Datos!$C$17,Datos!$D$17,IF(Evalucion!DF45=Datos!$C$18,Datos!$D$18,IF(Evalucion!DF45=Datos!$C$19,Datos!$D$19,"=")))))</f>
        <v>1</v>
      </c>
      <c r="DF47">
        <f>IF(Evalucion!DG45=Datos!$C$15,Datos!$D$15,IF(Evalucion!DG45=Datos!$C$16,Datos!$D$16,IF(Evalucion!DG45=Datos!$C$17,Datos!$D$17,IF(Evalucion!DG45=Datos!$C$18,Datos!$D$18,IF(Evalucion!DG45=Datos!$C$19,Datos!$D$19,"=")))))</f>
        <v>5</v>
      </c>
      <c r="DG47">
        <f>IF(Evalucion!DH45=Datos!$C$15,Datos!$D$15,IF(Evalucion!DH45=Datos!$C$16,Datos!$D$16,IF(Evalucion!DH45=Datos!$C$17,Datos!$D$17,IF(Evalucion!DH45=Datos!$C$18,Datos!$D$18,IF(Evalucion!DH45=Datos!$C$19,Datos!$D$19,"=")))))</f>
        <v>5</v>
      </c>
      <c r="DH47">
        <f>IF(Evalucion!DI45=Datos!$C$15,Datos!$D$15,IF(Evalucion!DI45=Datos!$C$16,Datos!$D$16,IF(Evalucion!DI45=Datos!$C$17,Datos!$D$17,IF(Evalucion!DI45=Datos!$C$18,Datos!$D$18,IF(Evalucion!DI45=Datos!$C$19,Datos!$D$19,"=")))))</f>
        <v>1</v>
      </c>
      <c r="DI47">
        <f>IF(Evalucion!DJ45=Datos!$C$15,Datos!$D$15,IF(Evalucion!DJ45=Datos!$C$16,Datos!$D$16,IF(Evalucion!DJ45=Datos!$C$17,Datos!$D$17,IF(Evalucion!DJ45=Datos!$C$18,Datos!$D$18,IF(Evalucion!DJ45=Datos!$C$19,Datos!$D$19,"=")))))</f>
        <v>1</v>
      </c>
      <c r="DJ47">
        <f>IF(Evalucion!DK45=Datos!$C$15,Datos!$D$15,IF(Evalucion!DK45=Datos!$C$16,Datos!$D$16,IF(Evalucion!DK45=Datos!$C$17,Datos!$D$17,IF(Evalucion!DK45=Datos!$C$18,Datos!$D$18,IF(Evalucion!DK45=Datos!$C$19,Datos!$D$19,"=")))))</f>
        <v>1</v>
      </c>
      <c r="DK47">
        <f>IF(Evalucion!DL45=Datos!$C$15,Datos!$D$15,IF(Evalucion!DL45=Datos!$C$16,Datos!$D$16,IF(Evalucion!DL45=Datos!$C$17,Datos!$D$17,IF(Evalucion!DL45=Datos!$C$18,Datos!$D$18,IF(Evalucion!DL45=Datos!$C$19,Datos!$D$19,"=")))))</f>
        <v>1</v>
      </c>
      <c r="DL47">
        <f>IF(Evalucion!DM45=Datos!$C$15,Datos!$D$15,IF(Evalucion!DM45=Datos!$C$16,Datos!$D$16,IF(Evalucion!DM45=Datos!$C$17,Datos!$D$17,IF(Evalucion!DM45=Datos!$C$18,Datos!$D$18,IF(Evalucion!DM45=Datos!$C$19,Datos!$D$19,"=")))))</f>
        <v>1</v>
      </c>
      <c r="DM47">
        <f>IF(Evalucion!DN45=Datos!$C$15,Datos!$D$15,IF(Evalucion!DN45=Datos!$C$16,Datos!$D$16,IF(Evalucion!DN45=Datos!$C$17,Datos!$D$17,IF(Evalucion!DN45=Datos!$C$18,Datos!$D$18,IF(Evalucion!DN45=Datos!$C$19,Datos!$D$19,"=")))))</f>
        <v>1</v>
      </c>
      <c r="DN47">
        <f>IF(Evalucion!DO45=Datos!$C$15,Datos!$D$15,IF(Evalucion!DO45=Datos!$C$16,Datos!$D$16,IF(Evalucion!DO45=Datos!$C$17,Datos!$D$17,IF(Evalucion!DO45=Datos!$C$18,Datos!$D$18,IF(Evalucion!DO45=Datos!$C$19,Datos!$D$19,"=")))))</f>
        <v>5</v>
      </c>
      <c r="DO47">
        <f>IF(Evalucion!DP45=Datos!$C$15,Datos!$D$15,IF(Evalucion!DP45=Datos!$C$16,Datos!$D$16,IF(Evalucion!DP45=Datos!$C$17,Datos!$D$17,IF(Evalucion!DP45=Datos!$C$18,Datos!$D$18,IF(Evalucion!DP45=Datos!$C$19,Datos!$D$19,"=")))))</f>
        <v>5</v>
      </c>
      <c r="DP47">
        <f>IF(Evalucion!DQ45=Datos!$C$15,Datos!$D$15,IF(Evalucion!DQ45=Datos!$C$16,Datos!$D$16,IF(Evalucion!DQ45=Datos!$C$17,Datos!$D$17,IF(Evalucion!DQ45=Datos!$C$18,Datos!$D$18,IF(Evalucion!DQ45=Datos!$C$19,Datos!$D$19,"=")))))</f>
        <v>5</v>
      </c>
      <c r="DQ47">
        <f>IF(Evalucion!DR45=Datos!$C$15,Datos!$D$15,IF(Evalucion!DR45=Datos!$C$16,Datos!$D$16,IF(Evalucion!DR45=Datos!$C$17,Datos!$D$17,IF(Evalucion!DR45=Datos!$C$18,Datos!$D$18,IF(Evalucion!DR45=Datos!$C$19,Datos!$D$19,"=")))))</f>
        <v>3</v>
      </c>
      <c r="DR47">
        <f>IF(Evalucion!DS45=Datos!$C$15,Datos!$D$15,IF(Evalucion!DS45=Datos!$C$16,Datos!$D$16,IF(Evalucion!DS45=Datos!$C$17,Datos!$D$17,IF(Evalucion!DS45=Datos!$C$18,Datos!$D$18,IF(Evalucion!DS45=Datos!$C$19,Datos!$D$19,"=")))))</f>
        <v>5</v>
      </c>
      <c r="DS47">
        <f>IF(Evalucion!DT45=Datos!$C$15,Datos!$D$15,IF(Evalucion!DT45=Datos!$C$16,Datos!$D$16,IF(Evalucion!DT45=Datos!$C$17,Datos!$D$17,IF(Evalucion!DT45=Datos!$C$18,Datos!$D$18,IF(Evalucion!DT45=Datos!$C$19,Datos!$D$19,"=")))))</f>
        <v>3</v>
      </c>
      <c r="DT47">
        <f>IF(Evalucion!DU45=Datos!$C$15,Datos!$D$15,IF(Evalucion!DU45=Datos!$C$16,Datos!$D$16,IF(Evalucion!DU45=Datos!$C$17,Datos!$D$17,IF(Evalucion!DU45=Datos!$C$18,Datos!$D$18,IF(Evalucion!DU45=Datos!$C$19,Datos!$D$19,"=")))))</f>
        <v>5</v>
      </c>
      <c r="DU47">
        <f>IF(Evalucion!DV45=Datos!$C$15,Datos!$D$15,IF(Evalucion!DV45=Datos!$C$16,Datos!$D$16,IF(Evalucion!DV45=Datos!$C$17,Datos!$D$17,IF(Evalucion!DV45=Datos!$C$18,Datos!$D$18,IF(Evalucion!DV45=Datos!$C$19,Datos!$D$19,"=")))))</f>
        <v>5</v>
      </c>
      <c r="DV47">
        <f>IF(Evalucion!DW45=Datos!$C$15,Datos!$D$15,IF(Evalucion!DW45=Datos!$C$16,Datos!$D$16,IF(Evalucion!DW45=Datos!$C$17,Datos!$D$17,IF(Evalucion!DW45=Datos!$C$18,Datos!$D$18,IF(Evalucion!DW45=Datos!$C$19,Datos!$D$19,"=")))))</f>
        <v>5</v>
      </c>
      <c r="DW47">
        <f>IF(Evalucion!DX45=Datos!$C$15,Datos!$D$15,IF(Evalucion!DX45=Datos!$C$16,Datos!$D$16,IF(Evalucion!DX45=Datos!$C$17,Datos!$D$17,IF(Evalucion!DX45=Datos!$C$18,Datos!$D$18,IF(Evalucion!DX45=Datos!$C$19,Datos!$D$19,"=")))))</f>
        <v>5</v>
      </c>
      <c r="DX47">
        <f>IF(Evalucion!DY45=Datos!$C$15,Datos!$D$15,IF(Evalucion!DY45=Datos!$C$16,Datos!$D$16,IF(Evalucion!DY45=Datos!$C$17,Datos!$D$17,IF(Evalucion!DY45=Datos!$C$18,Datos!$D$18,IF(Evalucion!DY45=Datos!$C$19,Datos!$D$19,"=")))))</f>
        <v>5</v>
      </c>
      <c r="DY47">
        <f>IF(Evalucion!DZ45=Datos!$C$15,Datos!$D$15,IF(Evalucion!DZ45=Datos!$C$16,Datos!$D$16,IF(Evalucion!DZ45=Datos!$C$17,Datos!$D$17,IF(Evalucion!DZ45=Datos!$C$18,Datos!$D$18,IF(Evalucion!DZ45=Datos!$C$19,Datos!$D$19,"=")))))</f>
        <v>3</v>
      </c>
      <c r="DZ47">
        <f>IF(Evalucion!EA45=Datos!$C$15,Datos!$D$15,IF(Evalucion!EA45=Datos!$C$16,Datos!$D$16,IF(Evalucion!EA45=Datos!$C$17,Datos!$D$17,IF(Evalucion!EA45=Datos!$C$18,Datos!$D$18,IF(Evalucion!EA45=Datos!$C$19,Datos!$D$19,"=")))))</f>
        <v>5</v>
      </c>
      <c r="EA47">
        <f>IF(Evalucion!EB45=Datos!$C$15,Datos!$D$15,IF(Evalucion!EB45=Datos!$C$16,Datos!$D$16,IF(Evalucion!EB45=Datos!$C$17,Datos!$D$17,IF(Evalucion!EB45=Datos!$C$18,Datos!$D$18,IF(Evalucion!EB45=Datos!$C$19,Datos!$D$19,"=")))))</f>
        <v>5</v>
      </c>
      <c r="EB47">
        <f>IF(Evalucion!EC45=Datos!$C$15,Datos!$D$15,IF(Evalucion!EC45=Datos!$C$16,Datos!$D$16,IF(Evalucion!EC45=Datos!$C$17,Datos!$D$17,IF(Evalucion!EC45=Datos!$C$18,Datos!$D$18,IF(Evalucion!EC45=Datos!$C$19,Datos!$D$19,"=")))))</f>
        <v>5</v>
      </c>
      <c r="EC47">
        <f>IF(Evalucion!ED45=Datos!$C$15,Datos!$D$15,IF(Evalucion!ED45=Datos!$C$16,Datos!$D$16,IF(Evalucion!ED45=Datos!$C$17,Datos!$D$17,IF(Evalucion!ED45=Datos!$C$18,Datos!$D$18,IF(Evalucion!ED45=Datos!$C$19,Datos!$D$19,"=")))))</f>
        <v>3</v>
      </c>
      <c r="ED47">
        <f>IF(Evalucion!EE45=Datos!$C$15,Datos!$D$15,IF(Evalucion!EE45=Datos!$C$16,Datos!$D$16,IF(Evalucion!EE45=Datos!$C$17,Datos!$D$17,IF(Evalucion!EE45=Datos!$C$18,Datos!$D$18,IF(Evalucion!EE45=Datos!$C$19,Datos!$D$19,"=")))))</f>
        <v>5</v>
      </c>
      <c r="EE47">
        <f>IF(Evalucion!EF45=Datos!$C$15,Datos!$D$15,IF(Evalucion!EF45=Datos!$C$16,Datos!$D$16,IF(Evalucion!EF45=Datos!$C$17,Datos!$D$17,IF(Evalucion!EF45=Datos!$C$18,Datos!$D$18,IF(Evalucion!EF45=Datos!$C$19,Datos!$D$19,"=")))))</f>
        <v>5</v>
      </c>
      <c r="EF47">
        <f>IF(Evalucion!EG45=Datos!$C$15,Datos!$D$15,IF(Evalucion!EG45=Datos!$C$16,Datos!$D$16,IF(Evalucion!EG45=Datos!$C$17,Datos!$D$17,IF(Evalucion!EG45=Datos!$C$18,Datos!$D$18,IF(Evalucion!EG45=Datos!$C$19,Datos!$D$19,"=")))))</f>
        <v>5</v>
      </c>
      <c r="EG47">
        <f>IF(Evalucion!EH45=Datos!$C$15,Datos!$D$15,IF(Evalucion!EH45=Datos!$C$16,Datos!$D$16,IF(Evalucion!EH45=Datos!$C$17,Datos!$D$17,IF(Evalucion!EH45=Datos!$C$18,Datos!$D$18,IF(Evalucion!EH45=Datos!$C$19,Datos!$D$19,"=")))))</f>
        <v>5</v>
      </c>
      <c r="EH47">
        <f>IF(Evalucion!EI45=Datos!$C$15,Datos!$D$15,IF(Evalucion!EI45=Datos!$C$16,Datos!$D$16,IF(Evalucion!EI45=Datos!$C$17,Datos!$D$17,IF(Evalucion!EI45=Datos!$C$18,Datos!$D$18,IF(Evalucion!EI45=Datos!$C$19,Datos!$D$19,"=")))))</f>
        <v>5</v>
      </c>
      <c r="EI47">
        <f>IF(Evalucion!EJ45=Datos!$C$15,Datos!$D$15,IF(Evalucion!EJ45=Datos!$C$16,Datos!$D$16,IF(Evalucion!EJ45=Datos!$C$17,Datos!$D$17,IF(Evalucion!EJ45=Datos!$C$18,Datos!$D$18,IF(Evalucion!EJ45=Datos!$C$19,Datos!$D$19,"=")))))</f>
        <v>5</v>
      </c>
      <c r="EJ47">
        <f>IF(Evalucion!EK45=Datos!$C$15,Datos!$D$15,IF(Evalucion!EK45=Datos!$C$16,Datos!$D$16,IF(Evalucion!EK45=Datos!$C$17,Datos!$D$17,IF(Evalucion!EK45=Datos!$C$18,Datos!$D$18,IF(Evalucion!EK45=Datos!$C$19,Datos!$D$19,"=")))))</f>
        <v>5</v>
      </c>
      <c r="EK47">
        <f>IF(Evalucion!EL45=Datos!$C$15,Datos!$D$15,IF(Evalucion!EL45=Datos!$C$16,Datos!$D$16,IF(Evalucion!EL45=Datos!$C$17,Datos!$D$17,IF(Evalucion!EL45=Datos!$C$18,Datos!$D$18,IF(Evalucion!EL45=Datos!$C$19,Datos!$D$19,"=")))))</f>
        <v>5</v>
      </c>
      <c r="EL47">
        <f>IF(Evalucion!EM45=Datos!$C$15,Datos!$D$15,IF(Evalucion!EM45=Datos!$C$16,Datos!$D$16,IF(Evalucion!EM45=Datos!$C$17,Datos!$D$17,IF(Evalucion!EM45=Datos!$C$18,Datos!$D$18,IF(Evalucion!EM45=Datos!$C$19,Datos!$D$19,"=")))))</f>
        <v>5</v>
      </c>
      <c r="EM47">
        <f>IF(Evalucion!EN45=Datos!$C$15,Datos!$D$15,IF(Evalucion!EN45=Datos!$C$16,Datos!$D$16,IF(Evalucion!EN45=Datos!$C$17,Datos!$D$17,IF(Evalucion!EN45=Datos!$C$18,Datos!$D$18,IF(Evalucion!EN45=Datos!$C$19,Datos!$D$19,"=")))))</f>
        <v>5</v>
      </c>
      <c r="EN47">
        <f>IF(Evalucion!EO45=Datos!$C$15,Datos!$D$15,IF(Evalucion!EO45=Datos!$C$16,Datos!$D$16,IF(Evalucion!EO45=Datos!$C$17,Datos!$D$17,IF(Evalucion!EO45=Datos!$C$18,Datos!$D$18,IF(Evalucion!EO45=Datos!$C$19,Datos!$D$19,"=")))))</f>
        <v>5</v>
      </c>
      <c r="EO47">
        <f>IF(Evalucion!EP45=Datos!$C$15,Datos!$D$15,IF(Evalucion!EP45=Datos!$C$16,Datos!$D$16,IF(Evalucion!EP45=Datos!$C$17,Datos!$D$17,IF(Evalucion!EP45=Datos!$C$18,Datos!$D$18,IF(Evalucion!EP45=Datos!$C$19,Datos!$D$19,"=")))))</f>
        <v>5</v>
      </c>
      <c r="EP47">
        <f>IF(Evalucion!EQ45=Datos!$C$15,Datos!$D$15,IF(Evalucion!EQ45=Datos!$C$16,Datos!$D$16,IF(Evalucion!EQ45=Datos!$C$17,Datos!$D$17,IF(Evalucion!EQ45=Datos!$C$18,Datos!$D$18,IF(Evalucion!EQ45=Datos!$C$19,Datos!$D$19,"=")))))</f>
        <v>5</v>
      </c>
      <c r="EQ47">
        <f>IF(Evalucion!ER45=Datos!$C$15,Datos!$D$15,IF(Evalucion!ER45=Datos!$C$16,Datos!$D$16,IF(Evalucion!ER45=Datos!$C$17,Datos!$D$17,IF(Evalucion!ER45=Datos!$C$18,Datos!$D$18,IF(Evalucion!ER45=Datos!$C$19,Datos!$D$19,"=")))))</f>
        <v>5</v>
      </c>
      <c r="ER47">
        <f>IF(Evalucion!ES45=Datos!$C$15,Datos!$D$15,IF(Evalucion!ES45=Datos!$C$16,Datos!$D$16,IF(Evalucion!ES45=Datos!$C$17,Datos!$D$17,IF(Evalucion!ES45=Datos!$C$18,Datos!$D$18,IF(Evalucion!ES45=Datos!$C$19,Datos!$D$19,"=")))))</f>
        <v>5</v>
      </c>
      <c r="ES47">
        <f>IF(Evalucion!ET45=Datos!$C$15,Datos!$D$15,IF(Evalucion!ET45=Datos!$C$16,Datos!$D$16,IF(Evalucion!ET45=Datos!$C$17,Datos!$D$17,IF(Evalucion!ET45=Datos!$C$18,Datos!$D$18,IF(Evalucion!ET45=Datos!$C$19,Datos!$D$19,"=")))))</f>
        <v>5</v>
      </c>
      <c r="ET47">
        <f>IF(Evalucion!EU45=Datos!$C$15,Datos!$D$15,IF(Evalucion!EU45=Datos!$C$16,Datos!$D$16,IF(Evalucion!EU45=Datos!$C$17,Datos!$D$17,IF(Evalucion!EU45=Datos!$C$18,Datos!$D$18,IF(Evalucion!EU45=Datos!$C$19,Datos!$D$19,"=")))))</f>
        <v>5</v>
      </c>
      <c r="EU47">
        <f>IF(Evalucion!EV45=Datos!$C$15,Datos!$D$15,IF(Evalucion!EV45=Datos!$C$16,Datos!$D$16,IF(Evalucion!EV45=Datos!$C$17,Datos!$D$17,IF(Evalucion!EV45=Datos!$C$18,Datos!$D$18,IF(Evalucion!EV45=Datos!$C$19,Datos!$D$19,"=")))))</f>
        <v>3</v>
      </c>
      <c r="EV47">
        <f>IF(Evalucion!EW45=Datos!$C$15,Datos!$D$15,IF(Evalucion!EW45=Datos!$C$16,Datos!$D$16,IF(Evalucion!EW45=Datos!$C$17,Datos!$D$17,IF(Evalucion!EW45=Datos!$C$18,Datos!$D$18,IF(Evalucion!EW45=Datos!$C$19,Datos!$D$19,"=")))))</f>
        <v>5</v>
      </c>
      <c r="EW47">
        <f>IF(Evalucion!EX45=Datos!$C$15,Datos!$D$15,IF(Evalucion!EX45=Datos!$C$16,Datos!$D$16,IF(Evalucion!EX45=Datos!$C$17,Datos!$D$17,IF(Evalucion!EX45=Datos!$C$18,Datos!$D$18,IF(Evalucion!EX45=Datos!$C$19,Datos!$D$19,"=")))))</f>
        <v>5</v>
      </c>
      <c r="EX47">
        <f>IF(Evalucion!EY45=Datos!$C$15,Datos!$D$15,IF(Evalucion!EY45=Datos!$C$16,Datos!$D$16,IF(Evalucion!EY45=Datos!$C$17,Datos!$D$17,IF(Evalucion!EY45=Datos!$C$18,Datos!$D$18,IF(Evalucion!EY45=Datos!$C$19,Datos!$D$19,"=")))))</f>
        <v>5</v>
      </c>
      <c r="EY47">
        <f>IF(Evalucion!EZ45=Datos!$C$15,Datos!$D$15,IF(Evalucion!EZ45=Datos!$C$16,Datos!$D$16,IF(Evalucion!EZ45=Datos!$C$17,Datos!$D$17,IF(Evalucion!EZ45=Datos!$C$18,Datos!$D$18,IF(Evalucion!EZ45=Datos!$C$19,Datos!$D$19,"=")))))</f>
        <v>3</v>
      </c>
      <c r="FA47">
        <f t="shared" si="8"/>
        <v>331</v>
      </c>
      <c r="FB47">
        <f t="shared" si="8"/>
        <v>275</v>
      </c>
      <c r="FC47" s="3">
        <f t="shared" si="4"/>
        <v>0.73333333333333328</v>
      </c>
      <c r="FD47" t="str">
        <f t="shared" si="9"/>
        <v>Conf_CR</v>
      </c>
      <c r="FF47">
        <f t="shared" si="5"/>
        <v>606</v>
      </c>
      <c r="FG47">
        <f t="shared" si="6"/>
        <v>0</v>
      </c>
    </row>
    <row r="48" spans="1:163" x14ac:dyDescent="0.2">
      <c r="A48">
        <f t="shared" si="7"/>
        <v>45</v>
      </c>
      <c r="B48" t="s">
        <v>289</v>
      </c>
      <c r="C48" t="s">
        <v>196</v>
      </c>
      <c r="D48" s="6">
        <v>43101</v>
      </c>
      <c r="E48">
        <f>IF(Evalucion!F46=Datos!$C$15,Datos!$D$15,IF(Evalucion!F46=Datos!$C$16,Datos!$D$16,IF(Evalucion!F46=Datos!$C$17,Datos!$D$17,IF(Evalucion!F46=Datos!$C$18,Datos!$D$18,IF(Evalucion!F46=Datos!$C$19,Datos!$D$19,"=")))))</f>
        <v>5</v>
      </c>
      <c r="F48">
        <f>IF(Evalucion!G46=Datos!$C$15,Datos!$D$15,IF(Evalucion!G46=Datos!$C$16,Datos!$D$16,IF(Evalucion!G46=Datos!$C$17,Datos!$D$17,IF(Evalucion!G46=Datos!$C$18,Datos!$D$18,IF(Evalucion!G46=Datos!$C$19,Datos!$D$19,"=")))))</f>
        <v>5</v>
      </c>
      <c r="G48">
        <f>IF(Evalucion!H46=Datos!$C$15,Datos!$D$15,IF(Evalucion!H46=Datos!$C$16,Datos!$D$16,IF(Evalucion!H46=Datos!$C$17,Datos!$D$17,IF(Evalucion!H46=Datos!$C$18,Datos!$D$18,IF(Evalucion!H46=Datos!$C$19,Datos!$D$19,"=")))))</f>
        <v>5</v>
      </c>
      <c r="H48">
        <f>IF(Evalucion!I46=Datos!$C$15,Datos!$D$15,IF(Evalucion!I46=Datos!$C$16,Datos!$D$16,IF(Evalucion!I46=Datos!$C$17,Datos!$D$17,IF(Evalucion!I46=Datos!$C$18,Datos!$D$18,IF(Evalucion!I46=Datos!$C$19,Datos!$D$19,"=")))))</f>
        <v>1</v>
      </c>
      <c r="I48">
        <f>IF(Evalucion!J46=Datos!$C$15,Datos!$D$15,IF(Evalucion!J46=Datos!$C$16,Datos!$D$16,IF(Evalucion!J46=Datos!$C$17,Datos!$D$17,IF(Evalucion!J46=Datos!$C$18,Datos!$D$18,IF(Evalucion!J46=Datos!$C$19,Datos!$D$19,"=")))))</f>
        <v>1</v>
      </c>
      <c r="J48">
        <f>IF(Evalucion!K46=Datos!$C$15,Datos!$D$15,IF(Evalucion!K46=Datos!$C$16,Datos!$D$16,IF(Evalucion!K46=Datos!$C$17,Datos!$D$17,IF(Evalucion!K46=Datos!$C$18,Datos!$D$18,IF(Evalucion!K46=Datos!$C$19,Datos!$D$19,"=")))))</f>
        <v>1</v>
      </c>
      <c r="K48">
        <f>IF(Evalucion!L46=Datos!$C$15,Datos!$D$15,IF(Evalucion!L46=Datos!$C$16,Datos!$D$16,IF(Evalucion!L46=Datos!$C$17,Datos!$D$17,IF(Evalucion!L46=Datos!$C$18,Datos!$D$18,IF(Evalucion!L46=Datos!$C$19,Datos!$D$19,"=")))))</f>
        <v>5</v>
      </c>
      <c r="L48">
        <f>IF(Evalucion!M46=Datos!$C$15,Datos!$D$15,IF(Evalucion!M46=Datos!$C$16,Datos!$D$16,IF(Evalucion!M46=Datos!$C$17,Datos!$D$17,IF(Evalucion!M46=Datos!$C$18,Datos!$D$18,IF(Evalucion!M46=Datos!$C$19,Datos!$D$19,"=")))))</f>
        <v>5</v>
      </c>
      <c r="M48">
        <f>IF(Evalucion!N46=Datos!$C$15,Datos!$D$15,IF(Evalucion!N46=Datos!$C$16,Datos!$D$16,IF(Evalucion!N46=Datos!$C$17,Datos!$D$17,IF(Evalucion!N46=Datos!$C$18,Datos!$D$18,IF(Evalucion!N46=Datos!$C$19,Datos!$D$19,"=")))))</f>
        <v>5</v>
      </c>
      <c r="N48">
        <f>IF(Evalucion!O46=Datos!$C$15,Datos!$D$15,IF(Evalucion!O46=Datos!$C$16,Datos!$D$16,IF(Evalucion!O46=Datos!$C$17,Datos!$D$17,IF(Evalucion!O46=Datos!$C$18,Datos!$D$18,IF(Evalucion!O46=Datos!$C$19,Datos!$D$19,"=")))))</f>
        <v>5</v>
      </c>
      <c r="O48">
        <f>IF(Evalucion!P46=Datos!$C$15,Datos!$D$15,IF(Evalucion!P46=Datos!$C$16,Datos!$D$16,IF(Evalucion!P46=Datos!$C$17,Datos!$D$17,IF(Evalucion!P46=Datos!$C$18,Datos!$D$18,IF(Evalucion!P46=Datos!$C$19,Datos!$D$19,"=")))))</f>
        <v>5</v>
      </c>
      <c r="P48">
        <f>IF(Evalucion!Q46=Datos!$C$15,Datos!$D$15,IF(Evalucion!Q46=Datos!$C$16,Datos!$D$16,IF(Evalucion!Q46=Datos!$C$17,Datos!$D$17,IF(Evalucion!Q46=Datos!$C$18,Datos!$D$18,IF(Evalucion!Q46=Datos!$C$19,Datos!$D$19,"=")))))</f>
        <v>5</v>
      </c>
      <c r="Q48">
        <f>IF(Evalucion!R46=Datos!$C$15,Datos!$D$15,IF(Evalucion!R46=Datos!$C$16,Datos!$D$16,IF(Evalucion!R46=Datos!$C$17,Datos!$D$17,IF(Evalucion!R46=Datos!$C$18,Datos!$D$18,IF(Evalucion!R46=Datos!$C$19,Datos!$D$19,"=")))))</f>
        <v>5</v>
      </c>
      <c r="R48">
        <f>IF(Evalucion!S46=Datos!$C$15,Datos!$D$15,IF(Evalucion!S46=Datos!$C$16,Datos!$D$16,IF(Evalucion!S46=Datos!$C$17,Datos!$D$17,IF(Evalucion!S46=Datos!$C$18,Datos!$D$18,IF(Evalucion!S46=Datos!$C$19,Datos!$D$19,"=")))))</f>
        <v>5</v>
      </c>
      <c r="S48">
        <f>IF(Evalucion!T46=Datos!$C$15,Datos!$D$15,IF(Evalucion!T46=Datos!$C$16,Datos!$D$16,IF(Evalucion!T46=Datos!$C$17,Datos!$D$17,IF(Evalucion!T46=Datos!$C$18,Datos!$D$18,IF(Evalucion!T46=Datos!$C$19,Datos!$D$19,"=")))))</f>
        <v>5</v>
      </c>
      <c r="T48">
        <f>IF(Evalucion!U46=Datos!$C$15,Datos!$D$15,IF(Evalucion!U46=Datos!$C$16,Datos!$D$16,IF(Evalucion!U46=Datos!$C$17,Datos!$D$17,IF(Evalucion!U46=Datos!$C$18,Datos!$D$18,IF(Evalucion!U46=Datos!$C$19,Datos!$D$19,"=")))))</f>
        <v>5</v>
      </c>
      <c r="U48">
        <f>IF(Evalucion!V46=Datos!$C$15,Datos!$D$15,IF(Evalucion!V46=Datos!$C$16,Datos!$D$16,IF(Evalucion!V46=Datos!$C$17,Datos!$D$17,IF(Evalucion!V46=Datos!$C$18,Datos!$D$18,IF(Evalucion!V46=Datos!$C$19,Datos!$D$19,"=")))))</f>
        <v>5</v>
      </c>
      <c r="V48">
        <f>IF(Evalucion!W46=Datos!$C$15,Datos!$D$15,IF(Evalucion!W46=Datos!$C$16,Datos!$D$16,IF(Evalucion!W46=Datos!$C$17,Datos!$D$17,IF(Evalucion!W46=Datos!$C$18,Datos!$D$18,IF(Evalucion!W46=Datos!$C$19,Datos!$D$19,"=")))))</f>
        <v>5</v>
      </c>
      <c r="W48">
        <f>IF(Evalucion!X46=Datos!$C$15,Datos!$D$15,IF(Evalucion!X46=Datos!$C$16,Datos!$D$16,IF(Evalucion!X46=Datos!$C$17,Datos!$D$17,IF(Evalucion!X46=Datos!$C$18,Datos!$D$18,IF(Evalucion!X46=Datos!$C$19,Datos!$D$19,"=")))))</f>
        <v>5</v>
      </c>
      <c r="X48">
        <f>IF(Evalucion!Y46=Datos!$C$15,Datos!$D$15,IF(Evalucion!Y46=Datos!$C$16,Datos!$D$16,IF(Evalucion!Y46=Datos!$C$17,Datos!$D$17,IF(Evalucion!Y46=Datos!$C$18,Datos!$D$18,IF(Evalucion!Y46=Datos!$C$19,Datos!$D$19,"=")))))</f>
        <v>5</v>
      </c>
      <c r="Y48">
        <f>IF(Evalucion!Z46=Datos!$C$15,Datos!$D$15,IF(Evalucion!Z46=Datos!$C$16,Datos!$D$16,IF(Evalucion!Z46=Datos!$C$17,Datos!$D$17,IF(Evalucion!Z46=Datos!$C$18,Datos!$D$18,IF(Evalucion!Z46=Datos!$C$19,Datos!$D$19,"=")))))</f>
        <v>5</v>
      </c>
      <c r="Z48">
        <f>IF(Evalucion!AA46=Datos!$C$15,Datos!$D$15,IF(Evalucion!AA46=Datos!$C$16,Datos!$D$16,IF(Evalucion!AA46=Datos!$C$17,Datos!$D$17,IF(Evalucion!AA46=Datos!$C$18,Datos!$D$18,IF(Evalucion!AA46=Datos!$C$19,Datos!$D$19,"=")))))</f>
        <v>5</v>
      </c>
      <c r="AA48">
        <f>IF(Evalucion!AB46=Datos!$C$15,Datos!$D$15,IF(Evalucion!AB46=Datos!$C$16,Datos!$D$16,IF(Evalucion!AB46=Datos!$C$17,Datos!$D$17,IF(Evalucion!AB46=Datos!$C$18,Datos!$D$18,IF(Evalucion!AB46=Datos!$C$19,Datos!$D$19,"=")))))</f>
        <v>5</v>
      </c>
      <c r="AB48">
        <f>IF(Evalucion!AC46=Datos!$C$15,Datos!$D$15,IF(Evalucion!AC46=Datos!$C$16,Datos!$D$16,IF(Evalucion!AC46=Datos!$C$17,Datos!$D$17,IF(Evalucion!AC46=Datos!$C$18,Datos!$D$18,IF(Evalucion!AC46=Datos!$C$19,Datos!$D$19,"=")))))</f>
        <v>5</v>
      </c>
      <c r="AC48">
        <f>IF(Evalucion!AD46=Datos!$C$15,Datos!$D$15,IF(Evalucion!AD46=Datos!$C$16,Datos!$D$16,IF(Evalucion!AD46=Datos!$C$17,Datos!$D$17,IF(Evalucion!AD46=Datos!$C$18,Datos!$D$18,IF(Evalucion!AD46=Datos!$C$19,Datos!$D$19,"=")))))</f>
        <v>5</v>
      </c>
      <c r="AD48">
        <f>IF(Evalucion!AE46=Datos!$C$15,Datos!$D$15,IF(Evalucion!AE46=Datos!$C$16,Datos!$D$16,IF(Evalucion!AE46=Datos!$C$17,Datos!$D$17,IF(Evalucion!AE46=Datos!$C$18,Datos!$D$18,IF(Evalucion!AE46=Datos!$C$19,Datos!$D$19,"=")))))</f>
        <v>3</v>
      </c>
      <c r="AE48">
        <f>IF(Evalucion!AF46=Datos!$C$15,Datos!$D$15,IF(Evalucion!AF46=Datos!$C$16,Datos!$D$16,IF(Evalucion!AF46=Datos!$C$17,Datos!$D$17,IF(Evalucion!AF46=Datos!$C$18,Datos!$D$18,IF(Evalucion!AF46=Datos!$C$19,Datos!$D$19,"=")))))</f>
        <v>5</v>
      </c>
      <c r="AF48">
        <f>IF(Evalucion!AG46=Datos!$C$15,Datos!$D$15,IF(Evalucion!AG46=Datos!$C$16,Datos!$D$16,IF(Evalucion!AG46=Datos!$C$17,Datos!$D$17,IF(Evalucion!AG46=Datos!$C$18,Datos!$D$18,IF(Evalucion!AG46=Datos!$C$19,Datos!$D$19,"=")))))</f>
        <v>5</v>
      </c>
      <c r="AO48">
        <f>IF(Evalucion!AP46=Datos!$C$15,Datos!$D$15,IF(Evalucion!AP46=Datos!$C$16,Datos!$D$16,IF(Evalucion!AP46=Datos!$C$17,Datos!$D$17,IF(Evalucion!AP46=Datos!$C$18,Datos!$D$18,IF(Evalucion!AP46=Datos!$C$19,Datos!$D$19,"=")))))</f>
        <v>5</v>
      </c>
      <c r="AP48">
        <f>IF(Evalucion!AQ46=Datos!$C$15,Datos!$D$15,IF(Evalucion!AQ46=Datos!$C$16,Datos!$D$16,IF(Evalucion!AQ46=Datos!$C$17,Datos!$D$17,IF(Evalucion!AQ46=Datos!$C$18,Datos!$D$18,IF(Evalucion!AQ46=Datos!$C$19,Datos!$D$19,"=")))))</f>
        <v>3</v>
      </c>
      <c r="AQ48">
        <f>IF(Evalucion!AR46=Datos!$C$15,Datos!$D$15,IF(Evalucion!AR46=Datos!$C$16,Datos!$D$16,IF(Evalucion!AR46=Datos!$C$17,Datos!$D$17,IF(Evalucion!AR46=Datos!$C$18,Datos!$D$18,IF(Evalucion!AR46=Datos!$C$19,Datos!$D$19,"=")))))</f>
        <v>1</v>
      </c>
      <c r="AR48">
        <f>IF(Evalucion!AS46=Datos!$C$15,Datos!$D$15,IF(Evalucion!AS46=Datos!$C$16,Datos!$D$16,IF(Evalucion!AS46=Datos!$C$17,Datos!$D$17,IF(Evalucion!AS46=Datos!$C$18,Datos!$D$18,IF(Evalucion!AS46=Datos!$C$19,Datos!$D$19,"=")))))</f>
        <v>1</v>
      </c>
      <c r="AS48">
        <f>IF(Evalucion!AT46=Datos!$C$15,Datos!$D$15,IF(Evalucion!AT46=Datos!$C$16,Datos!$D$16,IF(Evalucion!AT46=Datos!$C$17,Datos!$D$17,IF(Evalucion!AT46=Datos!$C$18,Datos!$D$18,IF(Evalucion!AT46=Datos!$C$19,Datos!$D$19,"=")))))</f>
        <v>5</v>
      </c>
      <c r="AT48">
        <f>IF(Evalucion!AU46=Datos!$C$15,Datos!$D$15,IF(Evalucion!AU46=Datos!$C$16,Datos!$D$16,IF(Evalucion!AU46=Datos!$C$17,Datos!$D$17,IF(Evalucion!AU46=Datos!$C$18,Datos!$D$18,IF(Evalucion!AU46=Datos!$C$19,Datos!$D$19,"=")))))</f>
        <v>5</v>
      </c>
      <c r="AV48">
        <f>IF(Evalucion!AW46=Datos!$C$15,Datos!$D$15,IF(Evalucion!AW46=Datos!$C$16,Datos!$D$16,IF(Evalucion!AW46=Datos!$C$17,Datos!$D$17,IF(Evalucion!AW46=Datos!$C$18,Datos!$D$18,IF(Evalucion!AW46=Datos!$C$19,Datos!$D$19,"=")))))</f>
        <v>5</v>
      </c>
      <c r="AW48">
        <f>IF(Evalucion!AX46=Datos!$C$15,Datos!$D$15,IF(Evalucion!AX46=Datos!$C$16,Datos!$D$16,IF(Evalucion!AX46=Datos!$C$17,Datos!$D$17,IF(Evalucion!AX46=Datos!$C$18,Datos!$D$18,IF(Evalucion!AX46=Datos!$C$19,Datos!$D$19,"=")))))</f>
        <v>5</v>
      </c>
      <c r="AX48">
        <f>IF(Evalucion!AY46=Datos!$C$15,Datos!$D$15,IF(Evalucion!AY46=Datos!$C$16,Datos!$D$16,IF(Evalucion!AY46=Datos!$C$17,Datos!$D$17,IF(Evalucion!AY46=Datos!$C$18,Datos!$D$18,IF(Evalucion!AY46=Datos!$C$19,Datos!$D$19,"=")))))</f>
        <v>5</v>
      </c>
      <c r="AY48">
        <f>IF(Evalucion!AZ46=Datos!$C$15,Datos!$D$15,IF(Evalucion!AZ46=Datos!$C$16,Datos!$D$16,IF(Evalucion!AZ46=Datos!$C$17,Datos!$D$17,IF(Evalucion!AZ46=Datos!$C$18,Datos!$D$18,IF(Evalucion!AZ46=Datos!$C$19,Datos!$D$19,"=")))))</f>
        <v>5</v>
      </c>
      <c r="AZ48">
        <f>IF(Evalucion!BA46=Datos!$C$15,Datos!$D$15,IF(Evalucion!BA46=Datos!$C$16,Datos!$D$16,IF(Evalucion!BA46=Datos!$C$17,Datos!$D$17,IF(Evalucion!BA46=Datos!$C$18,Datos!$D$18,IF(Evalucion!BA46=Datos!$C$19,Datos!$D$19,"=")))))</f>
        <v>5</v>
      </c>
      <c r="BA48">
        <f>IF(Evalucion!BB46=Datos!$C$15,Datos!$D$15,IF(Evalucion!BB46=Datos!$C$16,Datos!$D$16,IF(Evalucion!BB46=Datos!$C$17,Datos!$D$17,IF(Evalucion!BB46=Datos!$C$18,Datos!$D$18,IF(Evalucion!BB46=Datos!$C$19,Datos!$D$19,"=")))))</f>
        <v>5</v>
      </c>
      <c r="BB48">
        <f>IF(Evalucion!BC46=Datos!$C$15,Datos!$D$15,IF(Evalucion!BC46=Datos!$C$16,Datos!$D$16,IF(Evalucion!BC46=Datos!$C$17,Datos!$D$17,IF(Evalucion!BC46=Datos!$C$18,Datos!$D$18,IF(Evalucion!BC46=Datos!$C$19,Datos!$D$19,"=")))))</f>
        <v>5</v>
      </c>
      <c r="BC48">
        <f>IF(Evalucion!BD46=Datos!$C$15,Datos!$D$15,IF(Evalucion!BD46=Datos!$C$16,Datos!$D$16,IF(Evalucion!BD46=Datos!$C$17,Datos!$D$17,IF(Evalucion!BD46=Datos!$C$18,Datos!$D$18,IF(Evalucion!BD46=Datos!$C$19,Datos!$D$19,"=")))))</f>
        <v>1</v>
      </c>
      <c r="BD48">
        <f>IF(Evalucion!BE46=Datos!$C$15,Datos!$D$15,IF(Evalucion!BE46=Datos!$C$16,Datos!$D$16,IF(Evalucion!BE46=Datos!$C$17,Datos!$D$17,IF(Evalucion!BE46=Datos!$C$18,Datos!$D$18,IF(Evalucion!BE46=Datos!$C$19,Datos!$D$19,"=")))))</f>
        <v>5</v>
      </c>
      <c r="BE48">
        <f>IF(Evalucion!BF46=Datos!$C$15,Datos!$D$15,IF(Evalucion!BF46=Datos!$C$16,Datos!$D$16,IF(Evalucion!BF46=Datos!$C$17,Datos!$D$17,IF(Evalucion!BF46=Datos!$C$18,Datos!$D$18,IF(Evalucion!BF46=Datos!$C$19,Datos!$D$19,"=")))))</f>
        <v>1</v>
      </c>
      <c r="BF48">
        <f>IF(Evalucion!BG46=Datos!$C$15,Datos!$D$15,IF(Evalucion!BG46=Datos!$C$16,Datos!$D$16,IF(Evalucion!BG46=Datos!$C$17,Datos!$D$17,IF(Evalucion!BG46=Datos!$C$18,Datos!$D$18,IF(Evalucion!BG46=Datos!$C$19,Datos!$D$19,"=")))))</f>
        <v>5</v>
      </c>
      <c r="BG48">
        <f>IF(Evalucion!BH46=Datos!$C$15,Datos!$D$15,IF(Evalucion!BH46=Datos!$C$16,Datos!$D$16,IF(Evalucion!BH46=Datos!$C$17,Datos!$D$17,IF(Evalucion!BH46=Datos!$C$18,Datos!$D$18,IF(Evalucion!BH46=Datos!$C$19,Datos!$D$19,"=")))))</f>
        <v>5</v>
      </c>
      <c r="BH48">
        <f>IF(Evalucion!BI46=Datos!$C$15,Datos!$D$15,IF(Evalucion!BI46=Datos!$C$16,Datos!$D$16,IF(Evalucion!BI46=Datos!$C$17,Datos!$D$17,IF(Evalucion!BI46=Datos!$C$18,Datos!$D$18,IF(Evalucion!BI46=Datos!$C$19,Datos!$D$19,"=")))))</f>
        <v>5</v>
      </c>
      <c r="BI48">
        <f>IF(Evalucion!BJ46=Datos!$C$15,Datos!$D$15,IF(Evalucion!BJ46=Datos!$C$16,Datos!$D$16,IF(Evalucion!BJ46=Datos!$C$17,Datos!$D$17,IF(Evalucion!BJ46=Datos!$C$18,Datos!$D$18,IF(Evalucion!BJ46=Datos!$C$19,Datos!$D$19,"=")))))</f>
        <v>5</v>
      </c>
      <c r="BJ48">
        <f>IF(Evalucion!BK46=Datos!$C$15,Datos!$D$15,IF(Evalucion!BK46=Datos!$C$16,Datos!$D$16,IF(Evalucion!BK46=Datos!$C$17,Datos!$D$17,IF(Evalucion!BK46=Datos!$C$18,Datos!$D$18,IF(Evalucion!BK46=Datos!$C$19,Datos!$D$19,"=")))))</f>
        <v>5</v>
      </c>
      <c r="BK48">
        <f>IF(Evalucion!BL46=Datos!$C$15,Datos!$D$15,IF(Evalucion!BL46=Datos!$C$16,Datos!$D$16,IF(Evalucion!BL46=Datos!$C$17,Datos!$D$17,IF(Evalucion!BL46=Datos!$C$18,Datos!$D$18,IF(Evalucion!BL46=Datos!$C$19,Datos!$D$19,"=")))))</f>
        <v>5</v>
      </c>
      <c r="BL48">
        <f>IF(Evalucion!BM46=Datos!$C$15,Datos!$D$15,IF(Evalucion!BM46=Datos!$C$16,Datos!$D$16,IF(Evalucion!BM46=Datos!$C$17,Datos!$D$17,IF(Evalucion!BM46=Datos!$C$18,Datos!$D$18,IF(Evalucion!BM46=Datos!$C$19,Datos!$D$19,"=")))))</f>
        <v>5</v>
      </c>
      <c r="BM48">
        <f>IF(Evalucion!BN46=Datos!$C$15,Datos!$D$15,IF(Evalucion!BN46=Datos!$C$16,Datos!$D$16,IF(Evalucion!BN46=Datos!$C$17,Datos!$D$17,IF(Evalucion!BN46=Datos!$C$18,Datos!$D$18,IF(Evalucion!BN46=Datos!$C$19,Datos!$D$19,"=")))))</f>
        <v>5</v>
      </c>
      <c r="BN48">
        <f>IF(Evalucion!BO46=Datos!$C$15,Datos!$D$15,IF(Evalucion!BO46=Datos!$C$16,Datos!$D$16,IF(Evalucion!BO46=Datos!$C$17,Datos!$D$17,IF(Evalucion!BO46=Datos!$C$18,Datos!$D$18,IF(Evalucion!BO46=Datos!$C$19,Datos!$D$19,"=")))))</f>
        <v>5</v>
      </c>
      <c r="BO48">
        <f>IF(Evalucion!BP46=Datos!$C$15,Datos!$D$15,IF(Evalucion!BP46=Datos!$C$16,Datos!$D$16,IF(Evalucion!BP46=Datos!$C$17,Datos!$D$17,IF(Evalucion!BP46=Datos!$C$18,Datos!$D$18,IF(Evalucion!BP46=Datos!$C$19,Datos!$D$19,"=")))))</f>
        <v>5</v>
      </c>
      <c r="BP48">
        <f>IF(Evalucion!BQ46=Datos!$C$15,Datos!$D$15,IF(Evalucion!BQ46=Datos!$C$16,Datos!$D$16,IF(Evalucion!BQ46=Datos!$C$17,Datos!$D$17,IF(Evalucion!BQ46=Datos!$C$18,Datos!$D$18,IF(Evalucion!BQ46=Datos!$C$19,Datos!$D$19,"=")))))</f>
        <v>5</v>
      </c>
      <c r="BQ48">
        <f>IF(Evalucion!BR46=Datos!$C$15,Datos!$D$15,IF(Evalucion!BR46=Datos!$C$16,Datos!$D$16,IF(Evalucion!BR46=Datos!$C$17,Datos!$D$17,IF(Evalucion!BR46=Datos!$C$18,Datos!$D$18,IF(Evalucion!BR46=Datos!$C$19,Datos!$D$19,"=")))))</f>
        <v>3</v>
      </c>
      <c r="BR48">
        <f>IF(Evalucion!BS46=Datos!$C$15,Datos!$D$15,IF(Evalucion!BS46=Datos!$C$16,Datos!$D$16,IF(Evalucion!BS46=Datos!$C$17,Datos!$D$17,IF(Evalucion!BS46=Datos!$C$18,Datos!$D$18,IF(Evalucion!BS46=Datos!$C$19,Datos!$D$19,"=")))))</f>
        <v>5</v>
      </c>
      <c r="BS48">
        <f>IF(Evalucion!BT46=Datos!$C$15,Datos!$D$15,IF(Evalucion!BT46=Datos!$C$16,Datos!$D$16,IF(Evalucion!BT46=Datos!$C$17,Datos!$D$17,IF(Evalucion!BT46=Datos!$C$18,Datos!$D$18,IF(Evalucion!BT46=Datos!$C$19,Datos!$D$19,"=")))))</f>
        <v>1</v>
      </c>
      <c r="BT48">
        <f>IF(Evalucion!BU46=Datos!$C$15,Datos!$D$15,IF(Evalucion!BU46=Datos!$C$16,Datos!$D$16,IF(Evalucion!BU46=Datos!$C$17,Datos!$D$17,IF(Evalucion!BU46=Datos!$C$18,Datos!$D$18,IF(Evalucion!BU46=Datos!$C$19,Datos!$D$19,"=")))))</f>
        <v>5</v>
      </c>
      <c r="BU48">
        <f>IF(Evalucion!BV46=Datos!$C$15,Datos!$D$15,IF(Evalucion!BV46=Datos!$C$16,Datos!$D$16,IF(Evalucion!BV46=Datos!$C$17,Datos!$D$17,IF(Evalucion!BV46=Datos!$C$18,Datos!$D$18,IF(Evalucion!BV46=Datos!$C$19,Datos!$D$19,"=")))))</f>
        <v>3</v>
      </c>
      <c r="BV48">
        <f>IF(Evalucion!BW46=Datos!$C$15,Datos!$D$15,IF(Evalucion!BW46=Datos!$C$16,Datos!$D$16,IF(Evalucion!BW46=Datos!$C$17,Datos!$D$17,IF(Evalucion!BW46=Datos!$C$18,Datos!$D$18,IF(Evalucion!BW46=Datos!$C$19,Datos!$D$19,"=")))))</f>
        <v>5</v>
      </c>
      <c r="BW48">
        <f>IF(Evalucion!BX46=Datos!$C$15,Datos!$D$15,IF(Evalucion!BX46=Datos!$C$16,Datos!$D$16,IF(Evalucion!BX46=Datos!$C$17,Datos!$D$17,IF(Evalucion!BX46=Datos!$C$18,Datos!$D$18,IF(Evalucion!BX46=Datos!$C$19,Datos!$D$19,"=")))))</f>
        <v>5</v>
      </c>
      <c r="BX48">
        <f>IF(Evalucion!BY46=Datos!$C$15,Datos!$D$15,IF(Evalucion!BY46=Datos!$C$16,Datos!$D$16,IF(Evalucion!BY46=Datos!$C$17,Datos!$D$17,IF(Evalucion!BY46=Datos!$C$18,Datos!$D$18,IF(Evalucion!BY46=Datos!$C$19,Datos!$D$19,"=")))))</f>
        <v>5</v>
      </c>
      <c r="BY48">
        <f>IF(Evalucion!BZ46=Datos!$C$15,Datos!$D$15,IF(Evalucion!BZ46=Datos!$C$16,Datos!$D$16,IF(Evalucion!BZ46=Datos!$C$17,Datos!$D$17,IF(Evalucion!BZ46=Datos!$C$18,Datos!$D$18,IF(Evalucion!BZ46=Datos!$C$19,Datos!$D$19,"=")))))</f>
        <v>5</v>
      </c>
      <c r="BZ48">
        <f>IF(Evalucion!CA46=Datos!$C$15,Datos!$D$15,IF(Evalucion!CA46=Datos!$C$16,Datos!$D$16,IF(Evalucion!CA46=Datos!$C$17,Datos!$D$17,IF(Evalucion!CA46=Datos!$C$18,Datos!$D$18,IF(Evalucion!CA46=Datos!$C$19,Datos!$D$19,"=")))))</f>
        <v>5</v>
      </c>
      <c r="CA48">
        <f>IF(Evalucion!CB46=Datos!$C$15,Datos!$D$15,IF(Evalucion!CB46=Datos!$C$16,Datos!$D$16,IF(Evalucion!CB46=Datos!$C$17,Datos!$D$17,IF(Evalucion!CB46=Datos!$C$18,Datos!$D$18,IF(Evalucion!CB46=Datos!$C$19,Datos!$D$19,"=")))))</f>
        <v>5</v>
      </c>
      <c r="CB48">
        <f>IF(Evalucion!CC46=Datos!$C$15,Datos!$D$15,IF(Evalucion!CC46=Datos!$C$16,Datos!$D$16,IF(Evalucion!CC46=Datos!$C$17,Datos!$D$17,IF(Evalucion!CC46=Datos!$C$18,Datos!$D$18,IF(Evalucion!CC46=Datos!$C$19,Datos!$D$19,"=")))))</f>
        <v>5</v>
      </c>
      <c r="CC48">
        <f>IF(Evalucion!CD46=Datos!$C$15,Datos!$D$15,IF(Evalucion!CD46=Datos!$C$16,Datos!$D$16,IF(Evalucion!CD46=Datos!$C$17,Datos!$D$17,IF(Evalucion!CD46=Datos!$C$18,Datos!$D$18,IF(Evalucion!CD46=Datos!$C$19,Datos!$D$19,"=")))))</f>
        <v>5</v>
      </c>
      <c r="CD48">
        <f>IF(Evalucion!CE46=Datos!$C$15,Datos!$D$15,IF(Evalucion!CE46=Datos!$C$16,Datos!$D$16,IF(Evalucion!CE46=Datos!$C$17,Datos!$D$17,IF(Evalucion!CE46=Datos!$C$18,Datos!$D$18,IF(Evalucion!CE46=Datos!$C$19,Datos!$D$19,"=")))))</f>
        <v>5</v>
      </c>
      <c r="CE48">
        <f>IF(Evalucion!CF46=Datos!$C$15,Datos!$D$15,IF(Evalucion!CF46=Datos!$C$16,Datos!$D$16,IF(Evalucion!CF46=Datos!$C$17,Datos!$D$17,IF(Evalucion!CF46=Datos!$C$18,Datos!$D$18,IF(Evalucion!CF46=Datos!$C$19,Datos!$D$19,"=")))))</f>
        <v>3</v>
      </c>
      <c r="CF48">
        <f>IF(Evalucion!CG46=Datos!$C$15,Datos!$D$15,IF(Evalucion!CG46=Datos!$C$16,Datos!$D$16,IF(Evalucion!CG46=Datos!$C$17,Datos!$D$17,IF(Evalucion!CG46=Datos!$C$18,Datos!$D$18,IF(Evalucion!CG46=Datos!$C$19,Datos!$D$19,"=")))))</f>
        <v>5</v>
      </c>
      <c r="CG48">
        <f>IF(Evalucion!CH46=Datos!$C$15,Datos!$D$15,IF(Evalucion!CH46=Datos!$C$16,Datos!$D$16,IF(Evalucion!CH46=Datos!$C$17,Datos!$D$17,IF(Evalucion!CH46=Datos!$C$18,Datos!$D$18,IF(Evalucion!CH46=Datos!$C$19,Datos!$D$19,"=")))))</f>
        <v>1</v>
      </c>
      <c r="CH48">
        <f>IF(Evalucion!CI46=Datos!$C$15,Datos!$D$15,IF(Evalucion!CI46=Datos!$C$16,Datos!$D$16,IF(Evalucion!CI46=Datos!$C$17,Datos!$D$17,IF(Evalucion!CI46=Datos!$C$18,Datos!$D$18,IF(Evalucion!CI46=Datos!$C$19,Datos!$D$19,"=")))))</f>
        <v>5</v>
      </c>
      <c r="CI48">
        <f>IF(Evalucion!CJ46=Datos!$C$15,Datos!$D$15,IF(Evalucion!CJ46=Datos!$C$16,Datos!$D$16,IF(Evalucion!CJ46=Datos!$C$17,Datos!$D$17,IF(Evalucion!CJ46=Datos!$C$18,Datos!$D$18,IF(Evalucion!CJ46=Datos!$C$19,Datos!$D$19,"=")))))</f>
        <v>3</v>
      </c>
      <c r="CJ48">
        <f>IF(Evalucion!CK46=Datos!$C$15,Datos!$D$15,IF(Evalucion!CK46=Datos!$C$16,Datos!$D$16,IF(Evalucion!CK46=Datos!$C$17,Datos!$D$17,IF(Evalucion!CK46=Datos!$C$18,Datos!$D$18,IF(Evalucion!CK46=Datos!$C$19,Datos!$D$19,"=")))))</f>
        <v>5</v>
      </c>
      <c r="CK48">
        <f>IF(Evalucion!CL46=Datos!$C$15,Datos!$D$15,IF(Evalucion!CL46=Datos!$C$16,Datos!$D$16,IF(Evalucion!CL46=Datos!$C$17,Datos!$D$17,IF(Evalucion!CL46=Datos!$C$18,Datos!$D$18,IF(Evalucion!CL46=Datos!$C$19,Datos!$D$19,"=")))))</f>
        <v>5</v>
      </c>
      <c r="CL48">
        <f>IF(Evalucion!CM46=Datos!$C$15,Datos!$D$15,IF(Evalucion!CM46=Datos!$C$16,Datos!$D$16,IF(Evalucion!CM46=Datos!$C$17,Datos!$D$17,IF(Evalucion!CM46=Datos!$C$18,Datos!$D$18,IF(Evalucion!CM46=Datos!$C$19,Datos!$D$19,"=")))))</f>
        <v>5</v>
      </c>
      <c r="CM48">
        <f>IF(Evalucion!CN46=Datos!$C$15,Datos!$D$15,IF(Evalucion!CN46=Datos!$C$16,Datos!$D$16,IF(Evalucion!CN46=Datos!$C$17,Datos!$D$17,IF(Evalucion!CN46=Datos!$C$18,Datos!$D$18,IF(Evalucion!CN46=Datos!$C$19,Datos!$D$19,"=")))))</f>
        <v>5</v>
      </c>
      <c r="CN48">
        <f>IF(Evalucion!CO46=Datos!$C$15,Datos!$D$15,IF(Evalucion!CO46=Datos!$C$16,Datos!$D$16,IF(Evalucion!CO46=Datos!$C$17,Datos!$D$17,IF(Evalucion!CO46=Datos!$C$18,Datos!$D$18,IF(Evalucion!CO46=Datos!$C$19,Datos!$D$19,"=")))))</f>
        <v>5</v>
      </c>
      <c r="CO48">
        <f>IF(Evalucion!CP46=Datos!$C$15,Datos!$D$15,IF(Evalucion!CP46=Datos!$C$16,Datos!$D$16,IF(Evalucion!CP46=Datos!$C$17,Datos!$D$17,IF(Evalucion!CP46=Datos!$C$18,Datos!$D$18,IF(Evalucion!CP46=Datos!$C$19,Datos!$D$19,"=")))))</f>
        <v>5</v>
      </c>
      <c r="CP48">
        <f>IF(Evalucion!CQ46=Datos!$C$15,Datos!$D$15,IF(Evalucion!CQ46=Datos!$C$16,Datos!$D$16,IF(Evalucion!CQ46=Datos!$C$17,Datos!$D$17,IF(Evalucion!CQ46=Datos!$C$18,Datos!$D$18,IF(Evalucion!CQ46=Datos!$C$19,Datos!$D$19,"=")))))</f>
        <v>5</v>
      </c>
      <c r="CQ48">
        <f>IF(Evalucion!CR46=Datos!$C$15,Datos!$D$15,IF(Evalucion!CR46=Datos!$C$16,Datos!$D$16,IF(Evalucion!CR46=Datos!$C$17,Datos!$D$17,IF(Evalucion!CR46=Datos!$C$18,Datos!$D$18,IF(Evalucion!CR46=Datos!$C$19,Datos!$D$19,"=")))))</f>
        <v>3</v>
      </c>
      <c r="CR48">
        <f>IF(Evalucion!CS46=Datos!$C$15,Datos!$D$15,IF(Evalucion!CS46=Datos!$C$16,Datos!$D$16,IF(Evalucion!CS46=Datos!$C$17,Datos!$D$17,IF(Evalucion!CS46=Datos!$C$18,Datos!$D$18,IF(Evalucion!CS46=Datos!$C$19,Datos!$D$19,"=")))))</f>
        <v>5</v>
      </c>
      <c r="CS48">
        <f>IF(Evalucion!CT46=Datos!$C$15,Datos!$D$15,IF(Evalucion!CT46=Datos!$C$16,Datos!$D$16,IF(Evalucion!CT46=Datos!$C$17,Datos!$D$17,IF(Evalucion!CT46=Datos!$C$18,Datos!$D$18,IF(Evalucion!CT46=Datos!$C$19,Datos!$D$19,"=")))))</f>
        <v>3</v>
      </c>
      <c r="CT48">
        <f>IF(Evalucion!CU46=Datos!$C$15,Datos!$D$15,IF(Evalucion!CU46=Datos!$C$16,Datos!$D$16,IF(Evalucion!CU46=Datos!$C$17,Datos!$D$17,IF(Evalucion!CU46=Datos!$C$18,Datos!$D$18,IF(Evalucion!CU46=Datos!$C$19,Datos!$D$19,"=")))))</f>
        <v>5</v>
      </c>
      <c r="CU48">
        <f>IF(Evalucion!CV46=Datos!$C$15,Datos!$D$15,IF(Evalucion!CV46=Datos!$C$16,Datos!$D$16,IF(Evalucion!CV46=Datos!$C$17,Datos!$D$17,IF(Evalucion!CV46=Datos!$C$18,Datos!$D$18,IF(Evalucion!CV46=Datos!$C$19,Datos!$D$19,"=")))))</f>
        <v>3</v>
      </c>
      <c r="CV48">
        <f>IF(Evalucion!CW46=Datos!$C$15,Datos!$D$15,IF(Evalucion!CW46=Datos!$C$16,Datos!$D$16,IF(Evalucion!CW46=Datos!$C$17,Datos!$D$17,IF(Evalucion!CW46=Datos!$C$18,Datos!$D$18,IF(Evalucion!CW46=Datos!$C$19,Datos!$D$19,"=")))))</f>
        <v>5</v>
      </c>
      <c r="CW48">
        <f>IF(Evalucion!CX46=Datos!$C$15,Datos!$D$15,IF(Evalucion!CX46=Datos!$C$16,Datos!$D$16,IF(Evalucion!CX46=Datos!$C$17,Datos!$D$17,IF(Evalucion!CX46=Datos!$C$18,Datos!$D$18,IF(Evalucion!CX46=Datos!$C$19,Datos!$D$19,"=")))))</f>
        <v>3</v>
      </c>
      <c r="CX48">
        <f>IF(Evalucion!CY46=Datos!$C$15,Datos!$D$15,IF(Evalucion!CY46=Datos!$C$16,Datos!$D$16,IF(Evalucion!CY46=Datos!$C$17,Datos!$D$17,IF(Evalucion!CY46=Datos!$C$18,Datos!$D$18,IF(Evalucion!CY46=Datos!$C$19,Datos!$D$19,"=")))))</f>
        <v>5</v>
      </c>
      <c r="CY48">
        <f>IF(Evalucion!CZ46=Datos!$C$15,Datos!$D$15,IF(Evalucion!CZ46=Datos!$C$16,Datos!$D$16,IF(Evalucion!CZ46=Datos!$C$17,Datos!$D$17,IF(Evalucion!CZ46=Datos!$C$18,Datos!$D$18,IF(Evalucion!CZ46=Datos!$C$19,Datos!$D$19,"=")))))</f>
        <v>3</v>
      </c>
      <c r="CZ48">
        <f>IF(Evalucion!DA46=Datos!$C$15,Datos!$D$15,IF(Evalucion!DA46=Datos!$C$16,Datos!$D$16,IF(Evalucion!DA46=Datos!$C$17,Datos!$D$17,IF(Evalucion!DA46=Datos!$C$18,Datos!$D$18,IF(Evalucion!DA46=Datos!$C$19,Datos!$D$19,"=")))))</f>
        <v>5</v>
      </c>
      <c r="DA48">
        <f>IF(Evalucion!DB46=Datos!$C$15,Datos!$D$15,IF(Evalucion!DB46=Datos!$C$16,Datos!$D$16,IF(Evalucion!DB46=Datos!$C$17,Datos!$D$17,IF(Evalucion!DB46=Datos!$C$18,Datos!$D$18,IF(Evalucion!DB46=Datos!$C$19,Datos!$D$19,"=")))))</f>
        <v>3</v>
      </c>
      <c r="DB48">
        <f>IF(Evalucion!DC46=Datos!$C$15,Datos!$D$15,IF(Evalucion!DC46=Datos!$C$16,Datos!$D$16,IF(Evalucion!DC46=Datos!$C$17,Datos!$D$17,IF(Evalucion!DC46=Datos!$C$18,Datos!$D$18,IF(Evalucion!DC46=Datos!$C$19,Datos!$D$19,"=")))))</f>
        <v>5</v>
      </c>
      <c r="DC48">
        <f>IF(Evalucion!DD46=Datos!$C$15,Datos!$D$15,IF(Evalucion!DD46=Datos!$C$16,Datos!$D$16,IF(Evalucion!DD46=Datos!$C$17,Datos!$D$17,IF(Evalucion!DD46=Datos!$C$18,Datos!$D$18,IF(Evalucion!DD46=Datos!$C$19,Datos!$D$19,"=")))))</f>
        <v>5</v>
      </c>
      <c r="DD48">
        <f>IF(Evalucion!DE46=Datos!$C$15,Datos!$D$15,IF(Evalucion!DE46=Datos!$C$16,Datos!$D$16,IF(Evalucion!DE46=Datos!$C$17,Datos!$D$17,IF(Evalucion!DE46=Datos!$C$18,Datos!$D$18,IF(Evalucion!DE46=Datos!$C$19,Datos!$D$19,"=")))))</f>
        <v>1</v>
      </c>
      <c r="DE48">
        <f>IF(Evalucion!DF46=Datos!$C$15,Datos!$D$15,IF(Evalucion!DF46=Datos!$C$16,Datos!$D$16,IF(Evalucion!DF46=Datos!$C$17,Datos!$D$17,IF(Evalucion!DF46=Datos!$C$18,Datos!$D$18,IF(Evalucion!DF46=Datos!$C$19,Datos!$D$19,"=")))))</f>
        <v>1</v>
      </c>
      <c r="DF48">
        <f>IF(Evalucion!DG46=Datos!$C$15,Datos!$D$15,IF(Evalucion!DG46=Datos!$C$16,Datos!$D$16,IF(Evalucion!DG46=Datos!$C$17,Datos!$D$17,IF(Evalucion!DG46=Datos!$C$18,Datos!$D$18,IF(Evalucion!DG46=Datos!$C$19,Datos!$D$19,"=")))))</f>
        <v>5</v>
      </c>
      <c r="DG48">
        <f>IF(Evalucion!DH46=Datos!$C$15,Datos!$D$15,IF(Evalucion!DH46=Datos!$C$16,Datos!$D$16,IF(Evalucion!DH46=Datos!$C$17,Datos!$D$17,IF(Evalucion!DH46=Datos!$C$18,Datos!$D$18,IF(Evalucion!DH46=Datos!$C$19,Datos!$D$19,"=")))))</f>
        <v>5</v>
      </c>
      <c r="DH48">
        <f>IF(Evalucion!DI46=Datos!$C$15,Datos!$D$15,IF(Evalucion!DI46=Datos!$C$16,Datos!$D$16,IF(Evalucion!DI46=Datos!$C$17,Datos!$D$17,IF(Evalucion!DI46=Datos!$C$18,Datos!$D$18,IF(Evalucion!DI46=Datos!$C$19,Datos!$D$19,"=")))))</f>
        <v>1</v>
      </c>
      <c r="DI48">
        <f>IF(Evalucion!DJ46=Datos!$C$15,Datos!$D$15,IF(Evalucion!DJ46=Datos!$C$16,Datos!$D$16,IF(Evalucion!DJ46=Datos!$C$17,Datos!$D$17,IF(Evalucion!DJ46=Datos!$C$18,Datos!$D$18,IF(Evalucion!DJ46=Datos!$C$19,Datos!$D$19,"=")))))</f>
        <v>1</v>
      </c>
      <c r="DJ48">
        <f>IF(Evalucion!DK46=Datos!$C$15,Datos!$D$15,IF(Evalucion!DK46=Datos!$C$16,Datos!$D$16,IF(Evalucion!DK46=Datos!$C$17,Datos!$D$17,IF(Evalucion!DK46=Datos!$C$18,Datos!$D$18,IF(Evalucion!DK46=Datos!$C$19,Datos!$D$19,"=")))))</f>
        <v>1</v>
      </c>
      <c r="DK48">
        <f>IF(Evalucion!DL46=Datos!$C$15,Datos!$D$15,IF(Evalucion!DL46=Datos!$C$16,Datos!$D$16,IF(Evalucion!DL46=Datos!$C$17,Datos!$D$17,IF(Evalucion!DL46=Datos!$C$18,Datos!$D$18,IF(Evalucion!DL46=Datos!$C$19,Datos!$D$19,"=")))))</f>
        <v>1</v>
      </c>
      <c r="DL48">
        <f>IF(Evalucion!DM46=Datos!$C$15,Datos!$D$15,IF(Evalucion!DM46=Datos!$C$16,Datos!$D$16,IF(Evalucion!DM46=Datos!$C$17,Datos!$D$17,IF(Evalucion!DM46=Datos!$C$18,Datos!$D$18,IF(Evalucion!DM46=Datos!$C$19,Datos!$D$19,"=")))))</f>
        <v>1</v>
      </c>
      <c r="DM48">
        <f>IF(Evalucion!DN46=Datos!$C$15,Datos!$D$15,IF(Evalucion!DN46=Datos!$C$16,Datos!$D$16,IF(Evalucion!DN46=Datos!$C$17,Datos!$D$17,IF(Evalucion!DN46=Datos!$C$18,Datos!$D$18,IF(Evalucion!DN46=Datos!$C$19,Datos!$D$19,"=")))))</f>
        <v>1</v>
      </c>
      <c r="DN48">
        <f>IF(Evalucion!DO46=Datos!$C$15,Datos!$D$15,IF(Evalucion!DO46=Datos!$C$16,Datos!$D$16,IF(Evalucion!DO46=Datos!$C$17,Datos!$D$17,IF(Evalucion!DO46=Datos!$C$18,Datos!$D$18,IF(Evalucion!DO46=Datos!$C$19,Datos!$D$19,"=")))))</f>
        <v>5</v>
      </c>
      <c r="DO48">
        <f>IF(Evalucion!DP46=Datos!$C$15,Datos!$D$15,IF(Evalucion!DP46=Datos!$C$16,Datos!$D$16,IF(Evalucion!DP46=Datos!$C$17,Datos!$D$17,IF(Evalucion!DP46=Datos!$C$18,Datos!$D$18,IF(Evalucion!DP46=Datos!$C$19,Datos!$D$19,"=")))))</f>
        <v>5</v>
      </c>
      <c r="DP48">
        <f>IF(Evalucion!DQ46=Datos!$C$15,Datos!$D$15,IF(Evalucion!DQ46=Datos!$C$16,Datos!$D$16,IF(Evalucion!DQ46=Datos!$C$17,Datos!$D$17,IF(Evalucion!DQ46=Datos!$C$18,Datos!$D$18,IF(Evalucion!DQ46=Datos!$C$19,Datos!$D$19,"=")))))</f>
        <v>5</v>
      </c>
      <c r="DQ48">
        <f>IF(Evalucion!DR46=Datos!$C$15,Datos!$D$15,IF(Evalucion!DR46=Datos!$C$16,Datos!$D$16,IF(Evalucion!DR46=Datos!$C$17,Datos!$D$17,IF(Evalucion!DR46=Datos!$C$18,Datos!$D$18,IF(Evalucion!DR46=Datos!$C$19,Datos!$D$19,"=")))))</f>
        <v>3</v>
      </c>
      <c r="DR48">
        <f>IF(Evalucion!DS46=Datos!$C$15,Datos!$D$15,IF(Evalucion!DS46=Datos!$C$16,Datos!$D$16,IF(Evalucion!DS46=Datos!$C$17,Datos!$D$17,IF(Evalucion!DS46=Datos!$C$18,Datos!$D$18,IF(Evalucion!DS46=Datos!$C$19,Datos!$D$19,"=")))))</f>
        <v>5</v>
      </c>
      <c r="DS48">
        <f>IF(Evalucion!DT46=Datos!$C$15,Datos!$D$15,IF(Evalucion!DT46=Datos!$C$16,Datos!$D$16,IF(Evalucion!DT46=Datos!$C$17,Datos!$D$17,IF(Evalucion!DT46=Datos!$C$18,Datos!$D$18,IF(Evalucion!DT46=Datos!$C$19,Datos!$D$19,"=")))))</f>
        <v>3</v>
      </c>
      <c r="DT48">
        <f>IF(Evalucion!DU46=Datos!$C$15,Datos!$D$15,IF(Evalucion!DU46=Datos!$C$16,Datos!$D$16,IF(Evalucion!DU46=Datos!$C$17,Datos!$D$17,IF(Evalucion!DU46=Datos!$C$18,Datos!$D$18,IF(Evalucion!DU46=Datos!$C$19,Datos!$D$19,"=")))))</f>
        <v>5</v>
      </c>
      <c r="DU48">
        <f>IF(Evalucion!DV46=Datos!$C$15,Datos!$D$15,IF(Evalucion!DV46=Datos!$C$16,Datos!$D$16,IF(Evalucion!DV46=Datos!$C$17,Datos!$D$17,IF(Evalucion!DV46=Datos!$C$18,Datos!$D$18,IF(Evalucion!DV46=Datos!$C$19,Datos!$D$19,"=")))))</f>
        <v>5</v>
      </c>
      <c r="DV48">
        <f>IF(Evalucion!DW46=Datos!$C$15,Datos!$D$15,IF(Evalucion!DW46=Datos!$C$16,Datos!$D$16,IF(Evalucion!DW46=Datos!$C$17,Datos!$D$17,IF(Evalucion!DW46=Datos!$C$18,Datos!$D$18,IF(Evalucion!DW46=Datos!$C$19,Datos!$D$19,"=")))))</f>
        <v>5</v>
      </c>
      <c r="DW48">
        <f>IF(Evalucion!DX46=Datos!$C$15,Datos!$D$15,IF(Evalucion!DX46=Datos!$C$16,Datos!$D$16,IF(Evalucion!DX46=Datos!$C$17,Datos!$D$17,IF(Evalucion!DX46=Datos!$C$18,Datos!$D$18,IF(Evalucion!DX46=Datos!$C$19,Datos!$D$19,"=")))))</f>
        <v>5</v>
      </c>
      <c r="DX48">
        <f>IF(Evalucion!DY46=Datos!$C$15,Datos!$D$15,IF(Evalucion!DY46=Datos!$C$16,Datos!$D$16,IF(Evalucion!DY46=Datos!$C$17,Datos!$D$17,IF(Evalucion!DY46=Datos!$C$18,Datos!$D$18,IF(Evalucion!DY46=Datos!$C$19,Datos!$D$19,"=")))))</f>
        <v>5</v>
      </c>
      <c r="DY48">
        <f>IF(Evalucion!DZ46=Datos!$C$15,Datos!$D$15,IF(Evalucion!DZ46=Datos!$C$16,Datos!$D$16,IF(Evalucion!DZ46=Datos!$C$17,Datos!$D$17,IF(Evalucion!DZ46=Datos!$C$18,Datos!$D$18,IF(Evalucion!DZ46=Datos!$C$19,Datos!$D$19,"=")))))</f>
        <v>3</v>
      </c>
      <c r="DZ48">
        <f>IF(Evalucion!EA46=Datos!$C$15,Datos!$D$15,IF(Evalucion!EA46=Datos!$C$16,Datos!$D$16,IF(Evalucion!EA46=Datos!$C$17,Datos!$D$17,IF(Evalucion!EA46=Datos!$C$18,Datos!$D$18,IF(Evalucion!EA46=Datos!$C$19,Datos!$D$19,"=")))))</f>
        <v>5</v>
      </c>
      <c r="EA48">
        <f>IF(Evalucion!EB46=Datos!$C$15,Datos!$D$15,IF(Evalucion!EB46=Datos!$C$16,Datos!$D$16,IF(Evalucion!EB46=Datos!$C$17,Datos!$D$17,IF(Evalucion!EB46=Datos!$C$18,Datos!$D$18,IF(Evalucion!EB46=Datos!$C$19,Datos!$D$19,"=")))))</f>
        <v>5</v>
      </c>
      <c r="EB48">
        <f>IF(Evalucion!EC46=Datos!$C$15,Datos!$D$15,IF(Evalucion!EC46=Datos!$C$16,Datos!$D$16,IF(Evalucion!EC46=Datos!$C$17,Datos!$D$17,IF(Evalucion!EC46=Datos!$C$18,Datos!$D$18,IF(Evalucion!EC46=Datos!$C$19,Datos!$D$19,"=")))))</f>
        <v>5</v>
      </c>
      <c r="EC48">
        <f>IF(Evalucion!ED46=Datos!$C$15,Datos!$D$15,IF(Evalucion!ED46=Datos!$C$16,Datos!$D$16,IF(Evalucion!ED46=Datos!$C$17,Datos!$D$17,IF(Evalucion!ED46=Datos!$C$18,Datos!$D$18,IF(Evalucion!ED46=Datos!$C$19,Datos!$D$19,"=")))))</f>
        <v>3</v>
      </c>
      <c r="ED48">
        <f>IF(Evalucion!EE46=Datos!$C$15,Datos!$D$15,IF(Evalucion!EE46=Datos!$C$16,Datos!$D$16,IF(Evalucion!EE46=Datos!$C$17,Datos!$D$17,IF(Evalucion!EE46=Datos!$C$18,Datos!$D$18,IF(Evalucion!EE46=Datos!$C$19,Datos!$D$19,"=")))))</f>
        <v>5</v>
      </c>
      <c r="EE48">
        <f>IF(Evalucion!EF46=Datos!$C$15,Datos!$D$15,IF(Evalucion!EF46=Datos!$C$16,Datos!$D$16,IF(Evalucion!EF46=Datos!$C$17,Datos!$D$17,IF(Evalucion!EF46=Datos!$C$18,Datos!$D$18,IF(Evalucion!EF46=Datos!$C$19,Datos!$D$19,"=")))))</f>
        <v>5</v>
      </c>
      <c r="EF48">
        <f>IF(Evalucion!EG46=Datos!$C$15,Datos!$D$15,IF(Evalucion!EG46=Datos!$C$16,Datos!$D$16,IF(Evalucion!EG46=Datos!$C$17,Datos!$D$17,IF(Evalucion!EG46=Datos!$C$18,Datos!$D$18,IF(Evalucion!EG46=Datos!$C$19,Datos!$D$19,"=")))))</f>
        <v>5</v>
      </c>
      <c r="EG48">
        <f>IF(Evalucion!EH46=Datos!$C$15,Datos!$D$15,IF(Evalucion!EH46=Datos!$C$16,Datos!$D$16,IF(Evalucion!EH46=Datos!$C$17,Datos!$D$17,IF(Evalucion!EH46=Datos!$C$18,Datos!$D$18,IF(Evalucion!EH46=Datos!$C$19,Datos!$D$19,"=")))))</f>
        <v>5</v>
      </c>
      <c r="EH48">
        <f>IF(Evalucion!EI46=Datos!$C$15,Datos!$D$15,IF(Evalucion!EI46=Datos!$C$16,Datos!$D$16,IF(Evalucion!EI46=Datos!$C$17,Datos!$D$17,IF(Evalucion!EI46=Datos!$C$18,Datos!$D$18,IF(Evalucion!EI46=Datos!$C$19,Datos!$D$19,"=")))))</f>
        <v>5</v>
      </c>
      <c r="EI48">
        <f>IF(Evalucion!EJ46=Datos!$C$15,Datos!$D$15,IF(Evalucion!EJ46=Datos!$C$16,Datos!$D$16,IF(Evalucion!EJ46=Datos!$C$17,Datos!$D$17,IF(Evalucion!EJ46=Datos!$C$18,Datos!$D$18,IF(Evalucion!EJ46=Datos!$C$19,Datos!$D$19,"=")))))</f>
        <v>5</v>
      </c>
      <c r="EJ48">
        <f>IF(Evalucion!EK46=Datos!$C$15,Datos!$D$15,IF(Evalucion!EK46=Datos!$C$16,Datos!$D$16,IF(Evalucion!EK46=Datos!$C$17,Datos!$D$17,IF(Evalucion!EK46=Datos!$C$18,Datos!$D$18,IF(Evalucion!EK46=Datos!$C$19,Datos!$D$19,"=")))))</f>
        <v>5</v>
      </c>
      <c r="EK48">
        <f>IF(Evalucion!EL46=Datos!$C$15,Datos!$D$15,IF(Evalucion!EL46=Datos!$C$16,Datos!$D$16,IF(Evalucion!EL46=Datos!$C$17,Datos!$D$17,IF(Evalucion!EL46=Datos!$C$18,Datos!$D$18,IF(Evalucion!EL46=Datos!$C$19,Datos!$D$19,"=")))))</f>
        <v>5</v>
      </c>
      <c r="EL48">
        <f>IF(Evalucion!EM46=Datos!$C$15,Datos!$D$15,IF(Evalucion!EM46=Datos!$C$16,Datos!$D$16,IF(Evalucion!EM46=Datos!$C$17,Datos!$D$17,IF(Evalucion!EM46=Datos!$C$18,Datos!$D$18,IF(Evalucion!EM46=Datos!$C$19,Datos!$D$19,"=")))))</f>
        <v>5</v>
      </c>
      <c r="EM48">
        <f>IF(Evalucion!EN46=Datos!$C$15,Datos!$D$15,IF(Evalucion!EN46=Datos!$C$16,Datos!$D$16,IF(Evalucion!EN46=Datos!$C$17,Datos!$D$17,IF(Evalucion!EN46=Datos!$C$18,Datos!$D$18,IF(Evalucion!EN46=Datos!$C$19,Datos!$D$19,"=")))))</f>
        <v>5</v>
      </c>
      <c r="EN48">
        <f>IF(Evalucion!EO46=Datos!$C$15,Datos!$D$15,IF(Evalucion!EO46=Datos!$C$16,Datos!$D$16,IF(Evalucion!EO46=Datos!$C$17,Datos!$D$17,IF(Evalucion!EO46=Datos!$C$18,Datos!$D$18,IF(Evalucion!EO46=Datos!$C$19,Datos!$D$19,"=")))))</f>
        <v>5</v>
      </c>
      <c r="EO48">
        <f>IF(Evalucion!EP46=Datos!$C$15,Datos!$D$15,IF(Evalucion!EP46=Datos!$C$16,Datos!$D$16,IF(Evalucion!EP46=Datos!$C$17,Datos!$D$17,IF(Evalucion!EP46=Datos!$C$18,Datos!$D$18,IF(Evalucion!EP46=Datos!$C$19,Datos!$D$19,"=")))))</f>
        <v>5</v>
      </c>
      <c r="EP48">
        <f>IF(Evalucion!EQ46=Datos!$C$15,Datos!$D$15,IF(Evalucion!EQ46=Datos!$C$16,Datos!$D$16,IF(Evalucion!EQ46=Datos!$C$17,Datos!$D$17,IF(Evalucion!EQ46=Datos!$C$18,Datos!$D$18,IF(Evalucion!EQ46=Datos!$C$19,Datos!$D$19,"=")))))</f>
        <v>5</v>
      </c>
      <c r="EQ48">
        <f>IF(Evalucion!ER46=Datos!$C$15,Datos!$D$15,IF(Evalucion!ER46=Datos!$C$16,Datos!$D$16,IF(Evalucion!ER46=Datos!$C$17,Datos!$D$17,IF(Evalucion!ER46=Datos!$C$18,Datos!$D$18,IF(Evalucion!ER46=Datos!$C$19,Datos!$D$19,"=")))))</f>
        <v>5</v>
      </c>
      <c r="ER48">
        <f>IF(Evalucion!ES46=Datos!$C$15,Datos!$D$15,IF(Evalucion!ES46=Datos!$C$16,Datos!$D$16,IF(Evalucion!ES46=Datos!$C$17,Datos!$D$17,IF(Evalucion!ES46=Datos!$C$18,Datos!$D$18,IF(Evalucion!ES46=Datos!$C$19,Datos!$D$19,"=")))))</f>
        <v>5</v>
      </c>
      <c r="ES48">
        <f>IF(Evalucion!ET46=Datos!$C$15,Datos!$D$15,IF(Evalucion!ET46=Datos!$C$16,Datos!$D$16,IF(Evalucion!ET46=Datos!$C$17,Datos!$D$17,IF(Evalucion!ET46=Datos!$C$18,Datos!$D$18,IF(Evalucion!ET46=Datos!$C$19,Datos!$D$19,"=")))))</f>
        <v>5</v>
      </c>
      <c r="ET48">
        <f>IF(Evalucion!EU46=Datos!$C$15,Datos!$D$15,IF(Evalucion!EU46=Datos!$C$16,Datos!$D$16,IF(Evalucion!EU46=Datos!$C$17,Datos!$D$17,IF(Evalucion!EU46=Datos!$C$18,Datos!$D$18,IF(Evalucion!EU46=Datos!$C$19,Datos!$D$19,"=")))))</f>
        <v>5</v>
      </c>
      <c r="EU48">
        <f>IF(Evalucion!EV46=Datos!$C$15,Datos!$D$15,IF(Evalucion!EV46=Datos!$C$16,Datos!$D$16,IF(Evalucion!EV46=Datos!$C$17,Datos!$D$17,IF(Evalucion!EV46=Datos!$C$18,Datos!$D$18,IF(Evalucion!EV46=Datos!$C$19,Datos!$D$19,"=")))))</f>
        <v>3</v>
      </c>
      <c r="EV48">
        <f>IF(Evalucion!EW46=Datos!$C$15,Datos!$D$15,IF(Evalucion!EW46=Datos!$C$16,Datos!$D$16,IF(Evalucion!EW46=Datos!$C$17,Datos!$D$17,IF(Evalucion!EW46=Datos!$C$18,Datos!$D$18,IF(Evalucion!EW46=Datos!$C$19,Datos!$D$19,"=")))))</f>
        <v>5</v>
      </c>
      <c r="EW48">
        <f>IF(Evalucion!EX46=Datos!$C$15,Datos!$D$15,IF(Evalucion!EX46=Datos!$C$16,Datos!$D$16,IF(Evalucion!EX46=Datos!$C$17,Datos!$D$17,IF(Evalucion!EX46=Datos!$C$18,Datos!$D$18,IF(Evalucion!EX46=Datos!$C$19,Datos!$D$19,"=")))))</f>
        <v>5</v>
      </c>
      <c r="EX48">
        <f>IF(Evalucion!EY46=Datos!$C$15,Datos!$D$15,IF(Evalucion!EY46=Datos!$C$16,Datos!$D$16,IF(Evalucion!EY46=Datos!$C$17,Datos!$D$17,IF(Evalucion!EY46=Datos!$C$18,Datos!$D$18,IF(Evalucion!EY46=Datos!$C$19,Datos!$D$19,"=")))))</f>
        <v>5</v>
      </c>
      <c r="EY48">
        <f>IF(Evalucion!EZ46=Datos!$C$15,Datos!$D$15,IF(Evalucion!EZ46=Datos!$C$16,Datos!$D$16,IF(Evalucion!EZ46=Datos!$C$17,Datos!$D$17,IF(Evalucion!EZ46=Datos!$C$18,Datos!$D$18,IF(Evalucion!EZ46=Datos!$C$19,Datos!$D$19,"=")))))</f>
        <v>3</v>
      </c>
      <c r="FA48">
        <f t="shared" si="8"/>
        <v>331</v>
      </c>
      <c r="FB48">
        <f t="shared" si="8"/>
        <v>275</v>
      </c>
      <c r="FC48" s="3">
        <f t="shared" si="4"/>
        <v>0.73333333333333328</v>
      </c>
      <c r="FD48" t="str">
        <f t="shared" si="9"/>
        <v>Conf_CR</v>
      </c>
      <c r="FF48">
        <f t="shared" si="5"/>
        <v>606</v>
      </c>
      <c r="FG48">
        <f t="shared" si="6"/>
        <v>0</v>
      </c>
    </row>
    <row r="49" spans="1:163" x14ac:dyDescent="0.2">
      <c r="A49">
        <f t="shared" si="7"/>
        <v>46</v>
      </c>
      <c r="B49" t="s">
        <v>290</v>
      </c>
      <c r="C49" t="s">
        <v>195</v>
      </c>
      <c r="D49" s="1">
        <v>43503</v>
      </c>
      <c r="E49">
        <f>IF(Evalucion!F47=Datos!$C$15,Datos!$D$15,IF(Evalucion!F47=Datos!$C$16,Datos!$D$16,IF(Evalucion!F47=Datos!$C$17,Datos!$D$17,IF(Evalucion!F47=Datos!$C$18,Datos!$D$18,IF(Evalucion!F47=Datos!$C$19,Datos!$D$19,"=")))))</f>
        <v>5</v>
      </c>
      <c r="F49">
        <f>IF(Evalucion!G47=Datos!$C$15,Datos!$D$15,IF(Evalucion!G47=Datos!$C$16,Datos!$D$16,IF(Evalucion!G47=Datos!$C$17,Datos!$D$17,IF(Evalucion!G47=Datos!$C$18,Datos!$D$18,IF(Evalucion!G47=Datos!$C$19,Datos!$D$19,"=")))))</f>
        <v>5</v>
      </c>
      <c r="G49">
        <f>IF(Evalucion!H47=Datos!$C$15,Datos!$D$15,IF(Evalucion!H47=Datos!$C$16,Datos!$D$16,IF(Evalucion!H47=Datos!$C$17,Datos!$D$17,IF(Evalucion!H47=Datos!$C$18,Datos!$D$18,IF(Evalucion!H47=Datos!$C$19,Datos!$D$19,"=")))))</f>
        <v>5</v>
      </c>
      <c r="H49">
        <f>IF(Evalucion!I47=Datos!$C$15,Datos!$D$15,IF(Evalucion!I47=Datos!$C$16,Datos!$D$16,IF(Evalucion!I47=Datos!$C$17,Datos!$D$17,IF(Evalucion!I47=Datos!$C$18,Datos!$D$18,IF(Evalucion!I47=Datos!$C$19,Datos!$D$19,"=")))))</f>
        <v>5</v>
      </c>
      <c r="I49">
        <f>IF(Evalucion!J47=Datos!$C$15,Datos!$D$15,IF(Evalucion!J47=Datos!$C$16,Datos!$D$16,IF(Evalucion!J47=Datos!$C$17,Datos!$D$17,IF(Evalucion!J47=Datos!$C$18,Datos!$D$18,IF(Evalucion!J47=Datos!$C$19,Datos!$D$19,"=")))))</f>
        <v>5</v>
      </c>
      <c r="J49">
        <f>IF(Evalucion!K47=Datos!$C$15,Datos!$D$15,IF(Evalucion!K47=Datos!$C$16,Datos!$D$16,IF(Evalucion!K47=Datos!$C$17,Datos!$D$17,IF(Evalucion!K47=Datos!$C$18,Datos!$D$18,IF(Evalucion!K47=Datos!$C$19,Datos!$D$19,"=")))))</f>
        <v>3</v>
      </c>
      <c r="K49">
        <f>IF(Evalucion!L47=Datos!$C$15,Datos!$D$15,IF(Evalucion!L47=Datos!$C$16,Datos!$D$16,IF(Evalucion!L47=Datos!$C$17,Datos!$D$17,IF(Evalucion!L47=Datos!$C$18,Datos!$D$18,IF(Evalucion!L47=Datos!$C$19,Datos!$D$19,"=")))))</f>
        <v>5</v>
      </c>
      <c r="L49">
        <f>IF(Evalucion!M47=Datos!$C$15,Datos!$D$15,IF(Evalucion!M47=Datos!$C$16,Datos!$D$16,IF(Evalucion!M47=Datos!$C$17,Datos!$D$17,IF(Evalucion!M47=Datos!$C$18,Datos!$D$18,IF(Evalucion!M47=Datos!$C$19,Datos!$D$19,"=")))))</f>
        <v>3</v>
      </c>
      <c r="M49">
        <f>IF(Evalucion!N47=Datos!$C$15,Datos!$D$15,IF(Evalucion!N47=Datos!$C$16,Datos!$D$16,IF(Evalucion!N47=Datos!$C$17,Datos!$D$17,IF(Evalucion!N47=Datos!$C$18,Datos!$D$18,IF(Evalucion!N47=Datos!$C$19,Datos!$D$19,"=")))))</f>
        <v>5</v>
      </c>
      <c r="N49">
        <f>IF(Evalucion!O47=Datos!$C$15,Datos!$D$15,IF(Evalucion!O47=Datos!$C$16,Datos!$D$16,IF(Evalucion!O47=Datos!$C$17,Datos!$D$17,IF(Evalucion!O47=Datos!$C$18,Datos!$D$18,IF(Evalucion!O47=Datos!$C$19,Datos!$D$19,"=")))))</f>
        <v>5</v>
      </c>
      <c r="O49">
        <f>IF(Evalucion!P47=Datos!$C$15,Datos!$D$15,IF(Evalucion!P47=Datos!$C$16,Datos!$D$16,IF(Evalucion!P47=Datos!$C$17,Datos!$D$17,IF(Evalucion!P47=Datos!$C$18,Datos!$D$18,IF(Evalucion!P47=Datos!$C$19,Datos!$D$19,"=")))))</f>
        <v>5</v>
      </c>
      <c r="P49">
        <f>IF(Evalucion!Q47=Datos!$C$15,Datos!$D$15,IF(Evalucion!Q47=Datos!$C$16,Datos!$D$16,IF(Evalucion!Q47=Datos!$C$17,Datos!$D$17,IF(Evalucion!Q47=Datos!$C$18,Datos!$D$18,IF(Evalucion!Q47=Datos!$C$19,Datos!$D$19,"=")))))</f>
        <v>5</v>
      </c>
      <c r="Q49">
        <f>IF(Evalucion!R47=Datos!$C$15,Datos!$D$15,IF(Evalucion!R47=Datos!$C$16,Datos!$D$16,IF(Evalucion!R47=Datos!$C$17,Datos!$D$17,IF(Evalucion!R47=Datos!$C$18,Datos!$D$18,IF(Evalucion!R47=Datos!$C$19,Datos!$D$19,"=")))))</f>
        <v>5</v>
      </c>
      <c r="R49">
        <f>IF(Evalucion!S47=Datos!$C$15,Datos!$D$15,IF(Evalucion!S47=Datos!$C$16,Datos!$D$16,IF(Evalucion!S47=Datos!$C$17,Datos!$D$17,IF(Evalucion!S47=Datos!$C$18,Datos!$D$18,IF(Evalucion!S47=Datos!$C$19,Datos!$D$19,"=")))))</f>
        <v>5</v>
      </c>
      <c r="S49">
        <f>IF(Evalucion!T47=Datos!$C$15,Datos!$D$15,IF(Evalucion!T47=Datos!$C$16,Datos!$D$16,IF(Evalucion!T47=Datos!$C$17,Datos!$D$17,IF(Evalucion!T47=Datos!$C$18,Datos!$D$18,IF(Evalucion!T47=Datos!$C$19,Datos!$D$19,"=")))))</f>
        <v>1</v>
      </c>
      <c r="T49">
        <f>IF(Evalucion!U47=Datos!$C$15,Datos!$D$15,IF(Evalucion!U47=Datos!$C$16,Datos!$D$16,IF(Evalucion!U47=Datos!$C$17,Datos!$D$17,IF(Evalucion!U47=Datos!$C$18,Datos!$D$18,IF(Evalucion!U47=Datos!$C$19,Datos!$D$19,"=")))))</f>
        <v>1</v>
      </c>
      <c r="U49">
        <f>IF(Evalucion!V47=Datos!$C$15,Datos!$D$15,IF(Evalucion!V47=Datos!$C$16,Datos!$D$16,IF(Evalucion!V47=Datos!$C$17,Datos!$D$17,IF(Evalucion!V47=Datos!$C$18,Datos!$D$18,IF(Evalucion!V47=Datos!$C$19,Datos!$D$19,"=")))))</f>
        <v>1</v>
      </c>
      <c r="V49">
        <f>IF(Evalucion!W47=Datos!$C$15,Datos!$D$15,IF(Evalucion!W47=Datos!$C$16,Datos!$D$16,IF(Evalucion!W47=Datos!$C$17,Datos!$D$17,IF(Evalucion!W47=Datos!$C$18,Datos!$D$18,IF(Evalucion!W47=Datos!$C$19,Datos!$D$19,"=")))))</f>
        <v>1</v>
      </c>
      <c r="W49">
        <f>IF(Evalucion!X47=Datos!$C$15,Datos!$D$15,IF(Evalucion!X47=Datos!$C$16,Datos!$D$16,IF(Evalucion!X47=Datos!$C$17,Datos!$D$17,IF(Evalucion!X47=Datos!$C$18,Datos!$D$18,IF(Evalucion!X47=Datos!$C$19,Datos!$D$19,"=")))))</f>
        <v>1</v>
      </c>
      <c r="X49">
        <f>IF(Evalucion!Y47=Datos!$C$15,Datos!$D$15,IF(Evalucion!Y47=Datos!$C$16,Datos!$D$16,IF(Evalucion!Y47=Datos!$C$17,Datos!$D$17,IF(Evalucion!Y47=Datos!$C$18,Datos!$D$18,IF(Evalucion!Y47=Datos!$C$19,Datos!$D$19,"=")))))</f>
        <v>1</v>
      </c>
      <c r="Y49">
        <f>IF(Evalucion!Z47=Datos!$C$15,Datos!$D$15,IF(Evalucion!Z47=Datos!$C$16,Datos!$D$16,IF(Evalucion!Z47=Datos!$C$17,Datos!$D$17,IF(Evalucion!Z47=Datos!$C$18,Datos!$D$18,IF(Evalucion!Z47=Datos!$C$19,Datos!$D$19,"=")))))</f>
        <v>1</v>
      </c>
      <c r="Z49">
        <f>IF(Evalucion!AA47=Datos!$C$15,Datos!$D$15,IF(Evalucion!AA47=Datos!$C$16,Datos!$D$16,IF(Evalucion!AA47=Datos!$C$17,Datos!$D$17,IF(Evalucion!AA47=Datos!$C$18,Datos!$D$18,IF(Evalucion!AA47=Datos!$C$19,Datos!$D$19,"=")))))</f>
        <v>1</v>
      </c>
      <c r="AA49">
        <f>IF(Evalucion!AB47=Datos!$C$15,Datos!$D$15,IF(Evalucion!AB47=Datos!$C$16,Datos!$D$16,IF(Evalucion!AB47=Datos!$C$17,Datos!$D$17,IF(Evalucion!AB47=Datos!$C$18,Datos!$D$18,IF(Evalucion!AB47=Datos!$C$19,Datos!$D$19,"=")))))</f>
        <v>1</v>
      </c>
      <c r="AB49">
        <f>IF(Evalucion!AC47=Datos!$C$15,Datos!$D$15,IF(Evalucion!AC47=Datos!$C$16,Datos!$D$16,IF(Evalucion!AC47=Datos!$C$17,Datos!$D$17,IF(Evalucion!AC47=Datos!$C$18,Datos!$D$18,IF(Evalucion!AC47=Datos!$C$19,Datos!$D$19,"=")))))</f>
        <v>1</v>
      </c>
      <c r="AC49">
        <f>IF(Evalucion!AD47=Datos!$C$15,Datos!$D$15,IF(Evalucion!AD47=Datos!$C$16,Datos!$D$16,IF(Evalucion!AD47=Datos!$C$17,Datos!$D$17,IF(Evalucion!AD47=Datos!$C$18,Datos!$D$18,IF(Evalucion!AD47=Datos!$C$19,Datos!$D$19,"=")))))</f>
        <v>1</v>
      </c>
      <c r="AD49">
        <f>IF(Evalucion!AE47=Datos!$C$15,Datos!$D$15,IF(Evalucion!AE47=Datos!$C$16,Datos!$D$16,IF(Evalucion!AE47=Datos!$C$17,Datos!$D$17,IF(Evalucion!AE47=Datos!$C$18,Datos!$D$18,IF(Evalucion!AE47=Datos!$C$19,Datos!$D$19,"=")))))</f>
        <v>1</v>
      </c>
      <c r="AE49">
        <f>IF(Evalucion!AF47=Datos!$C$15,Datos!$D$15,IF(Evalucion!AF47=Datos!$C$16,Datos!$D$16,IF(Evalucion!AF47=Datos!$C$17,Datos!$D$17,IF(Evalucion!AF47=Datos!$C$18,Datos!$D$18,IF(Evalucion!AF47=Datos!$C$19,Datos!$D$19,"=")))))</f>
        <v>5</v>
      </c>
      <c r="AF49">
        <f>IF(Evalucion!AG47=Datos!$C$15,Datos!$D$15,IF(Evalucion!AG47=Datos!$C$16,Datos!$D$16,IF(Evalucion!AG47=Datos!$C$17,Datos!$D$17,IF(Evalucion!AG47=Datos!$C$18,Datos!$D$18,IF(Evalucion!AG47=Datos!$C$19,Datos!$D$19,"=")))))</f>
        <v>5</v>
      </c>
      <c r="AO49">
        <f>IF(Evalucion!AP47=Datos!$C$15,Datos!$D$15,IF(Evalucion!AP47=Datos!$C$16,Datos!$D$16,IF(Evalucion!AP47=Datos!$C$17,Datos!$D$17,IF(Evalucion!AP47=Datos!$C$18,Datos!$D$18,IF(Evalucion!AP47=Datos!$C$19,Datos!$D$19,"=")))))</f>
        <v>5</v>
      </c>
      <c r="AP49">
        <f>IF(Evalucion!AQ47=Datos!$C$15,Datos!$D$15,IF(Evalucion!AQ47=Datos!$C$16,Datos!$D$16,IF(Evalucion!AQ47=Datos!$C$17,Datos!$D$17,IF(Evalucion!AQ47=Datos!$C$18,Datos!$D$18,IF(Evalucion!AQ47=Datos!$C$19,Datos!$D$19,"=")))))</f>
        <v>3</v>
      </c>
      <c r="AQ49">
        <f>IF(Evalucion!AR47=Datos!$C$15,Datos!$D$15,IF(Evalucion!AR47=Datos!$C$16,Datos!$D$16,IF(Evalucion!AR47=Datos!$C$17,Datos!$D$17,IF(Evalucion!AR47=Datos!$C$18,Datos!$D$18,IF(Evalucion!AR47=Datos!$C$19,Datos!$D$19,"=")))))</f>
        <v>1</v>
      </c>
      <c r="AR49">
        <f>IF(Evalucion!AS47=Datos!$C$15,Datos!$D$15,IF(Evalucion!AS47=Datos!$C$16,Datos!$D$16,IF(Evalucion!AS47=Datos!$C$17,Datos!$D$17,IF(Evalucion!AS47=Datos!$C$18,Datos!$D$18,IF(Evalucion!AS47=Datos!$C$19,Datos!$D$19,"=")))))</f>
        <v>1</v>
      </c>
      <c r="AS49">
        <f>IF(Evalucion!AT47=Datos!$C$15,Datos!$D$15,IF(Evalucion!AT47=Datos!$C$16,Datos!$D$16,IF(Evalucion!AT47=Datos!$C$17,Datos!$D$17,IF(Evalucion!AT47=Datos!$C$18,Datos!$D$18,IF(Evalucion!AT47=Datos!$C$19,Datos!$D$19,"=")))))</f>
        <v>5</v>
      </c>
      <c r="AT49">
        <f>IF(Evalucion!AU47=Datos!$C$15,Datos!$D$15,IF(Evalucion!AU47=Datos!$C$16,Datos!$D$16,IF(Evalucion!AU47=Datos!$C$17,Datos!$D$17,IF(Evalucion!AU47=Datos!$C$18,Datos!$D$18,IF(Evalucion!AU47=Datos!$C$19,Datos!$D$19,"=")))))</f>
        <v>3</v>
      </c>
      <c r="AV49">
        <f>IF(Evalucion!AW47=Datos!$C$15,Datos!$D$15,IF(Evalucion!AW47=Datos!$C$16,Datos!$D$16,IF(Evalucion!AW47=Datos!$C$17,Datos!$D$17,IF(Evalucion!AW47=Datos!$C$18,Datos!$D$18,IF(Evalucion!AW47=Datos!$C$19,Datos!$D$19,"=")))))</f>
        <v>5</v>
      </c>
      <c r="AW49">
        <f>IF(Evalucion!AX47=Datos!$C$15,Datos!$D$15,IF(Evalucion!AX47=Datos!$C$16,Datos!$D$16,IF(Evalucion!AX47=Datos!$C$17,Datos!$D$17,IF(Evalucion!AX47=Datos!$C$18,Datos!$D$18,IF(Evalucion!AX47=Datos!$C$19,Datos!$D$19,"=")))))</f>
        <v>3</v>
      </c>
      <c r="AX49">
        <f>IF(Evalucion!AY47=Datos!$C$15,Datos!$D$15,IF(Evalucion!AY47=Datos!$C$16,Datos!$D$16,IF(Evalucion!AY47=Datos!$C$17,Datos!$D$17,IF(Evalucion!AY47=Datos!$C$18,Datos!$D$18,IF(Evalucion!AY47=Datos!$C$19,Datos!$D$19,"=")))))</f>
        <v>5</v>
      </c>
      <c r="AY49">
        <f>IF(Evalucion!AZ47=Datos!$C$15,Datos!$D$15,IF(Evalucion!AZ47=Datos!$C$16,Datos!$D$16,IF(Evalucion!AZ47=Datos!$C$17,Datos!$D$17,IF(Evalucion!AZ47=Datos!$C$18,Datos!$D$18,IF(Evalucion!AZ47=Datos!$C$19,Datos!$D$19,"=")))))</f>
        <v>1</v>
      </c>
      <c r="AZ49">
        <f>IF(Evalucion!BA47=Datos!$C$15,Datos!$D$15,IF(Evalucion!BA47=Datos!$C$16,Datos!$D$16,IF(Evalucion!BA47=Datos!$C$17,Datos!$D$17,IF(Evalucion!BA47=Datos!$C$18,Datos!$D$18,IF(Evalucion!BA47=Datos!$C$19,Datos!$D$19,"=")))))</f>
        <v>5</v>
      </c>
      <c r="BA49">
        <f>IF(Evalucion!BB47=Datos!$C$15,Datos!$D$15,IF(Evalucion!BB47=Datos!$C$16,Datos!$D$16,IF(Evalucion!BB47=Datos!$C$17,Datos!$D$17,IF(Evalucion!BB47=Datos!$C$18,Datos!$D$18,IF(Evalucion!BB47=Datos!$C$19,Datos!$D$19,"=")))))</f>
        <v>5</v>
      </c>
      <c r="BB49">
        <f>IF(Evalucion!BC47=Datos!$C$15,Datos!$D$15,IF(Evalucion!BC47=Datos!$C$16,Datos!$D$16,IF(Evalucion!BC47=Datos!$C$17,Datos!$D$17,IF(Evalucion!BC47=Datos!$C$18,Datos!$D$18,IF(Evalucion!BC47=Datos!$C$19,Datos!$D$19,"=")))))</f>
        <v>5</v>
      </c>
      <c r="BC49">
        <f>IF(Evalucion!BD47=Datos!$C$15,Datos!$D$15,IF(Evalucion!BD47=Datos!$C$16,Datos!$D$16,IF(Evalucion!BD47=Datos!$C$17,Datos!$D$17,IF(Evalucion!BD47=Datos!$C$18,Datos!$D$18,IF(Evalucion!BD47=Datos!$C$19,Datos!$D$19,"=")))))</f>
        <v>1</v>
      </c>
      <c r="BD49">
        <f>IF(Evalucion!BE47=Datos!$C$15,Datos!$D$15,IF(Evalucion!BE47=Datos!$C$16,Datos!$D$16,IF(Evalucion!BE47=Datos!$C$17,Datos!$D$17,IF(Evalucion!BE47=Datos!$C$18,Datos!$D$18,IF(Evalucion!BE47=Datos!$C$19,Datos!$D$19,"=")))))</f>
        <v>5</v>
      </c>
      <c r="BE49">
        <f>IF(Evalucion!BF47=Datos!$C$15,Datos!$D$15,IF(Evalucion!BF47=Datos!$C$16,Datos!$D$16,IF(Evalucion!BF47=Datos!$C$17,Datos!$D$17,IF(Evalucion!BF47=Datos!$C$18,Datos!$D$18,IF(Evalucion!BF47=Datos!$C$19,Datos!$D$19,"=")))))</f>
        <v>1</v>
      </c>
      <c r="BF49">
        <f>IF(Evalucion!BG47=Datos!$C$15,Datos!$D$15,IF(Evalucion!BG47=Datos!$C$16,Datos!$D$16,IF(Evalucion!BG47=Datos!$C$17,Datos!$D$17,IF(Evalucion!BG47=Datos!$C$18,Datos!$D$18,IF(Evalucion!BG47=Datos!$C$19,Datos!$D$19,"=")))))</f>
        <v>5</v>
      </c>
      <c r="BG49">
        <f>IF(Evalucion!BH47=Datos!$C$15,Datos!$D$15,IF(Evalucion!BH47=Datos!$C$16,Datos!$D$16,IF(Evalucion!BH47=Datos!$C$17,Datos!$D$17,IF(Evalucion!BH47=Datos!$C$18,Datos!$D$18,IF(Evalucion!BH47=Datos!$C$19,Datos!$D$19,"=")))))</f>
        <v>5</v>
      </c>
      <c r="BH49">
        <f>IF(Evalucion!BI47=Datos!$C$15,Datos!$D$15,IF(Evalucion!BI47=Datos!$C$16,Datos!$D$16,IF(Evalucion!BI47=Datos!$C$17,Datos!$D$17,IF(Evalucion!BI47=Datos!$C$18,Datos!$D$18,IF(Evalucion!BI47=Datos!$C$19,Datos!$D$19,"=")))))</f>
        <v>5</v>
      </c>
      <c r="BI49">
        <f>IF(Evalucion!BJ47=Datos!$C$15,Datos!$D$15,IF(Evalucion!BJ47=Datos!$C$16,Datos!$D$16,IF(Evalucion!BJ47=Datos!$C$17,Datos!$D$17,IF(Evalucion!BJ47=Datos!$C$18,Datos!$D$18,IF(Evalucion!BJ47=Datos!$C$19,Datos!$D$19,"=")))))</f>
        <v>5</v>
      </c>
      <c r="BJ49">
        <f>IF(Evalucion!BK47=Datos!$C$15,Datos!$D$15,IF(Evalucion!BK47=Datos!$C$16,Datos!$D$16,IF(Evalucion!BK47=Datos!$C$17,Datos!$D$17,IF(Evalucion!BK47=Datos!$C$18,Datos!$D$18,IF(Evalucion!BK47=Datos!$C$19,Datos!$D$19,"=")))))</f>
        <v>1</v>
      </c>
      <c r="BK49">
        <f>IF(Evalucion!BL47=Datos!$C$15,Datos!$D$15,IF(Evalucion!BL47=Datos!$C$16,Datos!$D$16,IF(Evalucion!BL47=Datos!$C$17,Datos!$D$17,IF(Evalucion!BL47=Datos!$C$18,Datos!$D$18,IF(Evalucion!BL47=Datos!$C$19,Datos!$D$19,"=")))))</f>
        <v>1</v>
      </c>
      <c r="BL49">
        <f>IF(Evalucion!BM47=Datos!$C$15,Datos!$D$15,IF(Evalucion!BM47=Datos!$C$16,Datos!$D$16,IF(Evalucion!BM47=Datos!$C$17,Datos!$D$17,IF(Evalucion!BM47=Datos!$C$18,Datos!$D$18,IF(Evalucion!BM47=Datos!$C$19,Datos!$D$19,"=")))))</f>
        <v>1</v>
      </c>
      <c r="BM49">
        <f>IF(Evalucion!BN47=Datos!$C$15,Datos!$D$15,IF(Evalucion!BN47=Datos!$C$16,Datos!$D$16,IF(Evalucion!BN47=Datos!$C$17,Datos!$D$17,IF(Evalucion!BN47=Datos!$C$18,Datos!$D$18,IF(Evalucion!BN47=Datos!$C$19,Datos!$D$19,"=")))))</f>
        <v>1</v>
      </c>
      <c r="BN49">
        <f>IF(Evalucion!BO47=Datos!$C$15,Datos!$D$15,IF(Evalucion!BO47=Datos!$C$16,Datos!$D$16,IF(Evalucion!BO47=Datos!$C$17,Datos!$D$17,IF(Evalucion!BO47=Datos!$C$18,Datos!$D$18,IF(Evalucion!BO47=Datos!$C$19,Datos!$D$19,"=")))))</f>
        <v>5</v>
      </c>
      <c r="BO49">
        <f>IF(Evalucion!BP47=Datos!$C$15,Datos!$D$15,IF(Evalucion!BP47=Datos!$C$16,Datos!$D$16,IF(Evalucion!BP47=Datos!$C$17,Datos!$D$17,IF(Evalucion!BP47=Datos!$C$18,Datos!$D$18,IF(Evalucion!BP47=Datos!$C$19,Datos!$D$19,"=")))))</f>
        <v>1</v>
      </c>
      <c r="BP49">
        <f>IF(Evalucion!BQ47=Datos!$C$15,Datos!$D$15,IF(Evalucion!BQ47=Datos!$C$16,Datos!$D$16,IF(Evalucion!BQ47=Datos!$C$17,Datos!$D$17,IF(Evalucion!BQ47=Datos!$C$18,Datos!$D$18,IF(Evalucion!BQ47=Datos!$C$19,Datos!$D$19,"=")))))</f>
        <v>1</v>
      </c>
      <c r="BQ49">
        <f>IF(Evalucion!BR47=Datos!$C$15,Datos!$D$15,IF(Evalucion!BR47=Datos!$C$16,Datos!$D$16,IF(Evalucion!BR47=Datos!$C$17,Datos!$D$17,IF(Evalucion!BR47=Datos!$C$18,Datos!$D$18,IF(Evalucion!BR47=Datos!$C$19,Datos!$D$19,"=")))))</f>
        <v>1</v>
      </c>
      <c r="BR49">
        <f>IF(Evalucion!BS47=Datos!$C$15,Datos!$D$15,IF(Evalucion!BS47=Datos!$C$16,Datos!$D$16,IF(Evalucion!BS47=Datos!$C$17,Datos!$D$17,IF(Evalucion!BS47=Datos!$C$18,Datos!$D$18,IF(Evalucion!BS47=Datos!$C$19,Datos!$D$19,"=")))))</f>
        <v>1</v>
      </c>
      <c r="BS49">
        <f>IF(Evalucion!BT47=Datos!$C$15,Datos!$D$15,IF(Evalucion!BT47=Datos!$C$16,Datos!$D$16,IF(Evalucion!BT47=Datos!$C$17,Datos!$D$17,IF(Evalucion!BT47=Datos!$C$18,Datos!$D$18,IF(Evalucion!BT47=Datos!$C$19,Datos!$D$19,"=")))))</f>
        <v>1</v>
      </c>
      <c r="BT49">
        <f>IF(Evalucion!BU47=Datos!$C$15,Datos!$D$15,IF(Evalucion!BU47=Datos!$C$16,Datos!$D$16,IF(Evalucion!BU47=Datos!$C$17,Datos!$D$17,IF(Evalucion!BU47=Datos!$C$18,Datos!$D$18,IF(Evalucion!BU47=Datos!$C$19,Datos!$D$19,"=")))))</f>
        <v>5</v>
      </c>
      <c r="BU49">
        <f>IF(Evalucion!BV47=Datos!$C$15,Datos!$D$15,IF(Evalucion!BV47=Datos!$C$16,Datos!$D$16,IF(Evalucion!BV47=Datos!$C$17,Datos!$D$17,IF(Evalucion!BV47=Datos!$C$18,Datos!$D$18,IF(Evalucion!BV47=Datos!$C$19,Datos!$D$19,"=")))))</f>
        <v>3</v>
      </c>
      <c r="BV49">
        <f>IF(Evalucion!BW47=Datos!$C$15,Datos!$D$15,IF(Evalucion!BW47=Datos!$C$16,Datos!$D$16,IF(Evalucion!BW47=Datos!$C$17,Datos!$D$17,IF(Evalucion!BW47=Datos!$C$18,Datos!$D$18,IF(Evalucion!BW47=Datos!$C$19,Datos!$D$19,"=")))))</f>
        <v>5</v>
      </c>
      <c r="BW49">
        <f>IF(Evalucion!BX47=Datos!$C$15,Datos!$D$15,IF(Evalucion!BX47=Datos!$C$16,Datos!$D$16,IF(Evalucion!BX47=Datos!$C$17,Datos!$D$17,IF(Evalucion!BX47=Datos!$C$18,Datos!$D$18,IF(Evalucion!BX47=Datos!$C$19,Datos!$D$19,"=")))))</f>
        <v>3</v>
      </c>
      <c r="BX49">
        <f>IF(Evalucion!BY47=Datos!$C$15,Datos!$D$15,IF(Evalucion!BY47=Datos!$C$16,Datos!$D$16,IF(Evalucion!BY47=Datos!$C$17,Datos!$D$17,IF(Evalucion!BY47=Datos!$C$18,Datos!$D$18,IF(Evalucion!BY47=Datos!$C$19,Datos!$D$19,"=")))))</f>
        <v>1</v>
      </c>
      <c r="BY49">
        <f>IF(Evalucion!BZ47=Datos!$C$15,Datos!$D$15,IF(Evalucion!BZ47=Datos!$C$16,Datos!$D$16,IF(Evalucion!BZ47=Datos!$C$17,Datos!$D$17,IF(Evalucion!BZ47=Datos!$C$18,Datos!$D$18,IF(Evalucion!BZ47=Datos!$C$19,Datos!$D$19,"=")))))</f>
        <v>1</v>
      </c>
      <c r="BZ49">
        <f>IF(Evalucion!CA47=Datos!$C$15,Datos!$D$15,IF(Evalucion!CA47=Datos!$C$16,Datos!$D$16,IF(Evalucion!CA47=Datos!$C$17,Datos!$D$17,IF(Evalucion!CA47=Datos!$C$18,Datos!$D$18,IF(Evalucion!CA47=Datos!$C$19,Datos!$D$19,"=")))))</f>
        <v>1</v>
      </c>
      <c r="CA49">
        <f>IF(Evalucion!CB47=Datos!$C$15,Datos!$D$15,IF(Evalucion!CB47=Datos!$C$16,Datos!$D$16,IF(Evalucion!CB47=Datos!$C$17,Datos!$D$17,IF(Evalucion!CB47=Datos!$C$18,Datos!$D$18,IF(Evalucion!CB47=Datos!$C$19,Datos!$D$19,"=")))))</f>
        <v>1</v>
      </c>
      <c r="CB49">
        <f>IF(Evalucion!CC47=Datos!$C$15,Datos!$D$15,IF(Evalucion!CC47=Datos!$C$16,Datos!$D$16,IF(Evalucion!CC47=Datos!$C$17,Datos!$D$17,IF(Evalucion!CC47=Datos!$C$18,Datos!$D$18,IF(Evalucion!CC47=Datos!$C$19,Datos!$D$19,"=")))))</f>
        <v>5</v>
      </c>
      <c r="CC49">
        <f>IF(Evalucion!CD47=Datos!$C$15,Datos!$D$15,IF(Evalucion!CD47=Datos!$C$16,Datos!$D$16,IF(Evalucion!CD47=Datos!$C$17,Datos!$D$17,IF(Evalucion!CD47=Datos!$C$18,Datos!$D$18,IF(Evalucion!CD47=Datos!$C$19,Datos!$D$19,"=")))))</f>
        <v>3</v>
      </c>
      <c r="CD49">
        <f>IF(Evalucion!CE47=Datos!$C$15,Datos!$D$15,IF(Evalucion!CE47=Datos!$C$16,Datos!$D$16,IF(Evalucion!CE47=Datos!$C$17,Datos!$D$17,IF(Evalucion!CE47=Datos!$C$18,Datos!$D$18,IF(Evalucion!CE47=Datos!$C$19,Datos!$D$19,"=")))))</f>
        <v>5</v>
      </c>
      <c r="CE49">
        <f>IF(Evalucion!CF47=Datos!$C$15,Datos!$D$15,IF(Evalucion!CF47=Datos!$C$16,Datos!$D$16,IF(Evalucion!CF47=Datos!$C$17,Datos!$D$17,IF(Evalucion!CF47=Datos!$C$18,Datos!$D$18,IF(Evalucion!CF47=Datos!$C$19,Datos!$D$19,"=")))))</f>
        <v>3</v>
      </c>
      <c r="CF49">
        <f>IF(Evalucion!CG47=Datos!$C$15,Datos!$D$15,IF(Evalucion!CG47=Datos!$C$16,Datos!$D$16,IF(Evalucion!CG47=Datos!$C$17,Datos!$D$17,IF(Evalucion!CG47=Datos!$C$18,Datos!$D$18,IF(Evalucion!CG47=Datos!$C$19,Datos!$D$19,"=")))))</f>
        <v>1</v>
      </c>
      <c r="CG49">
        <f>IF(Evalucion!CH47=Datos!$C$15,Datos!$D$15,IF(Evalucion!CH47=Datos!$C$16,Datos!$D$16,IF(Evalucion!CH47=Datos!$C$17,Datos!$D$17,IF(Evalucion!CH47=Datos!$C$18,Datos!$D$18,IF(Evalucion!CH47=Datos!$C$19,Datos!$D$19,"=")))))</f>
        <v>1</v>
      </c>
      <c r="CH49">
        <f>IF(Evalucion!CI47=Datos!$C$15,Datos!$D$15,IF(Evalucion!CI47=Datos!$C$16,Datos!$D$16,IF(Evalucion!CI47=Datos!$C$17,Datos!$D$17,IF(Evalucion!CI47=Datos!$C$18,Datos!$D$18,IF(Evalucion!CI47=Datos!$C$19,Datos!$D$19,"=")))))</f>
        <v>5</v>
      </c>
      <c r="CI49">
        <f>IF(Evalucion!CJ47=Datos!$C$15,Datos!$D$15,IF(Evalucion!CJ47=Datos!$C$16,Datos!$D$16,IF(Evalucion!CJ47=Datos!$C$17,Datos!$D$17,IF(Evalucion!CJ47=Datos!$C$18,Datos!$D$18,IF(Evalucion!CJ47=Datos!$C$19,Datos!$D$19,"=")))))</f>
        <v>3</v>
      </c>
      <c r="CJ49">
        <f>IF(Evalucion!CK47=Datos!$C$15,Datos!$D$15,IF(Evalucion!CK47=Datos!$C$16,Datos!$D$16,IF(Evalucion!CK47=Datos!$C$17,Datos!$D$17,IF(Evalucion!CK47=Datos!$C$18,Datos!$D$18,IF(Evalucion!CK47=Datos!$C$19,Datos!$D$19,"=")))))</f>
        <v>5</v>
      </c>
      <c r="CK49">
        <f>IF(Evalucion!CL47=Datos!$C$15,Datos!$D$15,IF(Evalucion!CL47=Datos!$C$16,Datos!$D$16,IF(Evalucion!CL47=Datos!$C$17,Datos!$D$17,IF(Evalucion!CL47=Datos!$C$18,Datos!$D$18,IF(Evalucion!CL47=Datos!$C$19,Datos!$D$19,"=")))))</f>
        <v>1</v>
      </c>
      <c r="CL49">
        <f>IF(Evalucion!CM47=Datos!$C$15,Datos!$D$15,IF(Evalucion!CM47=Datos!$C$16,Datos!$D$16,IF(Evalucion!CM47=Datos!$C$17,Datos!$D$17,IF(Evalucion!CM47=Datos!$C$18,Datos!$D$18,IF(Evalucion!CM47=Datos!$C$19,Datos!$D$19,"=")))))</f>
        <v>5</v>
      </c>
      <c r="CM49">
        <f>IF(Evalucion!CN47=Datos!$C$15,Datos!$D$15,IF(Evalucion!CN47=Datos!$C$16,Datos!$D$16,IF(Evalucion!CN47=Datos!$C$17,Datos!$D$17,IF(Evalucion!CN47=Datos!$C$18,Datos!$D$18,IF(Evalucion!CN47=Datos!$C$19,Datos!$D$19,"=")))))</f>
        <v>3</v>
      </c>
      <c r="CN49">
        <f>IF(Evalucion!CO47=Datos!$C$15,Datos!$D$15,IF(Evalucion!CO47=Datos!$C$16,Datos!$D$16,IF(Evalucion!CO47=Datos!$C$17,Datos!$D$17,IF(Evalucion!CO47=Datos!$C$18,Datos!$D$18,IF(Evalucion!CO47=Datos!$C$19,Datos!$D$19,"=")))))</f>
        <v>5</v>
      </c>
      <c r="CO49">
        <f>IF(Evalucion!CP47=Datos!$C$15,Datos!$D$15,IF(Evalucion!CP47=Datos!$C$16,Datos!$D$16,IF(Evalucion!CP47=Datos!$C$17,Datos!$D$17,IF(Evalucion!CP47=Datos!$C$18,Datos!$D$18,IF(Evalucion!CP47=Datos!$C$19,Datos!$D$19,"=")))))</f>
        <v>5</v>
      </c>
      <c r="CP49">
        <f>IF(Evalucion!CQ47=Datos!$C$15,Datos!$D$15,IF(Evalucion!CQ47=Datos!$C$16,Datos!$D$16,IF(Evalucion!CQ47=Datos!$C$17,Datos!$D$17,IF(Evalucion!CQ47=Datos!$C$18,Datos!$D$18,IF(Evalucion!CQ47=Datos!$C$19,Datos!$D$19,"=")))))</f>
        <v>1</v>
      </c>
      <c r="CQ49">
        <f>IF(Evalucion!CR47=Datos!$C$15,Datos!$D$15,IF(Evalucion!CR47=Datos!$C$16,Datos!$D$16,IF(Evalucion!CR47=Datos!$C$17,Datos!$D$17,IF(Evalucion!CR47=Datos!$C$18,Datos!$D$18,IF(Evalucion!CR47=Datos!$C$19,Datos!$D$19,"=")))))</f>
        <v>1</v>
      </c>
      <c r="CR49">
        <f>IF(Evalucion!CS47=Datos!$C$15,Datos!$D$15,IF(Evalucion!CS47=Datos!$C$16,Datos!$D$16,IF(Evalucion!CS47=Datos!$C$17,Datos!$D$17,IF(Evalucion!CS47=Datos!$C$18,Datos!$D$18,IF(Evalucion!CS47=Datos!$C$19,Datos!$D$19,"=")))))</f>
        <v>5</v>
      </c>
      <c r="CS49">
        <f>IF(Evalucion!CT47=Datos!$C$15,Datos!$D$15,IF(Evalucion!CT47=Datos!$C$16,Datos!$D$16,IF(Evalucion!CT47=Datos!$C$17,Datos!$D$17,IF(Evalucion!CT47=Datos!$C$18,Datos!$D$18,IF(Evalucion!CT47=Datos!$C$19,Datos!$D$19,"=")))))</f>
        <v>3</v>
      </c>
      <c r="CT49">
        <f>IF(Evalucion!CU47=Datos!$C$15,Datos!$D$15,IF(Evalucion!CU47=Datos!$C$16,Datos!$D$16,IF(Evalucion!CU47=Datos!$C$17,Datos!$D$17,IF(Evalucion!CU47=Datos!$C$18,Datos!$D$18,IF(Evalucion!CU47=Datos!$C$19,Datos!$D$19,"=")))))</f>
        <v>1</v>
      </c>
      <c r="CU49">
        <f>IF(Evalucion!CV47=Datos!$C$15,Datos!$D$15,IF(Evalucion!CV47=Datos!$C$16,Datos!$D$16,IF(Evalucion!CV47=Datos!$C$17,Datos!$D$17,IF(Evalucion!CV47=Datos!$C$18,Datos!$D$18,IF(Evalucion!CV47=Datos!$C$19,Datos!$D$19,"=")))))</f>
        <v>1</v>
      </c>
      <c r="CV49">
        <f>IF(Evalucion!CW47=Datos!$C$15,Datos!$D$15,IF(Evalucion!CW47=Datos!$C$16,Datos!$D$16,IF(Evalucion!CW47=Datos!$C$17,Datos!$D$17,IF(Evalucion!CW47=Datos!$C$18,Datos!$D$18,IF(Evalucion!CW47=Datos!$C$19,Datos!$D$19,"=")))))</f>
        <v>5</v>
      </c>
      <c r="CW49">
        <f>IF(Evalucion!CX47=Datos!$C$15,Datos!$D$15,IF(Evalucion!CX47=Datos!$C$16,Datos!$D$16,IF(Evalucion!CX47=Datos!$C$17,Datos!$D$17,IF(Evalucion!CX47=Datos!$C$18,Datos!$D$18,IF(Evalucion!CX47=Datos!$C$19,Datos!$D$19,"=")))))</f>
        <v>3</v>
      </c>
      <c r="CX49">
        <f>IF(Evalucion!CY47=Datos!$C$15,Datos!$D$15,IF(Evalucion!CY47=Datos!$C$16,Datos!$D$16,IF(Evalucion!CY47=Datos!$C$17,Datos!$D$17,IF(Evalucion!CY47=Datos!$C$18,Datos!$D$18,IF(Evalucion!CY47=Datos!$C$19,Datos!$D$19,"=")))))</f>
        <v>1</v>
      </c>
      <c r="CY49">
        <f>IF(Evalucion!CZ47=Datos!$C$15,Datos!$D$15,IF(Evalucion!CZ47=Datos!$C$16,Datos!$D$16,IF(Evalucion!CZ47=Datos!$C$17,Datos!$D$17,IF(Evalucion!CZ47=Datos!$C$18,Datos!$D$18,IF(Evalucion!CZ47=Datos!$C$19,Datos!$D$19,"=")))))</f>
        <v>1</v>
      </c>
      <c r="CZ49">
        <f>IF(Evalucion!DA47=Datos!$C$15,Datos!$D$15,IF(Evalucion!DA47=Datos!$C$16,Datos!$D$16,IF(Evalucion!DA47=Datos!$C$17,Datos!$D$17,IF(Evalucion!DA47=Datos!$C$18,Datos!$D$18,IF(Evalucion!DA47=Datos!$C$19,Datos!$D$19,"=")))))</f>
        <v>1</v>
      </c>
      <c r="DA49">
        <f>IF(Evalucion!DB47=Datos!$C$15,Datos!$D$15,IF(Evalucion!DB47=Datos!$C$16,Datos!$D$16,IF(Evalucion!DB47=Datos!$C$17,Datos!$D$17,IF(Evalucion!DB47=Datos!$C$18,Datos!$D$18,IF(Evalucion!DB47=Datos!$C$19,Datos!$D$19,"=")))))</f>
        <v>1</v>
      </c>
      <c r="DB49">
        <f>IF(Evalucion!DC47=Datos!$C$15,Datos!$D$15,IF(Evalucion!DC47=Datos!$C$16,Datos!$D$16,IF(Evalucion!DC47=Datos!$C$17,Datos!$D$17,IF(Evalucion!DC47=Datos!$C$18,Datos!$D$18,IF(Evalucion!DC47=Datos!$C$19,Datos!$D$19,"=")))))</f>
        <v>5</v>
      </c>
      <c r="DC49">
        <f>IF(Evalucion!DD47=Datos!$C$15,Datos!$D$15,IF(Evalucion!DD47=Datos!$C$16,Datos!$D$16,IF(Evalucion!DD47=Datos!$C$17,Datos!$D$17,IF(Evalucion!DD47=Datos!$C$18,Datos!$D$18,IF(Evalucion!DD47=Datos!$C$19,Datos!$D$19,"=")))))</f>
        <v>1</v>
      </c>
      <c r="DD49">
        <f>IF(Evalucion!DE47=Datos!$C$15,Datos!$D$15,IF(Evalucion!DE47=Datos!$C$16,Datos!$D$16,IF(Evalucion!DE47=Datos!$C$17,Datos!$D$17,IF(Evalucion!DE47=Datos!$C$18,Datos!$D$18,IF(Evalucion!DE47=Datos!$C$19,Datos!$D$19,"=")))))</f>
        <v>1</v>
      </c>
      <c r="DE49">
        <f>IF(Evalucion!DF47=Datos!$C$15,Datos!$D$15,IF(Evalucion!DF47=Datos!$C$16,Datos!$D$16,IF(Evalucion!DF47=Datos!$C$17,Datos!$D$17,IF(Evalucion!DF47=Datos!$C$18,Datos!$D$18,IF(Evalucion!DF47=Datos!$C$19,Datos!$D$19,"=")))))</f>
        <v>1</v>
      </c>
      <c r="DF49">
        <f>IF(Evalucion!DG47=Datos!$C$15,Datos!$D$15,IF(Evalucion!DG47=Datos!$C$16,Datos!$D$16,IF(Evalucion!DG47=Datos!$C$17,Datos!$D$17,IF(Evalucion!DG47=Datos!$C$18,Datos!$D$18,IF(Evalucion!DG47=Datos!$C$19,Datos!$D$19,"=")))))</f>
        <v>5</v>
      </c>
      <c r="DG49">
        <f>IF(Evalucion!DH47=Datos!$C$15,Datos!$D$15,IF(Evalucion!DH47=Datos!$C$16,Datos!$D$16,IF(Evalucion!DH47=Datos!$C$17,Datos!$D$17,IF(Evalucion!DH47=Datos!$C$18,Datos!$D$18,IF(Evalucion!DH47=Datos!$C$19,Datos!$D$19,"=")))))</f>
        <v>3</v>
      </c>
      <c r="DH49">
        <f>IF(Evalucion!DI47=Datos!$C$15,Datos!$D$15,IF(Evalucion!DI47=Datos!$C$16,Datos!$D$16,IF(Evalucion!DI47=Datos!$C$17,Datos!$D$17,IF(Evalucion!DI47=Datos!$C$18,Datos!$D$18,IF(Evalucion!DI47=Datos!$C$19,Datos!$D$19,"=")))))</f>
        <v>1</v>
      </c>
      <c r="DI49">
        <f>IF(Evalucion!DJ47=Datos!$C$15,Datos!$D$15,IF(Evalucion!DJ47=Datos!$C$16,Datos!$D$16,IF(Evalucion!DJ47=Datos!$C$17,Datos!$D$17,IF(Evalucion!DJ47=Datos!$C$18,Datos!$D$18,IF(Evalucion!DJ47=Datos!$C$19,Datos!$D$19,"=")))))</f>
        <v>1</v>
      </c>
      <c r="DJ49">
        <f>IF(Evalucion!DK47=Datos!$C$15,Datos!$D$15,IF(Evalucion!DK47=Datos!$C$16,Datos!$D$16,IF(Evalucion!DK47=Datos!$C$17,Datos!$D$17,IF(Evalucion!DK47=Datos!$C$18,Datos!$D$18,IF(Evalucion!DK47=Datos!$C$19,Datos!$D$19,"=")))))</f>
        <v>1</v>
      </c>
      <c r="DK49">
        <f>IF(Evalucion!DL47=Datos!$C$15,Datos!$D$15,IF(Evalucion!DL47=Datos!$C$16,Datos!$D$16,IF(Evalucion!DL47=Datos!$C$17,Datos!$D$17,IF(Evalucion!DL47=Datos!$C$18,Datos!$D$18,IF(Evalucion!DL47=Datos!$C$19,Datos!$D$19,"=")))))</f>
        <v>1</v>
      </c>
      <c r="DL49">
        <f>IF(Evalucion!DM47=Datos!$C$15,Datos!$D$15,IF(Evalucion!DM47=Datos!$C$16,Datos!$D$16,IF(Evalucion!DM47=Datos!$C$17,Datos!$D$17,IF(Evalucion!DM47=Datos!$C$18,Datos!$D$18,IF(Evalucion!DM47=Datos!$C$19,Datos!$D$19,"=")))))</f>
        <v>1</v>
      </c>
      <c r="DM49">
        <f>IF(Evalucion!DN47=Datos!$C$15,Datos!$D$15,IF(Evalucion!DN47=Datos!$C$16,Datos!$D$16,IF(Evalucion!DN47=Datos!$C$17,Datos!$D$17,IF(Evalucion!DN47=Datos!$C$18,Datos!$D$18,IF(Evalucion!DN47=Datos!$C$19,Datos!$D$19,"=")))))</f>
        <v>1</v>
      </c>
      <c r="DN49">
        <f>IF(Evalucion!DO47=Datos!$C$15,Datos!$D$15,IF(Evalucion!DO47=Datos!$C$16,Datos!$D$16,IF(Evalucion!DO47=Datos!$C$17,Datos!$D$17,IF(Evalucion!DO47=Datos!$C$18,Datos!$D$18,IF(Evalucion!DO47=Datos!$C$19,Datos!$D$19,"=")))))</f>
        <v>5</v>
      </c>
      <c r="DO49">
        <f>IF(Evalucion!DP47=Datos!$C$15,Datos!$D$15,IF(Evalucion!DP47=Datos!$C$16,Datos!$D$16,IF(Evalucion!DP47=Datos!$C$17,Datos!$D$17,IF(Evalucion!DP47=Datos!$C$18,Datos!$D$18,IF(Evalucion!DP47=Datos!$C$19,Datos!$D$19,"=")))))</f>
        <v>1</v>
      </c>
      <c r="DP49">
        <f>IF(Evalucion!DQ47=Datos!$C$15,Datos!$D$15,IF(Evalucion!DQ47=Datos!$C$16,Datos!$D$16,IF(Evalucion!DQ47=Datos!$C$17,Datos!$D$17,IF(Evalucion!DQ47=Datos!$C$18,Datos!$D$18,IF(Evalucion!DQ47=Datos!$C$19,Datos!$D$19,"=")))))</f>
        <v>5</v>
      </c>
      <c r="DQ49">
        <f>IF(Evalucion!DR47=Datos!$C$15,Datos!$D$15,IF(Evalucion!DR47=Datos!$C$16,Datos!$D$16,IF(Evalucion!DR47=Datos!$C$17,Datos!$D$17,IF(Evalucion!DR47=Datos!$C$18,Datos!$D$18,IF(Evalucion!DR47=Datos!$C$19,Datos!$D$19,"=")))))</f>
        <v>1</v>
      </c>
      <c r="DR49">
        <f>IF(Evalucion!DS47=Datos!$C$15,Datos!$D$15,IF(Evalucion!DS47=Datos!$C$16,Datos!$D$16,IF(Evalucion!DS47=Datos!$C$17,Datos!$D$17,IF(Evalucion!DS47=Datos!$C$18,Datos!$D$18,IF(Evalucion!DS47=Datos!$C$19,Datos!$D$19,"=")))))</f>
        <v>1</v>
      </c>
      <c r="DS49">
        <f>IF(Evalucion!DT47=Datos!$C$15,Datos!$D$15,IF(Evalucion!DT47=Datos!$C$16,Datos!$D$16,IF(Evalucion!DT47=Datos!$C$17,Datos!$D$17,IF(Evalucion!DT47=Datos!$C$18,Datos!$D$18,IF(Evalucion!DT47=Datos!$C$19,Datos!$D$19,"=")))))</f>
        <v>1</v>
      </c>
      <c r="DT49">
        <f>IF(Evalucion!DU47=Datos!$C$15,Datos!$D$15,IF(Evalucion!DU47=Datos!$C$16,Datos!$D$16,IF(Evalucion!DU47=Datos!$C$17,Datos!$D$17,IF(Evalucion!DU47=Datos!$C$18,Datos!$D$18,IF(Evalucion!DU47=Datos!$C$19,Datos!$D$19,"=")))))</f>
        <v>5</v>
      </c>
      <c r="DU49">
        <f>IF(Evalucion!DV47=Datos!$C$15,Datos!$D$15,IF(Evalucion!DV47=Datos!$C$16,Datos!$D$16,IF(Evalucion!DV47=Datos!$C$17,Datos!$D$17,IF(Evalucion!DV47=Datos!$C$18,Datos!$D$18,IF(Evalucion!DV47=Datos!$C$19,Datos!$D$19,"=")))))</f>
        <v>1</v>
      </c>
      <c r="DV49">
        <f>IF(Evalucion!DW47=Datos!$C$15,Datos!$D$15,IF(Evalucion!DW47=Datos!$C$16,Datos!$D$16,IF(Evalucion!DW47=Datos!$C$17,Datos!$D$17,IF(Evalucion!DW47=Datos!$C$18,Datos!$D$18,IF(Evalucion!DW47=Datos!$C$19,Datos!$D$19,"=")))))</f>
        <v>1</v>
      </c>
      <c r="DW49">
        <f>IF(Evalucion!DX47=Datos!$C$15,Datos!$D$15,IF(Evalucion!DX47=Datos!$C$16,Datos!$D$16,IF(Evalucion!DX47=Datos!$C$17,Datos!$D$17,IF(Evalucion!DX47=Datos!$C$18,Datos!$D$18,IF(Evalucion!DX47=Datos!$C$19,Datos!$D$19,"=")))))</f>
        <v>1</v>
      </c>
      <c r="DX49">
        <f>IF(Evalucion!DY47=Datos!$C$15,Datos!$D$15,IF(Evalucion!DY47=Datos!$C$16,Datos!$D$16,IF(Evalucion!DY47=Datos!$C$17,Datos!$D$17,IF(Evalucion!DY47=Datos!$C$18,Datos!$D$18,IF(Evalucion!DY47=Datos!$C$19,Datos!$D$19,"=")))))</f>
        <v>1</v>
      </c>
      <c r="DY49">
        <f>IF(Evalucion!DZ47=Datos!$C$15,Datos!$D$15,IF(Evalucion!DZ47=Datos!$C$16,Datos!$D$16,IF(Evalucion!DZ47=Datos!$C$17,Datos!$D$17,IF(Evalucion!DZ47=Datos!$C$18,Datos!$D$18,IF(Evalucion!DZ47=Datos!$C$19,Datos!$D$19,"=")))))</f>
        <v>1</v>
      </c>
      <c r="DZ49">
        <f>IF(Evalucion!EA47=Datos!$C$15,Datos!$D$15,IF(Evalucion!EA47=Datos!$C$16,Datos!$D$16,IF(Evalucion!EA47=Datos!$C$17,Datos!$D$17,IF(Evalucion!EA47=Datos!$C$18,Datos!$D$18,IF(Evalucion!EA47=Datos!$C$19,Datos!$D$19,"=")))))</f>
        <v>5</v>
      </c>
      <c r="EA49">
        <f>IF(Evalucion!EB47=Datos!$C$15,Datos!$D$15,IF(Evalucion!EB47=Datos!$C$16,Datos!$D$16,IF(Evalucion!EB47=Datos!$C$17,Datos!$D$17,IF(Evalucion!EB47=Datos!$C$18,Datos!$D$18,IF(Evalucion!EB47=Datos!$C$19,Datos!$D$19,"=")))))</f>
        <v>1</v>
      </c>
      <c r="EB49">
        <f>IF(Evalucion!EC47=Datos!$C$15,Datos!$D$15,IF(Evalucion!EC47=Datos!$C$16,Datos!$D$16,IF(Evalucion!EC47=Datos!$C$17,Datos!$D$17,IF(Evalucion!EC47=Datos!$C$18,Datos!$D$18,IF(Evalucion!EC47=Datos!$C$19,Datos!$D$19,"=")))))</f>
        <v>1</v>
      </c>
      <c r="EC49">
        <f>IF(Evalucion!ED47=Datos!$C$15,Datos!$D$15,IF(Evalucion!ED47=Datos!$C$16,Datos!$D$16,IF(Evalucion!ED47=Datos!$C$17,Datos!$D$17,IF(Evalucion!ED47=Datos!$C$18,Datos!$D$18,IF(Evalucion!ED47=Datos!$C$19,Datos!$D$19,"=")))))</f>
        <v>1</v>
      </c>
      <c r="ED49">
        <f>IF(Evalucion!EE47=Datos!$C$15,Datos!$D$15,IF(Evalucion!EE47=Datos!$C$16,Datos!$D$16,IF(Evalucion!EE47=Datos!$C$17,Datos!$D$17,IF(Evalucion!EE47=Datos!$C$18,Datos!$D$18,IF(Evalucion!EE47=Datos!$C$19,Datos!$D$19,"=")))))</f>
        <v>5</v>
      </c>
      <c r="EE49">
        <f>IF(Evalucion!EF47=Datos!$C$15,Datos!$D$15,IF(Evalucion!EF47=Datos!$C$16,Datos!$D$16,IF(Evalucion!EF47=Datos!$C$17,Datos!$D$17,IF(Evalucion!EF47=Datos!$C$18,Datos!$D$18,IF(Evalucion!EF47=Datos!$C$19,Datos!$D$19,"=")))))</f>
        <v>1</v>
      </c>
      <c r="EF49">
        <f>IF(Evalucion!EG47=Datos!$C$15,Datos!$D$15,IF(Evalucion!EG47=Datos!$C$16,Datos!$D$16,IF(Evalucion!EG47=Datos!$C$17,Datos!$D$17,IF(Evalucion!EG47=Datos!$C$18,Datos!$D$18,IF(Evalucion!EG47=Datos!$C$19,Datos!$D$19,"=")))))</f>
        <v>5</v>
      </c>
      <c r="EG49">
        <f>IF(Evalucion!EH47=Datos!$C$15,Datos!$D$15,IF(Evalucion!EH47=Datos!$C$16,Datos!$D$16,IF(Evalucion!EH47=Datos!$C$17,Datos!$D$17,IF(Evalucion!EH47=Datos!$C$18,Datos!$D$18,IF(Evalucion!EH47=Datos!$C$19,Datos!$D$19,"=")))))</f>
        <v>3</v>
      </c>
      <c r="EH49">
        <f>IF(Evalucion!EI47=Datos!$C$15,Datos!$D$15,IF(Evalucion!EI47=Datos!$C$16,Datos!$D$16,IF(Evalucion!EI47=Datos!$C$17,Datos!$D$17,IF(Evalucion!EI47=Datos!$C$18,Datos!$D$18,IF(Evalucion!EI47=Datos!$C$19,Datos!$D$19,"=")))))</f>
        <v>1</v>
      </c>
      <c r="EI49">
        <f>IF(Evalucion!EJ47=Datos!$C$15,Datos!$D$15,IF(Evalucion!EJ47=Datos!$C$16,Datos!$D$16,IF(Evalucion!EJ47=Datos!$C$17,Datos!$D$17,IF(Evalucion!EJ47=Datos!$C$18,Datos!$D$18,IF(Evalucion!EJ47=Datos!$C$19,Datos!$D$19,"=")))))</f>
        <v>1</v>
      </c>
      <c r="EJ49">
        <f>IF(Evalucion!EK47=Datos!$C$15,Datos!$D$15,IF(Evalucion!EK47=Datos!$C$16,Datos!$D$16,IF(Evalucion!EK47=Datos!$C$17,Datos!$D$17,IF(Evalucion!EK47=Datos!$C$18,Datos!$D$18,IF(Evalucion!EK47=Datos!$C$19,Datos!$D$19,"=")))))</f>
        <v>5</v>
      </c>
      <c r="EK49">
        <f>IF(Evalucion!EL47=Datos!$C$15,Datos!$D$15,IF(Evalucion!EL47=Datos!$C$16,Datos!$D$16,IF(Evalucion!EL47=Datos!$C$17,Datos!$D$17,IF(Evalucion!EL47=Datos!$C$18,Datos!$D$18,IF(Evalucion!EL47=Datos!$C$19,Datos!$D$19,"=")))))</f>
        <v>3</v>
      </c>
      <c r="EL49">
        <f>IF(Evalucion!EM47=Datos!$C$15,Datos!$D$15,IF(Evalucion!EM47=Datos!$C$16,Datos!$D$16,IF(Evalucion!EM47=Datos!$C$17,Datos!$D$17,IF(Evalucion!EM47=Datos!$C$18,Datos!$D$18,IF(Evalucion!EM47=Datos!$C$19,Datos!$D$19,"=")))))</f>
        <v>5</v>
      </c>
      <c r="EM49">
        <f>IF(Evalucion!EN47=Datos!$C$15,Datos!$D$15,IF(Evalucion!EN47=Datos!$C$16,Datos!$D$16,IF(Evalucion!EN47=Datos!$C$17,Datos!$D$17,IF(Evalucion!EN47=Datos!$C$18,Datos!$D$18,IF(Evalucion!EN47=Datos!$C$19,Datos!$D$19,"=")))))</f>
        <v>3</v>
      </c>
      <c r="EN49">
        <f>IF(Evalucion!EO47=Datos!$C$15,Datos!$D$15,IF(Evalucion!EO47=Datos!$C$16,Datos!$D$16,IF(Evalucion!EO47=Datos!$C$17,Datos!$D$17,IF(Evalucion!EO47=Datos!$C$18,Datos!$D$18,IF(Evalucion!EO47=Datos!$C$19,Datos!$D$19,"=")))))</f>
        <v>1</v>
      </c>
      <c r="EO49">
        <f>IF(Evalucion!EP47=Datos!$C$15,Datos!$D$15,IF(Evalucion!EP47=Datos!$C$16,Datos!$D$16,IF(Evalucion!EP47=Datos!$C$17,Datos!$D$17,IF(Evalucion!EP47=Datos!$C$18,Datos!$D$18,IF(Evalucion!EP47=Datos!$C$19,Datos!$D$19,"=")))))</f>
        <v>1</v>
      </c>
      <c r="EP49">
        <f>IF(Evalucion!EQ47=Datos!$C$15,Datos!$D$15,IF(Evalucion!EQ47=Datos!$C$16,Datos!$D$16,IF(Evalucion!EQ47=Datos!$C$17,Datos!$D$17,IF(Evalucion!EQ47=Datos!$C$18,Datos!$D$18,IF(Evalucion!EQ47=Datos!$C$19,Datos!$D$19,"=")))))</f>
        <v>1</v>
      </c>
      <c r="EQ49">
        <f>IF(Evalucion!ER47=Datos!$C$15,Datos!$D$15,IF(Evalucion!ER47=Datos!$C$16,Datos!$D$16,IF(Evalucion!ER47=Datos!$C$17,Datos!$D$17,IF(Evalucion!ER47=Datos!$C$18,Datos!$D$18,IF(Evalucion!ER47=Datos!$C$19,Datos!$D$19,"=")))))</f>
        <v>1</v>
      </c>
      <c r="ER49">
        <f>IF(Evalucion!ES47=Datos!$C$15,Datos!$D$15,IF(Evalucion!ES47=Datos!$C$16,Datos!$D$16,IF(Evalucion!ES47=Datos!$C$17,Datos!$D$17,IF(Evalucion!ES47=Datos!$C$18,Datos!$D$18,IF(Evalucion!ES47=Datos!$C$19,Datos!$D$19,"=")))))</f>
        <v>5</v>
      </c>
      <c r="ES49">
        <f>IF(Evalucion!ET47=Datos!$C$15,Datos!$D$15,IF(Evalucion!ET47=Datos!$C$16,Datos!$D$16,IF(Evalucion!ET47=Datos!$C$17,Datos!$D$17,IF(Evalucion!ET47=Datos!$C$18,Datos!$D$18,IF(Evalucion!ET47=Datos!$C$19,Datos!$D$19,"=")))))</f>
        <v>1</v>
      </c>
      <c r="ET49">
        <f>IF(Evalucion!EU47=Datos!$C$15,Datos!$D$15,IF(Evalucion!EU47=Datos!$C$16,Datos!$D$16,IF(Evalucion!EU47=Datos!$C$17,Datos!$D$17,IF(Evalucion!EU47=Datos!$C$18,Datos!$D$18,IF(Evalucion!EU47=Datos!$C$19,Datos!$D$19,"=")))))</f>
        <v>5</v>
      </c>
      <c r="EU49">
        <f>IF(Evalucion!EV47=Datos!$C$15,Datos!$D$15,IF(Evalucion!EV47=Datos!$C$16,Datos!$D$16,IF(Evalucion!EV47=Datos!$C$17,Datos!$D$17,IF(Evalucion!EV47=Datos!$C$18,Datos!$D$18,IF(Evalucion!EV47=Datos!$C$19,Datos!$D$19,"=")))))</f>
        <v>1</v>
      </c>
      <c r="EV49">
        <f>IF(Evalucion!EW47=Datos!$C$15,Datos!$D$15,IF(Evalucion!EW47=Datos!$C$16,Datos!$D$16,IF(Evalucion!EW47=Datos!$C$17,Datos!$D$17,IF(Evalucion!EW47=Datos!$C$18,Datos!$D$18,IF(Evalucion!EW47=Datos!$C$19,Datos!$D$19,"=")))))</f>
        <v>5</v>
      </c>
      <c r="EW49">
        <f>IF(Evalucion!EX47=Datos!$C$15,Datos!$D$15,IF(Evalucion!EX47=Datos!$C$16,Datos!$D$16,IF(Evalucion!EX47=Datos!$C$17,Datos!$D$17,IF(Evalucion!EX47=Datos!$C$18,Datos!$D$18,IF(Evalucion!EX47=Datos!$C$19,Datos!$D$19,"=")))))</f>
        <v>5</v>
      </c>
      <c r="EX49">
        <f>IF(Evalucion!EY47=Datos!$C$15,Datos!$D$15,IF(Evalucion!EY47=Datos!$C$16,Datos!$D$16,IF(Evalucion!EY47=Datos!$C$17,Datos!$D$17,IF(Evalucion!EY47=Datos!$C$18,Datos!$D$18,IF(Evalucion!EY47=Datos!$C$19,Datos!$D$19,"=")))))</f>
        <v>5</v>
      </c>
      <c r="EY49">
        <f>IF(Evalucion!EZ47=Datos!$C$15,Datos!$D$15,IF(Evalucion!EZ47=Datos!$C$16,Datos!$D$16,IF(Evalucion!EZ47=Datos!$C$17,Datos!$D$17,IF(Evalucion!EZ47=Datos!$C$18,Datos!$D$18,IF(Evalucion!EZ47=Datos!$C$19,Datos!$D$19,"=")))))</f>
        <v>3</v>
      </c>
      <c r="FA49">
        <f t="shared" si="8"/>
        <v>239</v>
      </c>
      <c r="FB49">
        <f t="shared" si="8"/>
        <v>151</v>
      </c>
      <c r="FC49" s="3">
        <f t="shared" si="4"/>
        <v>0.40266666666666667</v>
      </c>
      <c r="FD49" t="str">
        <f t="shared" si="9"/>
        <v>NO_Conf</v>
      </c>
      <c r="FF49">
        <f t="shared" si="5"/>
        <v>390</v>
      </c>
      <c r="FG49">
        <f t="shared" si="6"/>
        <v>0</v>
      </c>
    </row>
    <row r="50" spans="1:163" x14ac:dyDescent="0.2">
      <c r="A50">
        <f t="shared" si="7"/>
        <v>47</v>
      </c>
      <c r="B50" t="s">
        <v>291</v>
      </c>
      <c r="C50" t="s">
        <v>195</v>
      </c>
      <c r="D50" s="6">
        <v>43137</v>
      </c>
      <c r="E50">
        <f>IF(Evalucion!F48=Datos!$C$15,Datos!$D$15,IF(Evalucion!F48=Datos!$C$16,Datos!$D$16,IF(Evalucion!F48=Datos!$C$17,Datos!$D$17,IF(Evalucion!F48=Datos!$C$18,Datos!$D$18,IF(Evalucion!F48=Datos!$C$19,Datos!$D$19,"=")))))</f>
        <v>5</v>
      </c>
      <c r="F50">
        <f>IF(Evalucion!G48=Datos!$C$15,Datos!$D$15,IF(Evalucion!G48=Datos!$C$16,Datos!$D$16,IF(Evalucion!G48=Datos!$C$17,Datos!$D$17,IF(Evalucion!G48=Datos!$C$18,Datos!$D$18,IF(Evalucion!G48=Datos!$C$19,Datos!$D$19,"=")))))</f>
        <v>5</v>
      </c>
      <c r="G50">
        <f>IF(Evalucion!H48=Datos!$C$15,Datos!$D$15,IF(Evalucion!H48=Datos!$C$16,Datos!$D$16,IF(Evalucion!H48=Datos!$C$17,Datos!$D$17,IF(Evalucion!H48=Datos!$C$18,Datos!$D$18,IF(Evalucion!H48=Datos!$C$19,Datos!$D$19,"=")))))</f>
        <v>5</v>
      </c>
      <c r="H50">
        <f>IF(Evalucion!I48=Datos!$C$15,Datos!$D$15,IF(Evalucion!I48=Datos!$C$16,Datos!$D$16,IF(Evalucion!I48=Datos!$C$17,Datos!$D$17,IF(Evalucion!I48=Datos!$C$18,Datos!$D$18,IF(Evalucion!I48=Datos!$C$19,Datos!$D$19,"=")))))</f>
        <v>5</v>
      </c>
      <c r="I50">
        <f>IF(Evalucion!J48=Datos!$C$15,Datos!$D$15,IF(Evalucion!J48=Datos!$C$16,Datos!$D$16,IF(Evalucion!J48=Datos!$C$17,Datos!$D$17,IF(Evalucion!J48=Datos!$C$18,Datos!$D$18,IF(Evalucion!J48=Datos!$C$19,Datos!$D$19,"=")))))</f>
        <v>5</v>
      </c>
      <c r="J50">
        <f>IF(Evalucion!K48=Datos!$C$15,Datos!$D$15,IF(Evalucion!K48=Datos!$C$16,Datos!$D$16,IF(Evalucion!K48=Datos!$C$17,Datos!$D$17,IF(Evalucion!K48=Datos!$C$18,Datos!$D$18,IF(Evalucion!K48=Datos!$C$19,Datos!$D$19,"=")))))</f>
        <v>3</v>
      </c>
      <c r="K50">
        <f>IF(Evalucion!L48=Datos!$C$15,Datos!$D$15,IF(Evalucion!L48=Datos!$C$16,Datos!$D$16,IF(Evalucion!L48=Datos!$C$17,Datos!$D$17,IF(Evalucion!L48=Datos!$C$18,Datos!$D$18,IF(Evalucion!L48=Datos!$C$19,Datos!$D$19,"=")))))</f>
        <v>5</v>
      </c>
      <c r="L50">
        <f>IF(Evalucion!M48=Datos!$C$15,Datos!$D$15,IF(Evalucion!M48=Datos!$C$16,Datos!$D$16,IF(Evalucion!M48=Datos!$C$17,Datos!$D$17,IF(Evalucion!M48=Datos!$C$18,Datos!$D$18,IF(Evalucion!M48=Datos!$C$19,Datos!$D$19,"=")))))</f>
        <v>3</v>
      </c>
      <c r="M50">
        <f>IF(Evalucion!N48=Datos!$C$15,Datos!$D$15,IF(Evalucion!N48=Datos!$C$16,Datos!$D$16,IF(Evalucion!N48=Datos!$C$17,Datos!$D$17,IF(Evalucion!N48=Datos!$C$18,Datos!$D$18,IF(Evalucion!N48=Datos!$C$19,Datos!$D$19,"=")))))</f>
        <v>5</v>
      </c>
      <c r="N50">
        <f>IF(Evalucion!O48=Datos!$C$15,Datos!$D$15,IF(Evalucion!O48=Datos!$C$16,Datos!$D$16,IF(Evalucion!O48=Datos!$C$17,Datos!$D$17,IF(Evalucion!O48=Datos!$C$18,Datos!$D$18,IF(Evalucion!O48=Datos!$C$19,Datos!$D$19,"=")))))</f>
        <v>5</v>
      </c>
      <c r="O50">
        <f>IF(Evalucion!P48=Datos!$C$15,Datos!$D$15,IF(Evalucion!P48=Datos!$C$16,Datos!$D$16,IF(Evalucion!P48=Datos!$C$17,Datos!$D$17,IF(Evalucion!P48=Datos!$C$18,Datos!$D$18,IF(Evalucion!P48=Datos!$C$19,Datos!$D$19,"=")))))</f>
        <v>5</v>
      </c>
      <c r="P50">
        <f>IF(Evalucion!Q48=Datos!$C$15,Datos!$D$15,IF(Evalucion!Q48=Datos!$C$16,Datos!$D$16,IF(Evalucion!Q48=Datos!$C$17,Datos!$D$17,IF(Evalucion!Q48=Datos!$C$18,Datos!$D$18,IF(Evalucion!Q48=Datos!$C$19,Datos!$D$19,"=")))))</f>
        <v>5</v>
      </c>
      <c r="Q50">
        <f>IF(Evalucion!R48=Datos!$C$15,Datos!$D$15,IF(Evalucion!R48=Datos!$C$16,Datos!$D$16,IF(Evalucion!R48=Datos!$C$17,Datos!$D$17,IF(Evalucion!R48=Datos!$C$18,Datos!$D$18,IF(Evalucion!R48=Datos!$C$19,Datos!$D$19,"=")))))</f>
        <v>5</v>
      </c>
      <c r="R50">
        <f>IF(Evalucion!S48=Datos!$C$15,Datos!$D$15,IF(Evalucion!S48=Datos!$C$16,Datos!$D$16,IF(Evalucion!S48=Datos!$C$17,Datos!$D$17,IF(Evalucion!S48=Datos!$C$18,Datos!$D$18,IF(Evalucion!S48=Datos!$C$19,Datos!$D$19,"=")))))</f>
        <v>5</v>
      </c>
      <c r="S50">
        <f>IF(Evalucion!T48=Datos!$C$15,Datos!$D$15,IF(Evalucion!T48=Datos!$C$16,Datos!$D$16,IF(Evalucion!T48=Datos!$C$17,Datos!$D$17,IF(Evalucion!T48=Datos!$C$18,Datos!$D$18,IF(Evalucion!T48=Datos!$C$19,Datos!$D$19,"=")))))</f>
        <v>1</v>
      </c>
      <c r="T50">
        <f>IF(Evalucion!U48=Datos!$C$15,Datos!$D$15,IF(Evalucion!U48=Datos!$C$16,Datos!$D$16,IF(Evalucion!U48=Datos!$C$17,Datos!$D$17,IF(Evalucion!U48=Datos!$C$18,Datos!$D$18,IF(Evalucion!U48=Datos!$C$19,Datos!$D$19,"=")))))</f>
        <v>1</v>
      </c>
      <c r="U50">
        <f>IF(Evalucion!V48=Datos!$C$15,Datos!$D$15,IF(Evalucion!V48=Datos!$C$16,Datos!$D$16,IF(Evalucion!V48=Datos!$C$17,Datos!$D$17,IF(Evalucion!V48=Datos!$C$18,Datos!$D$18,IF(Evalucion!V48=Datos!$C$19,Datos!$D$19,"=")))))</f>
        <v>1</v>
      </c>
      <c r="V50">
        <f>IF(Evalucion!W48=Datos!$C$15,Datos!$D$15,IF(Evalucion!W48=Datos!$C$16,Datos!$D$16,IF(Evalucion!W48=Datos!$C$17,Datos!$D$17,IF(Evalucion!W48=Datos!$C$18,Datos!$D$18,IF(Evalucion!W48=Datos!$C$19,Datos!$D$19,"=")))))</f>
        <v>1</v>
      </c>
      <c r="W50">
        <f>IF(Evalucion!X48=Datos!$C$15,Datos!$D$15,IF(Evalucion!X48=Datos!$C$16,Datos!$D$16,IF(Evalucion!X48=Datos!$C$17,Datos!$D$17,IF(Evalucion!X48=Datos!$C$18,Datos!$D$18,IF(Evalucion!X48=Datos!$C$19,Datos!$D$19,"=")))))</f>
        <v>1</v>
      </c>
      <c r="X50">
        <f>IF(Evalucion!Y48=Datos!$C$15,Datos!$D$15,IF(Evalucion!Y48=Datos!$C$16,Datos!$D$16,IF(Evalucion!Y48=Datos!$C$17,Datos!$D$17,IF(Evalucion!Y48=Datos!$C$18,Datos!$D$18,IF(Evalucion!Y48=Datos!$C$19,Datos!$D$19,"=")))))</f>
        <v>1</v>
      </c>
      <c r="Y50">
        <f>IF(Evalucion!Z48=Datos!$C$15,Datos!$D$15,IF(Evalucion!Z48=Datos!$C$16,Datos!$D$16,IF(Evalucion!Z48=Datos!$C$17,Datos!$D$17,IF(Evalucion!Z48=Datos!$C$18,Datos!$D$18,IF(Evalucion!Z48=Datos!$C$19,Datos!$D$19,"=")))))</f>
        <v>1</v>
      </c>
      <c r="Z50">
        <f>IF(Evalucion!AA48=Datos!$C$15,Datos!$D$15,IF(Evalucion!AA48=Datos!$C$16,Datos!$D$16,IF(Evalucion!AA48=Datos!$C$17,Datos!$D$17,IF(Evalucion!AA48=Datos!$C$18,Datos!$D$18,IF(Evalucion!AA48=Datos!$C$19,Datos!$D$19,"=")))))</f>
        <v>1</v>
      </c>
      <c r="AA50">
        <f>IF(Evalucion!AB48=Datos!$C$15,Datos!$D$15,IF(Evalucion!AB48=Datos!$C$16,Datos!$D$16,IF(Evalucion!AB48=Datos!$C$17,Datos!$D$17,IF(Evalucion!AB48=Datos!$C$18,Datos!$D$18,IF(Evalucion!AB48=Datos!$C$19,Datos!$D$19,"=")))))</f>
        <v>1</v>
      </c>
      <c r="AB50">
        <f>IF(Evalucion!AC48=Datos!$C$15,Datos!$D$15,IF(Evalucion!AC48=Datos!$C$16,Datos!$D$16,IF(Evalucion!AC48=Datos!$C$17,Datos!$D$17,IF(Evalucion!AC48=Datos!$C$18,Datos!$D$18,IF(Evalucion!AC48=Datos!$C$19,Datos!$D$19,"=")))))</f>
        <v>1</v>
      </c>
      <c r="AC50">
        <f>IF(Evalucion!AD48=Datos!$C$15,Datos!$D$15,IF(Evalucion!AD48=Datos!$C$16,Datos!$D$16,IF(Evalucion!AD48=Datos!$C$17,Datos!$D$17,IF(Evalucion!AD48=Datos!$C$18,Datos!$D$18,IF(Evalucion!AD48=Datos!$C$19,Datos!$D$19,"=")))))</f>
        <v>1</v>
      </c>
      <c r="AD50">
        <f>IF(Evalucion!AE48=Datos!$C$15,Datos!$D$15,IF(Evalucion!AE48=Datos!$C$16,Datos!$D$16,IF(Evalucion!AE48=Datos!$C$17,Datos!$D$17,IF(Evalucion!AE48=Datos!$C$18,Datos!$D$18,IF(Evalucion!AE48=Datos!$C$19,Datos!$D$19,"=")))))</f>
        <v>1</v>
      </c>
      <c r="AE50">
        <f>IF(Evalucion!AF48=Datos!$C$15,Datos!$D$15,IF(Evalucion!AF48=Datos!$C$16,Datos!$D$16,IF(Evalucion!AF48=Datos!$C$17,Datos!$D$17,IF(Evalucion!AF48=Datos!$C$18,Datos!$D$18,IF(Evalucion!AF48=Datos!$C$19,Datos!$D$19,"=")))))</f>
        <v>5</v>
      </c>
      <c r="AF50">
        <f>IF(Evalucion!AG48=Datos!$C$15,Datos!$D$15,IF(Evalucion!AG48=Datos!$C$16,Datos!$D$16,IF(Evalucion!AG48=Datos!$C$17,Datos!$D$17,IF(Evalucion!AG48=Datos!$C$18,Datos!$D$18,IF(Evalucion!AG48=Datos!$C$19,Datos!$D$19,"=")))))</f>
        <v>5</v>
      </c>
      <c r="AO50">
        <f>IF(Evalucion!AP48=Datos!$C$15,Datos!$D$15,IF(Evalucion!AP48=Datos!$C$16,Datos!$D$16,IF(Evalucion!AP48=Datos!$C$17,Datos!$D$17,IF(Evalucion!AP48=Datos!$C$18,Datos!$D$18,IF(Evalucion!AP48=Datos!$C$19,Datos!$D$19,"=")))))</f>
        <v>5</v>
      </c>
      <c r="AP50">
        <f>IF(Evalucion!AQ48=Datos!$C$15,Datos!$D$15,IF(Evalucion!AQ48=Datos!$C$16,Datos!$D$16,IF(Evalucion!AQ48=Datos!$C$17,Datos!$D$17,IF(Evalucion!AQ48=Datos!$C$18,Datos!$D$18,IF(Evalucion!AQ48=Datos!$C$19,Datos!$D$19,"=")))))</f>
        <v>3</v>
      </c>
      <c r="AQ50">
        <f>IF(Evalucion!AR48=Datos!$C$15,Datos!$D$15,IF(Evalucion!AR48=Datos!$C$16,Datos!$D$16,IF(Evalucion!AR48=Datos!$C$17,Datos!$D$17,IF(Evalucion!AR48=Datos!$C$18,Datos!$D$18,IF(Evalucion!AR48=Datos!$C$19,Datos!$D$19,"=")))))</f>
        <v>1</v>
      </c>
      <c r="AR50">
        <f>IF(Evalucion!AS48=Datos!$C$15,Datos!$D$15,IF(Evalucion!AS48=Datos!$C$16,Datos!$D$16,IF(Evalucion!AS48=Datos!$C$17,Datos!$D$17,IF(Evalucion!AS48=Datos!$C$18,Datos!$D$18,IF(Evalucion!AS48=Datos!$C$19,Datos!$D$19,"=")))))</f>
        <v>1</v>
      </c>
      <c r="AS50">
        <f>IF(Evalucion!AT48=Datos!$C$15,Datos!$D$15,IF(Evalucion!AT48=Datos!$C$16,Datos!$D$16,IF(Evalucion!AT48=Datos!$C$17,Datos!$D$17,IF(Evalucion!AT48=Datos!$C$18,Datos!$D$18,IF(Evalucion!AT48=Datos!$C$19,Datos!$D$19,"=")))))</f>
        <v>5</v>
      </c>
      <c r="AT50">
        <f>IF(Evalucion!AU48=Datos!$C$15,Datos!$D$15,IF(Evalucion!AU48=Datos!$C$16,Datos!$D$16,IF(Evalucion!AU48=Datos!$C$17,Datos!$D$17,IF(Evalucion!AU48=Datos!$C$18,Datos!$D$18,IF(Evalucion!AU48=Datos!$C$19,Datos!$D$19,"=")))))</f>
        <v>3</v>
      </c>
      <c r="AV50">
        <f>IF(Evalucion!AW48=Datos!$C$15,Datos!$D$15,IF(Evalucion!AW48=Datos!$C$16,Datos!$D$16,IF(Evalucion!AW48=Datos!$C$17,Datos!$D$17,IF(Evalucion!AW48=Datos!$C$18,Datos!$D$18,IF(Evalucion!AW48=Datos!$C$19,Datos!$D$19,"=")))))</f>
        <v>5</v>
      </c>
      <c r="AW50">
        <f>IF(Evalucion!AX48=Datos!$C$15,Datos!$D$15,IF(Evalucion!AX48=Datos!$C$16,Datos!$D$16,IF(Evalucion!AX48=Datos!$C$17,Datos!$D$17,IF(Evalucion!AX48=Datos!$C$18,Datos!$D$18,IF(Evalucion!AX48=Datos!$C$19,Datos!$D$19,"=")))))</f>
        <v>3</v>
      </c>
      <c r="AX50">
        <f>IF(Evalucion!AY48=Datos!$C$15,Datos!$D$15,IF(Evalucion!AY48=Datos!$C$16,Datos!$D$16,IF(Evalucion!AY48=Datos!$C$17,Datos!$D$17,IF(Evalucion!AY48=Datos!$C$18,Datos!$D$18,IF(Evalucion!AY48=Datos!$C$19,Datos!$D$19,"=")))))</f>
        <v>5</v>
      </c>
      <c r="AY50">
        <f>IF(Evalucion!AZ48=Datos!$C$15,Datos!$D$15,IF(Evalucion!AZ48=Datos!$C$16,Datos!$D$16,IF(Evalucion!AZ48=Datos!$C$17,Datos!$D$17,IF(Evalucion!AZ48=Datos!$C$18,Datos!$D$18,IF(Evalucion!AZ48=Datos!$C$19,Datos!$D$19,"=")))))</f>
        <v>1</v>
      </c>
      <c r="AZ50">
        <f>IF(Evalucion!BA48=Datos!$C$15,Datos!$D$15,IF(Evalucion!BA48=Datos!$C$16,Datos!$D$16,IF(Evalucion!BA48=Datos!$C$17,Datos!$D$17,IF(Evalucion!BA48=Datos!$C$18,Datos!$D$18,IF(Evalucion!BA48=Datos!$C$19,Datos!$D$19,"=")))))</f>
        <v>5</v>
      </c>
      <c r="BA50">
        <f>IF(Evalucion!BB48=Datos!$C$15,Datos!$D$15,IF(Evalucion!BB48=Datos!$C$16,Datos!$D$16,IF(Evalucion!BB48=Datos!$C$17,Datos!$D$17,IF(Evalucion!BB48=Datos!$C$18,Datos!$D$18,IF(Evalucion!BB48=Datos!$C$19,Datos!$D$19,"=")))))</f>
        <v>5</v>
      </c>
      <c r="BB50">
        <f>IF(Evalucion!BC48=Datos!$C$15,Datos!$D$15,IF(Evalucion!BC48=Datos!$C$16,Datos!$D$16,IF(Evalucion!BC48=Datos!$C$17,Datos!$D$17,IF(Evalucion!BC48=Datos!$C$18,Datos!$D$18,IF(Evalucion!BC48=Datos!$C$19,Datos!$D$19,"=")))))</f>
        <v>5</v>
      </c>
      <c r="BC50">
        <f>IF(Evalucion!BD48=Datos!$C$15,Datos!$D$15,IF(Evalucion!BD48=Datos!$C$16,Datos!$D$16,IF(Evalucion!BD48=Datos!$C$17,Datos!$D$17,IF(Evalucion!BD48=Datos!$C$18,Datos!$D$18,IF(Evalucion!BD48=Datos!$C$19,Datos!$D$19,"=")))))</f>
        <v>1</v>
      </c>
      <c r="BD50">
        <f>IF(Evalucion!BE48=Datos!$C$15,Datos!$D$15,IF(Evalucion!BE48=Datos!$C$16,Datos!$D$16,IF(Evalucion!BE48=Datos!$C$17,Datos!$D$17,IF(Evalucion!BE48=Datos!$C$18,Datos!$D$18,IF(Evalucion!BE48=Datos!$C$19,Datos!$D$19,"=")))))</f>
        <v>5</v>
      </c>
      <c r="BE50">
        <f>IF(Evalucion!BF48=Datos!$C$15,Datos!$D$15,IF(Evalucion!BF48=Datos!$C$16,Datos!$D$16,IF(Evalucion!BF48=Datos!$C$17,Datos!$D$17,IF(Evalucion!BF48=Datos!$C$18,Datos!$D$18,IF(Evalucion!BF48=Datos!$C$19,Datos!$D$19,"=")))))</f>
        <v>1</v>
      </c>
      <c r="BF50">
        <f>IF(Evalucion!BG48=Datos!$C$15,Datos!$D$15,IF(Evalucion!BG48=Datos!$C$16,Datos!$D$16,IF(Evalucion!BG48=Datos!$C$17,Datos!$D$17,IF(Evalucion!BG48=Datos!$C$18,Datos!$D$18,IF(Evalucion!BG48=Datos!$C$19,Datos!$D$19,"=")))))</f>
        <v>5</v>
      </c>
      <c r="BG50">
        <f>IF(Evalucion!BH48=Datos!$C$15,Datos!$D$15,IF(Evalucion!BH48=Datos!$C$16,Datos!$D$16,IF(Evalucion!BH48=Datos!$C$17,Datos!$D$17,IF(Evalucion!BH48=Datos!$C$18,Datos!$D$18,IF(Evalucion!BH48=Datos!$C$19,Datos!$D$19,"=")))))</f>
        <v>5</v>
      </c>
      <c r="BH50">
        <f>IF(Evalucion!BI48=Datos!$C$15,Datos!$D$15,IF(Evalucion!BI48=Datos!$C$16,Datos!$D$16,IF(Evalucion!BI48=Datos!$C$17,Datos!$D$17,IF(Evalucion!BI48=Datos!$C$18,Datos!$D$18,IF(Evalucion!BI48=Datos!$C$19,Datos!$D$19,"=")))))</f>
        <v>5</v>
      </c>
      <c r="BI50">
        <f>IF(Evalucion!BJ48=Datos!$C$15,Datos!$D$15,IF(Evalucion!BJ48=Datos!$C$16,Datos!$D$16,IF(Evalucion!BJ48=Datos!$C$17,Datos!$D$17,IF(Evalucion!BJ48=Datos!$C$18,Datos!$D$18,IF(Evalucion!BJ48=Datos!$C$19,Datos!$D$19,"=")))))</f>
        <v>5</v>
      </c>
      <c r="BJ50">
        <f>IF(Evalucion!BK48=Datos!$C$15,Datos!$D$15,IF(Evalucion!BK48=Datos!$C$16,Datos!$D$16,IF(Evalucion!BK48=Datos!$C$17,Datos!$D$17,IF(Evalucion!BK48=Datos!$C$18,Datos!$D$18,IF(Evalucion!BK48=Datos!$C$19,Datos!$D$19,"=")))))</f>
        <v>1</v>
      </c>
      <c r="BK50">
        <f>IF(Evalucion!BL48=Datos!$C$15,Datos!$D$15,IF(Evalucion!BL48=Datos!$C$16,Datos!$D$16,IF(Evalucion!BL48=Datos!$C$17,Datos!$D$17,IF(Evalucion!BL48=Datos!$C$18,Datos!$D$18,IF(Evalucion!BL48=Datos!$C$19,Datos!$D$19,"=")))))</f>
        <v>1</v>
      </c>
      <c r="BL50">
        <f>IF(Evalucion!BM48=Datos!$C$15,Datos!$D$15,IF(Evalucion!BM48=Datos!$C$16,Datos!$D$16,IF(Evalucion!BM48=Datos!$C$17,Datos!$D$17,IF(Evalucion!BM48=Datos!$C$18,Datos!$D$18,IF(Evalucion!BM48=Datos!$C$19,Datos!$D$19,"=")))))</f>
        <v>1</v>
      </c>
      <c r="BM50">
        <f>IF(Evalucion!BN48=Datos!$C$15,Datos!$D$15,IF(Evalucion!BN48=Datos!$C$16,Datos!$D$16,IF(Evalucion!BN48=Datos!$C$17,Datos!$D$17,IF(Evalucion!BN48=Datos!$C$18,Datos!$D$18,IF(Evalucion!BN48=Datos!$C$19,Datos!$D$19,"=")))))</f>
        <v>1</v>
      </c>
      <c r="BN50">
        <f>IF(Evalucion!BO48=Datos!$C$15,Datos!$D$15,IF(Evalucion!BO48=Datos!$C$16,Datos!$D$16,IF(Evalucion!BO48=Datos!$C$17,Datos!$D$17,IF(Evalucion!BO48=Datos!$C$18,Datos!$D$18,IF(Evalucion!BO48=Datos!$C$19,Datos!$D$19,"=")))))</f>
        <v>5</v>
      </c>
      <c r="BO50">
        <f>IF(Evalucion!BP48=Datos!$C$15,Datos!$D$15,IF(Evalucion!BP48=Datos!$C$16,Datos!$D$16,IF(Evalucion!BP48=Datos!$C$17,Datos!$D$17,IF(Evalucion!BP48=Datos!$C$18,Datos!$D$18,IF(Evalucion!BP48=Datos!$C$19,Datos!$D$19,"=")))))</f>
        <v>1</v>
      </c>
      <c r="BP50">
        <f>IF(Evalucion!BQ48=Datos!$C$15,Datos!$D$15,IF(Evalucion!BQ48=Datos!$C$16,Datos!$D$16,IF(Evalucion!BQ48=Datos!$C$17,Datos!$D$17,IF(Evalucion!BQ48=Datos!$C$18,Datos!$D$18,IF(Evalucion!BQ48=Datos!$C$19,Datos!$D$19,"=")))))</f>
        <v>1</v>
      </c>
      <c r="BQ50">
        <f>IF(Evalucion!BR48=Datos!$C$15,Datos!$D$15,IF(Evalucion!BR48=Datos!$C$16,Datos!$D$16,IF(Evalucion!BR48=Datos!$C$17,Datos!$D$17,IF(Evalucion!BR48=Datos!$C$18,Datos!$D$18,IF(Evalucion!BR48=Datos!$C$19,Datos!$D$19,"=")))))</f>
        <v>1</v>
      </c>
      <c r="BR50">
        <f>IF(Evalucion!BS48=Datos!$C$15,Datos!$D$15,IF(Evalucion!BS48=Datos!$C$16,Datos!$D$16,IF(Evalucion!BS48=Datos!$C$17,Datos!$D$17,IF(Evalucion!BS48=Datos!$C$18,Datos!$D$18,IF(Evalucion!BS48=Datos!$C$19,Datos!$D$19,"=")))))</f>
        <v>1</v>
      </c>
      <c r="BS50">
        <f>IF(Evalucion!BT48=Datos!$C$15,Datos!$D$15,IF(Evalucion!BT48=Datos!$C$16,Datos!$D$16,IF(Evalucion!BT48=Datos!$C$17,Datos!$D$17,IF(Evalucion!BT48=Datos!$C$18,Datos!$D$18,IF(Evalucion!BT48=Datos!$C$19,Datos!$D$19,"=")))))</f>
        <v>1</v>
      </c>
      <c r="BT50">
        <f>IF(Evalucion!BU48=Datos!$C$15,Datos!$D$15,IF(Evalucion!BU48=Datos!$C$16,Datos!$D$16,IF(Evalucion!BU48=Datos!$C$17,Datos!$D$17,IF(Evalucion!BU48=Datos!$C$18,Datos!$D$18,IF(Evalucion!BU48=Datos!$C$19,Datos!$D$19,"=")))))</f>
        <v>5</v>
      </c>
      <c r="BU50">
        <f>IF(Evalucion!BV48=Datos!$C$15,Datos!$D$15,IF(Evalucion!BV48=Datos!$C$16,Datos!$D$16,IF(Evalucion!BV48=Datos!$C$17,Datos!$D$17,IF(Evalucion!BV48=Datos!$C$18,Datos!$D$18,IF(Evalucion!BV48=Datos!$C$19,Datos!$D$19,"=")))))</f>
        <v>3</v>
      </c>
      <c r="BV50">
        <f>IF(Evalucion!BW48=Datos!$C$15,Datos!$D$15,IF(Evalucion!BW48=Datos!$C$16,Datos!$D$16,IF(Evalucion!BW48=Datos!$C$17,Datos!$D$17,IF(Evalucion!BW48=Datos!$C$18,Datos!$D$18,IF(Evalucion!BW48=Datos!$C$19,Datos!$D$19,"=")))))</f>
        <v>5</v>
      </c>
      <c r="BW50">
        <f>IF(Evalucion!BX48=Datos!$C$15,Datos!$D$15,IF(Evalucion!BX48=Datos!$C$16,Datos!$D$16,IF(Evalucion!BX48=Datos!$C$17,Datos!$D$17,IF(Evalucion!BX48=Datos!$C$18,Datos!$D$18,IF(Evalucion!BX48=Datos!$C$19,Datos!$D$19,"=")))))</f>
        <v>3</v>
      </c>
      <c r="BX50">
        <f>IF(Evalucion!BY48=Datos!$C$15,Datos!$D$15,IF(Evalucion!BY48=Datos!$C$16,Datos!$D$16,IF(Evalucion!BY48=Datos!$C$17,Datos!$D$17,IF(Evalucion!BY48=Datos!$C$18,Datos!$D$18,IF(Evalucion!BY48=Datos!$C$19,Datos!$D$19,"=")))))</f>
        <v>1</v>
      </c>
      <c r="BY50">
        <f>IF(Evalucion!BZ48=Datos!$C$15,Datos!$D$15,IF(Evalucion!BZ48=Datos!$C$16,Datos!$D$16,IF(Evalucion!BZ48=Datos!$C$17,Datos!$D$17,IF(Evalucion!BZ48=Datos!$C$18,Datos!$D$18,IF(Evalucion!BZ48=Datos!$C$19,Datos!$D$19,"=")))))</f>
        <v>1</v>
      </c>
      <c r="BZ50">
        <f>IF(Evalucion!CA48=Datos!$C$15,Datos!$D$15,IF(Evalucion!CA48=Datos!$C$16,Datos!$D$16,IF(Evalucion!CA48=Datos!$C$17,Datos!$D$17,IF(Evalucion!CA48=Datos!$C$18,Datos!$D$18,IF(Evalucion!CA48=Datos!$C$19,Datos!$D$19,"=")))))</f>
        <v>1</v>
      </c>
      <c r="CA50">
        <f>IF(Evalucion!CB48=Datos!$C$15,Datos!$D$15,IF(Evalucion!CB48=Datos!$C$16,Datos!$D$16,IF(Evalucion!CB48=Datos!$C$17,Datos!$D$17,IF(Evalucion!CB48=Datos!$C$18,Datos!$D$18,IF(Evalucion!CB48=Datos!$C$19,Datos!$D$19,"=")))))</f>
        <v>1</v>
      </c>
      <c r="CB50">
        <f>IF(Evalucion!CC48=Datos!$C$15,Datos!$D$15,IF(Evalucion!CC48=Datos!$C$16,Datos!$D$16,IF(Evalucion!CC48=Datos!$C$17,Datos!$D$17,IF(Evalucion!CC48=Datos!$C$18,Datos!$D$18,IF(Evalucion!CC48=Datos!$C$19,Datos!$D$19,"=")))))</f>
        <v>5</v>
      </c>
      <c r="CC50">
        <f>IF(Evalucion!CD48=Datos!$C$15,Datos!$D$15,IF(Evalucion!CD48=Datos!$C$16,Datos!$D$16,IF(Evalucion!CD48=Datos!$C$17,Datos!$D$17,IF(Evalucion!CD48=Datos!$C$18,Datos!$D$18,IF(Evalucion!CD48=Datos!$C$19,Datos!$D$19,"=")))))</f>
        <v>3</v>
      </c>
      <c r="CD50">
        <f>IF(Evalucion!CE48=Datos!$C$15,Datos!$D$15,IF(Evalucion!CE48=Datos!$C$16,Datos!$D$16,IF(Evalucion!CE48=Datos!$C$17,Datos!$D$17,IF(Evalucion!CE48=Datos!$C$18,Datos!$D$18,IF(Evalucion!CE48=Datos!$C$19,Datos!$D$19,"=")))))</f>
        <v>5</v>
      </c>
      <c r="CE50">
        <f>IF(Evalucion!CF48=Datos!$C$15,Datos!$D$15,IF(Evalucion!CF48=Datos!$C$16,Datos!$D$16,IF(Evalucion!CF48=Datos!$C$17,Datos!$D$17,IF(Evalucion!CF48=Datos!$C$18,Datos!$D$18,IF(Evalucion!CF48=Datos!$C$19,Datos!$D$19,"=")))))</f>
        <v>3</v>
      </c>
      <c r="CF50">
        <f>IF(Evalucion!CG48=Datos!$C$15,Datos!$D$15,IF(Evalucion!CG48=Datos!$C$16,Datos!$D$16,IF(Evalucion!CG48=Datos!$C$17,Datos!$D$17,IF(Evalucion!CG48=Datos!$C$18,Datos!$D$18,IF(Evalucion!CG48=Datos!$C$19,Datos!$D$19,"=")))))</f>
        <v>1</v>
      </c>
      <c r="CG50">
        <f>IF(Evalucion!CH48=Datos!$C$15,Datos!$D$15,IF(Evalucion!CH48=Datos!$C$16,Datos!$D$16,IF(Evalucion!CH48=Datos!$C$17,Datos!$D$17,IF(Evalucion!CH48=Datos!$C$18,Datos!$D$18,IF(Evalucion!CH48=Datos!$C$19,Datos!$D$19,"=")))))</f>
        <v>1</v>
      </c>
      <c r="CH50">
        <f>IF(Evalucion!CI48=Datos!$C$15,Datos!$D$15,IF(Evalucion!CI48=Datos!$C$16,Datos!$D$16,IF(Evalucion!CI48=Datos!$C$17,Datos!$D$17,IF(Evalucion!CI48=Datos!$C$18,Datos!$D$18,IF(Evalucion!CI48=Datos!$C$19,Datos!$D$19,"=")))))</f>
        <v>5</v>
      </c>
      <c r="CI50">
        <f>IF(Evalucion!CJ48=Datos!$C$15,Datos!$D$15,IF(Evalucion!CJ48=Datos!$C$16,Datos!$D$16,IF(Evalucion!CJ48=Datos!$C$17,Datos!$D$17,IF(Evalucion!CJ48=Datos!$C$18,Datos!$D$18,IF(Evalucion!CJ48=Datos!$C$19,Datos!$D$19,"=")))))</f>
        <v>3</v>
      </c>
      <c r="CJ50">
        <f>IF(Evalucion!CK48=Datos!$C$15,Datos!$D$15,IF(Evalucion!CK48=Datos!$C$16,Datos!$D$16,IF(Evalucion!CK48=Datos!$C$17,Datos!$D$17,IF(Evalucion!CK48=Datos!$C$18,Datos!$D$18,IF(Evalucion!CK48=Datos!$C$19,Datos!$D$19,"=")))))</f>
        <v>5</v>
      </c>
      <c r="CK50">
        <f>IF(Evalucion!CL48=Datos!$C$15,Datos!$D$15,IF(Evalucion!CL48=Datos!$C$16,Datos!$D$16,IF(Evalucion!CL48=Datos!$C$17,Datos!$D$17,IF(Evalucion!CL48=Datos!$C$18,Datos!$D$18,IF(Evalucion!CL48=Datos!$C$19,Datos!$D$19,"=")))))</f>
        <v>1</v>
      </c>
      <c r="CL50">
        <f>IF(Evalucion!CM48=Datos!$C$15,Datos!$D$15,IF(Evalucion!CM48=Datos!$C$16,Datos!$D$16,IF(Evalucion!CM48=Datos!$C$17,Datos!$D$17,IF(Evalucion!CM48=Datos!$C$18,Datos!$D$18,IF(Evalucion!CM48=Datos!$C$19,Datos!$D$19,"=")))))</f>
        <v>5</v>
      </c>
      <c r="CM50">
        <f>IF(Evalucion!CN48=Datos!$C$15,Datos!$D$15,IF(Evalucion!CN48=Datos!$C$16,Datos!$D$16,IF(Evalucion!CN48=Datos!$C$17,Datos!$D$17,IF(Evalucion!CN48=Datos!$C$18,Datos!$D$18,IF(Evalucion!CN48=Datos!$C$19,Datos!$D$19,"=")))))</f>
        <v>3</v>
      </c>
      <c r="CN50">
        <f>IF(Evalucion!CO48=Datos!$C$15,Datos!$D$15,IF(Evalucion!CO48=Datos!$C$16,Datos!$D$16,IF(Evalucion!CO48=Datos!$C$17,Datos!$D$17,IF(Evalucion!CO48=Datos!$C$18,Datos!$D$18,IF(Evalucion!CO48=Datos!$C$19,Datos!$D$19,"=")))))</f>
        <v>5</v>
      </c>
      <c r="CO50">
        <f>IF(Evalucion!CP48=Datos!$C$15,Datos!$D$15,IF(Evalucion!CP48=Datos!$C$16,Datos!$D$16,IF(Evalucion!CP48=Datos!$C$17,Datos!$D$17,IF(Evalucion!CP48=Datos!$C$18,Datos!$D$18,IF(Evalucion!CP48=Datos!$C$19,Datos!$D$19,"=")))))</f>
        <v>5</v>
      </c>
      <c r="CP50">
        <f>IF(Evalucion!CQ48=Datos!$C$15,Datos!$D$15,IF(Evalucion!CQ48=Datos!$C$16,Datos!$D$16,IF(Evalucion!CQ48=Datos!$C$17,Datos!$D$17,IF(Evalucion!CQ48=Datos!$C$18,Datos!$D$18,IF(Evalucion!CQ48=Datos!$C$19,Datos!$D$19,"=")))))</f>
        <v>1</v>
      </c>
      <c r="CQ50">
        <f>IF(Evalucion!CR48=Datos!$C$15,Datos!$D$15,IF(Evalucion!CR48=Datos!$C$16,Datos!$D$16,IF(Evalucion!CR48=Datos!$C$17,Datos!$D$17,IF(Evalucion!CR48=Datos!$C$18,Datos!$D$18,IF(Evalucion!CR48=Datos!$C$19,Datos!$D$19,"=")))))</f>
        <v>1</v>
      </c>
      <c r="CR50">
        <f>IF(Evalucion!CS48=Datos!$C$15,Datos!$D$15,IF(Evalucion!CS48=Datos!$C$16,Datos!$D$16,IF(Evalucion!CS48=Datos!$C$17,Datos!$D$17,IF(Evalucion!CS48=Datos!$C$18,Datos!$D$18,IF(Evalucion!CS48=Datos!$C$19,Datos!$D$19,"=")))))</f>
        <v>5</v>
      </c>
      <c r="CS50">
        <f>IF(Evalucion!CT48=Datos!$C$15,Datos!$D$15,IF(Evalucion!CT48=Datos!$C$16,Datos!$D$16,IF(Evalucion!CT48=Datos!$C$17,Datos!$D$17,IF(Evalucion!CT48=Datos!$C$18,Datos!$D$18,IF(Evalucion!CT48=Datos!$C$19,Datos!$D$19,"=")))))</f>
        <v>3</v>
      </c>
      <c r="CT50">
        <f>IF(Evalucion!CU48=Datos!$C$15,Datos!$D$15,IF(Evalucion!CU48=Datos!$C$16,Datos!$D$16,IF(Evalucion!CU48=Datos!$C$17,Datos!$D$17,IF(Evalucion!CU48=Datos!$C$18,Datos!$D$18,IF(Evalucion!CU48=Datos!$C$19,Datos!$D$19,"=")))))</f>
        <v>1</v>
      </c>
      <c r="CU50">
        <f>IF(Evalucion!CV48=Datos!$C$15,Datos!$D$15,IF(Evalucion!CV48=Datos!$C$16,Datos!$D$16,IF(Evalucion!CV48=Datos!$C$17,Datos!$D$17,IF(Evalucion!CV48=Datos!$C$18,Datos!$D$18,IF(Evalucion!CV48=Datos!$C$19,Datos!$D$19,"=")))))</f>
        <v>1</v>
      </c>
      <c r="CV50">
        <f>IF(Evalucion!CW48=Datos!$C$15,Datos!$D$15,IF(Evalucion!CW48=Datos!$C$16,Datos!$D$16,IF(Evalucion!CW48=Datos!$C$17,Datos!$D$17,IF(Evalucion!CW48=Datos!$C$18,Datos!$D$18,IF(Evalucion!CW48=Datos!$C$19,Datos!$D$19,"=")))))</f>
        <v>5</v>
      </c>
      <c r="CW50">
        <f>IF(Evalucion!CX48=Datos!$C$15,Datos!$D$15,IF(Evalucion!CX48=Datos!$C$16,Datos!$D$16,IF(Evalucion!CX48=Datos!$C$17,Datos!$D$17,IF(Evalucion!CX48=Datos!$C$18,Datos!$D$18,IF(Evalucion!CX48=Datos!$C$19,Datos!$D$19,"=")))))</f>
        <v>3</v>
      </c>
      <c r="CX50">
        <f>IF(Evalucion!CY48=Datos!$C$15,Datos!$D$15,IF(Evalucion!CY48=Datos!$C$16,Datos!$D$16,IF(Evalucion!CY48=Datos!$C$17,Datos!$D$17,IF(Evalucion!CY48=Datos!$C$18,Datos!$D$18,IF(Evalucion!CY48=Datos!$C$19,Datos!$D$19,"=")))))</f>
        <v>1</v>
      </c>
      <c r="CY50">
        <f>IF(Evalucion!CZ48=Datos!$C$15,Datos!$D$15,IF(Evalucion!CZ48=Datos!$C$16,Datos!$D$16,IF(Evalucion!CZ48=Datos!$C$17,Datos!$D$17,IF(Evalucion!CZ48=Datos!$C$18,Datos!$D$18,IF(Evalucion!CZ48=Datos!$C$19,Datos!$D$19,"=")))))</f>
        <v>1</v>
      </c>
      <c r="CZ50">
        <f>IF(Evalucion!DA48=Datos!$C$15,Datos!$D$15,IF(Evalucion!DA48=Datos!$C$16,Datos!$D$16,IF(Evalucion!DA48=Datos!$C$17,Datos!$D$17,IF(Evalucion!DA48=Datos!$C$18,Datos!$D$18,IF(Evalucion!DA48=Datos!$C$19,Datos!$D$19,"=")))))</f>
        <v>1</v>
      </c>
      <c r="DA50">
        <f>IF(Evalucion!DB48=Datos!$C$15,Datos!$D$15,IF(Evalucion!DB48=Datos!$C$16,Datos!$D$16,IF(Evalucion!DB48=Datos!$C$17,Datos!$D$17,IF(Evalucion!DB48=Datos!$C$18,Datos!$D$18,IF(Evalucion!DB48=Datos!$C$19,Datos!$D$19,"=")))))</f>
        <v>1</v>
      </c>
      <c r="DB50">
        <f>IF(Evalucion!DC48=Datos!$C$15,Datos!$D$15,IF(Evalucion!DC48=Datos!$C$16,Datos!$D$16,IF(Evalucion!DC48=Datos!$C$17,Datos!$D$17,IF(Evalucion!DC48=Datos!$C$18,Datos!$D$18,IF(Evalucion!DC48=Datos!$C$19,Datos!$D$19,"=")))))</f>
        <v>5</v>
      </c>
      <c r="DC50">
        <f>IF(Evalucion!DD48=Datos!$C$15,Datos!$D$15,IF(Evalucion!DD48=Datos!$C$16,Datos!$D$16,IF(Evalucion!DD48=Datos!$C$17,Datos!$D$17,IF(Evalucion!DD48=Datos!$C$18,Datos!$D$18,IF(Evalucion!DD48=Datos!$C$19,Datos!$D$19,"=")))))</f>
        <v>1</v>
      </c>
      <c r="DD50">
        <f>IF(Evalucion!DE48=Datos!$C$15,Datos!$D$15,IF(Evalucion!DE48=Datos!$C$16,Datos!$D$16,IF(Evalucion!DE48=Datos!$C$17,Datos!$D$17,IF(Evalucion!DE48=Datos!$C$18,Datos!$D$18,IF(Evalucion!DE48=Datos!$C$19,Datos!$D$19,"=")))))</f>
        <v>1</v>
      </c>
      <c r="DE50">
        <f>IF(Evalucion!DF48=Datos!$C$15,Datos!$D$15,IF(Evalucion!DF48=Datos!$C$16,Datos!$D$16,IF(Evalucion!DF48=Datos!$C$17,Datos!$D$17,IF(Evalucion!DF48=Datos!$C$18,Datos!$D$18,IF(Evalucion!DF48=Datos!$C$19,Datos!$D$19,"=")))))</f>
        <v>1</v>
      </c>
      <c r="DF50">
        <f>IF(Evalucion!DG48=Datos!$C$15,Datos!$D$15,IF(Evalucion!DG48=Datos!$C$16,Datos!$D$16,IF(Evalucion!DG48=Datos!$C$17,Datos!$D$17,IF(Evalucion!DG48=Datos!$C$18,Datos!$D$18,IF(Evalucion!DG48=Datos!$C$19,Datos!$D$19,"=")))))</f>
        <v>5</v>
      </c>
      <c r="DG50">
        <f>IF(Evalucion!DH48=Datos!$C$15,Datos!$D$15,IF(Evalucion!DH48=Datos!$C$16,Datos!$D$16,IF(Evalucion!DH48=Datos!$C$17,Datos!$D$17,IF(Evalucion!DH48=Datos!$C$18,Datos!$D$18,IF(Evalucion!DH48=Datos!$C$19,Datos!$D$19,"=")))))</f>
        <v>3</v>
      </c>
      <c r="DH50">
        <f>IF(Evalucion!DI48=Datos!$C$15,Datos!$D$15,IF(Evalucion!DI48=Datos!$C$16,Datos!$D$16,IF(Evalucion!DI48=Datos!$C$17,Datos!$D$17,IF(Evalucion!DI48=Datos!$C$18,Datos!$D$18,IF(Evalucion!DI48=Datos!$C$19,Datos!$D$19,"=")))))</f>
        <v>1</v>
      </c>
      <c r="DI50">
        <f>IF(Evalucion!DJ48=Datos!$C$15,Datos!$D$15,IF(Evalucion!DJ48=Datos!$C$16,Datos!$D$16,IF(Evalucion!DJ48=Datos!$C$17,Datos!$D$17,IF(Evalucion!DJ48=Datos!$C$18,Datos!$D$18,IF(Evalucion!DJ48=Datos!$C$19,Datos!$D$19,"=")))))</f>
        <v>1</v>
      </c>
      <c r="DJ50">
        <f>IF(Evalucion!DK48=Datos!$C$15,Datos!$D$15,IF(Evalucion!DK48=Datos!$C$16,Datos!$D$16,IF(Evalucion!DK48=Datos!$C$17,Datos!$D$17,IF(Evalucion!DK48=Datos!$C$18,Datos!$D$18,IF(Evalucion!DK48=Datos!$C$19,Datos!$D$19,"=")))))</f>
        <v>1</v>
      </c>
      <c r="DK50">
        <f>IF(Evalucion!DL48=Datos!$C$15,Datos!$D$15,IF(Evalucion!DL48=Datos!$C$16,Datos!$D$16,IF(Evalucion!DL48=Datos!$C$17,Datos!$D$17,IF(Evalucion!DL48=Datos!$C$18,Datos!$D$18,IF(Evalucion!DL48=Datos!$C$19,Datos!$D$19,"=")))))</f>
        <v>1</v>
      </c>
      <c r="DL50">
        <f>IF(Evalucion!DM48=Datos!$C$15,Datos!$D$15,IF(Evalucion!DM48=Datos!$C$16,Datos!$D$16,IF(Evalucion!DM48=Datos!$C$17,Datos!$D$17,IF(Evalucion!DM48=Datos!$C$18,Datos!$D$18,IF(Evalucion!DM48=Datos!$C$19,Datos!$D$19,"=")))))</f>
        <v>1</v>
      </c>
      <c r="DM50">
        <f>IF(Evalucion!DN48=Datos!$C$15,Datos!$D$15,IF(Evalucion!DN48=Datos!$C$16,Datos!$D$16,IF(Evalucion!DN48=Datos!$C$17,Datos!$D$17,IF(Evalucion!DN48=Datos!$C$18,Datos!$D$18,IF(Evalucion!DN48=Datos!$C$19,Datos!$D$19,"=")))))</f>
        <v>1</v>
      </c>
      <c r="DN50">
        <f>IF(Evalucion!DO48=Datos!$C$15,Datos!$D$15,IF(Evalucion!DO48=Datos!$C$16,Datos!$D$16,IF(Evalucion!DO48=Datos!$C$17,Datos!$D$17,IF(Evalucion!DO48=Datos!$C$18,Datos!$D$18,IF(Evalucion!DO48=Datos!$C$19,Datos!$D$19,"=")))))</f>
        <v>5</v>
      </c>
      <c r="DO50">
        <f>IF(Evalucion!DP48=Datos!$C$15,Datos!$D$15,IF(Evalucion!DP48=Datos!$C$16,Datos!$D$16,IF(Evalucion!DP48=Datos!$C$17,Datos!$D$17,IF(Evalucion!DP48=Datos!$C$18,Datos!$D$18,IF(Evalucion!DP48=Datos!$C$19,Datos!$D$19,"=")))))</f>
        <v>1</v>
      </c>
      <c r="DP50">
        <f>IF(Evalucion!DQ48=Datos!$C$15,Datos!$D$15,IF(Evalucion!DQ48=Datos!$C$16,Datos!$D$16,IF(Evalucion!DQ48=Datos!$C$17,Datos!$D$17,IF(Evalucion!DQ48=Datos!$C$18,Datos!$D$18,IF(Evalucion!DQ48=Datos!$C$19,Datos!$D$19,"=")))))</f>
        <v>5</v>
      </c>
      <c r="DQ50">
        <f>IF(Evalucion!DR48=Datos!$C$15,Datos!$D$15,IF(Evalucion!DR48=Datos!$C$16,Datos!$D$16,IF(Evalucion!DR48=Datos!$C$17,Datos!$D$17,IF(Evalucion!DR48=Datos!$C$18,Datos!$D$18,IF(Evalucion!DR48=Datos!$C$19,Datos!$D$19,"=")))))</f>
        <v>1</v>
      </c>
      <c r="DR50">
        <f>IF(Evalucion!DS48=Datos!$C$15,Datos!$D$15,IF(Evalucion!DS48=Datos!$C$16,Datos!$D$16,IF(Evalucion!DS48=Datos!$C$17,Datos!$D$17,IF(Evalucion!DS48=Datos!$C$18,Datos!$D$18,IF(Evalucion!DS48=Datos!$C$19,Datos!$D$19,"=")))))</f>
        <v>1</v>
      </c>
      <c r="DS50">
        <f>IF(Evalucion!DT48=Datos!$C$15,Datos!$D$15,IF(Evalucion!DT48=Datos!$C$16,Datos!$D$16,IF(Evalucion!DT48=Datos!$C$17,Datos!$D$17,IF(Evalucion!DT48=Datos!$C$18,Datos!$D$18,IF(Evalucion!DT48=Datos!$C$19,Datos!$D$19,"=")))))</f>
        <v>1</v>
      </c>
      <c r="DT50">
        <f>IF(Evalucion!DU48=Datos!$C$15,Datos!$D$15,IF(Evalucion!DU48=Datos!$C$16,Datos!$D$16,IF(Evalucion!DU48=Datos!$C$17,Datos!$D$17,IF(Evalucion!DU48=Datos!$C$18,Datos!$D$18,IF(Evalucion!DU48=Datos!$C$19,Datos!$D$19,"=")))))</f>
        <v>5</v>
      </c>
      <c r="DU50">
        <f>IF(Evalucion!DV48=Datos!$C$15,Datos!$D$15,IF(Evalucion!DV48=Datos!$C$16,Datos!$D$16,IF(Evalucion!DV48=Datos!$C$17,Datos!$D$17,IF(Evalucion!DV48=Datos!$C$18,Datos!$D$18,IF(Evalucion!DV48=Datos!$C$19,Datos!$D$19,"=")))))</f>
        <v>1</v>
      </c>
      <c r="DV50">
        <f>IF(Evalucion!DW48=Datos!$C$15,Datos!$D$15,IF(Evalucion!DW48=Datos!$C$16,Datos!$D$16,IF(Evalucion!DW48=Datos!$C$17,Datos!$D$17,IF(Evalucion!DW48=Datos!$C$18,Datos!$D$18,IF(Evalucion!DW48=Datos!$C$19,Datos!$D$19,"=")))))</f>
        <v>1</v>
      </c>
      <c r="DW50">
        <f>IF(Evalucion!DX48=Datos!$C$15,Datos!$D$15,IF(Evalucion!DX48=Datos!$C$16,Datos!$D$16,IF(Evalucion!DX48=Datos!$C$17,Datos!$D$17,IF(Evalucion!DX48=Datos!$C$18,Datos!$D$18,IF(Evalucion!DX48=Datos!$C$19,Datos!$D$19,"=")))))</f>
        <v>1</v>
      </c>
      <c r="DX50">
        <f>IF(Evalucion!DY48=Datos!$C$15,Datos!$D$15,IF(Evalucion!DY48=Datos!$C$16,Datos!$D$16,IF(Evalucion!DY48=Datos!$C$17,Datos!$D$17,IF(Evalucion!DY48=Datos!$C$18,Datos!$D$18,IF(Evalucion!DY48=Datos!$C$19,Datos!$D$19,"=")))))</f>
        <v>1</v>
      </c>
      <c r="DY50">
        <f>IF(Evalucion!DZ48=Datos!$C$15,Datos!$D$15,IF(Evalucion!DZ48=Datos!$C$16,Datos!$D$16,IF(Evalucion!DZ48=Datos!$C$17,Datos!$D$17,IF(Evalucion!DZ48=Datos!$C$18,Datos!$D$18,IF(Evalucion!DZ48=Datos!$C$19,Datos!$D$19,"=")))))</f>
        <v>1</v>
      </c>
      <c r="DZ50">
        <f>IF(Evalucion!EA48=Datos!$C$15,Datos!$D$15,IF(Evalucion!EA48=Datos!$C$16,Datos!$D$16,IF(Evalucion!EA48=Datos!$C$17,Datos!$D$17,IF(Evalucion!EA48=Datos!$C$18,Datos!$D$18,IF(Evalucion!EA48=Datos!$C$19,Datos!$D$19,"=")))))</f>
        <v>5</v>
      </c>
      <c r="EA50">
        <f>IF(Evalucion!EB48=Datos!$C$15,Datos!$D$15,IF(Evalucion!EB48=Datos!$C$16,Datos!$D$16,IF(Evalucion!EB48=Datos!$C$17,Datos!$D$17,IF(Evalucion!EB48=Datos!$C$18,Datos!$D$18,IF(Evalucion!EB48=Datos!$C$19,Datos!$D$19,"=")))))</f>
        <v>1</v>
      </c>
      <c r="EB50">
        <f>IF(Evalucion!EC48=Datos!$C$15,Datos!$D$15,IF(Evalucion!EC48=Datos!$C$16,Datos!$D$16,IF(Evalucion!EC48=Datos!$C$17,Datos!$D$17,IF(Evalucion!EC48=Datos!$C$18,Datos!$D$18,IF(Evalucion!EC48=Datos!$C$19,Datos!$D$19,"=")))))</f>
        <v>1</v>
      </c>
      <c r="EC50">
        <f>IF(Evalucion!ED48=Datos!$C$15,Datos!$D$15,IF(Evalucion!ED48=Datos!$C$16,Datos!$D$16,IF(Evalucion!ED48=Datos!$C$17,Datos!$D$17,IF(Evalucion!ED48=Datos!$C$18,Datos!$D$18,IF(Evalucion!ED48=Datos!$C$19,Datos!$D$19,"=")))))</f>
        <v>1</v>
      </c>
      <c r="ED50">
        <f>IF(Evalucion!EE48=Datos!$C$15,Datos!$D$15,IF(Evalucion!EE48=Datos!$C$16,Datos!$D$16,IF(Evalucion!EE48=Datos!$C$17,Datos!$D$17,IF(Evalucion!EE48=Datos!$C$18,Datos!$D$18,IF(Evalucion!EE48=Datos!$C$19,Datos!$D$19,"=")))))</f>
        <v>5</v>
      </c>
      <c r="EE50">
        <f>IF(Evalucion!EF48=Datos!$C$15,Datos!$D$15,IF(Evalucion!EF48=Datos!$C$16,Datos!$D$16,IF(Evalucion!EF48=Datos!$C$17,Datos!$D$17,IF(Evalucion!EF48=Datos!$C$18,Datos!$D$18,IF(Evalucion!EF48=Datos!$C$19,Datos!$D$19,"=")))))</f>
        <v>1</v>
      </c>
      <c r="EF50">
        <f>IF(Evalucion!EG48=Datos!$C$15,Datos!$D$15,IF(Evalucion!EG48=Datos!$C$16,Datos!$D$16,IF(Evalucion!EG48=Datos!$C$17,Datos!$D$17,IF(Evalucion!EG48=Datos!$C$18,Datos!$D$18,IF(Evalucion!EG48=Datos!$C$19,Datos!$D$19,"=")))))</f>
        <v>5</v>
      </c>
      <c r="EG50">
        <f>IF(Evalucion!EH48=Datos!$C$15,Datos!$D$15,IF(Evalucion!EH48=Datos!$C$16,Datos!$D$16,IF(Evalucion!EH48=Datos!$C$17,Datos!$D$17,IF(Evalucion!EH48=Datos!$C$18,Datos!$D$18,IF(Evalucion!EH48=Datos!$C$19,Datos!$D$19,"=")))))</f>
        <v>3</v>
      </c>
      <c r="EH50">
        <f>IF(Evalucion!EI48=Datos!$C$15,Datos!$D$15,IF(Evalucion!EI48=Datos!$C$16,Datos!$D$16,IF(Evalucion!EI48=Datos!$C$17,Datos!$D$17,IF(Evalucion!EI48=Datos!$C$18,Datos!$D$18,IF(Evalucion!EI48=Datos!$C$19,Datos!$D$19,"=")))))</f>
        <v>1</v>
      </c>
      <c r="EI50">
        <f>IF(Evalucion!EJ48=Datos!$C$15,Datos!$D$15,IF(Evalucion!EJ48=Datos!$C$16,Datos!$D$16,IF(Evalucion!EJ48=Datos!$C$17,Datos!$D$17,IF(Evalucion!EJ48=Datos!$C$18,Datos!$D$18,IF(Evalucion!EJ48=Datos!$C$19,Datos!$D$19,"=")))))</f>
        <v>1</v>
      </c>
      <c r="EJ50">
        <f>IF(Evalucion!EK48=Datos!$C$15,Datos!$D$15,IF(Evalucion!EK48=Datos!$C$16,Datos!$D$16,IF(Evalucion!EK48=Datos!$C$17,Datos!$D$17,IF(Evalucion!EK48=Datos!$C$18,Datos!$D$18,IF(Evalucion!EK48=Datos!$C$19,Datos!$D$19,"=")))))</f>
        <v>5</v>
      </c>
      <c r="EK50">
        <f>IF(Evalucion!EL48=Datos!$C$15,Datos!$D$15,IF(Evalucion!EL48=Datos!$C$16,Datos!$D$16,IF(Evalucion!EL48=Datos!$C$17,Datos!$D$17,IF(Evalucion!EL48=Datos!$C$18,Datos!$D$18,IF(Evalucion!EL48=Datos!$C$19,Datos!$D$19,"=")))))</f>
        <v>3</v>
      </c>
      <c r="EL50">
        <f>IF(Evalucion!EM48=Datos!$C$15,Datos!$D$15,IF(Evalucion!EM48=Datos!$C$16,Datos!$D$16,IF(Evalucion!EM48=Datos!$C$17,Datos!$D$17,IF(Evalucion!EM48=Datos!$C$18,Datos!$D$18,IF(Evalucion!EM48=Datos!$C$19,Datos!$D$19,"=")))))</f>
        <v>5</v>
      </c>
      <c r="EM50">
        <f>IF(Evalucion!EN48=Datos!$C$15,Datos!$D$15,IF(Evalucion!EN48=Datos!$C$16,Datos!$D$16,IF(Evalucion!EN48=Datos!$C$17,Datos!$D$17,IF(Evalucion!EN48=Datos!$C$18,Datos!$D$18,IF(Evalucion!EN48=Datos!$C$19,Datos!$D$19,"=")))))</f>
        <v>3</v>
      </c>
      <c r="EN50">
        <f>IF(Evalucion!EO48=Datos!$C$15,Datos!$D$15,IF(Evalucion!EO48=Datos!$C$16,Datos!$D$16,IF(Evalucion!EO48=Datos!$C$17,Datos!$D$17,IF(Evalucion!EO48=Datos!$C$18,Datos!$D$18,IF(Evalucion!EO48=Datos!$C$19,Datos!$D$19,"=")))))</f>
        <v>1</v>
      </c>
      <c r="EO50">
        <f>IF(Evalucion!EP48=Datos!$C$15,Datos!$D$15,IF(Evalucion!EP48=Datos!$C$16,Datos!$D$16,IF(Evalucion!EP48=Datos!$C$17,Datos!$D$17,IF(Evalucion!EP48=Datos!$C$18,Datos!$D$18,IF(Evalucion!EP48=Datos!$C$19,Datos!$D$19,"=")))))</f>
        <v>1</v>
      </c>
      <c r="EP50">
        <f>IF(Evalucion!EQ48=Datos!$C$15,Datos!$D$15,IF(Evalucion!EQ48=Datos!$C$16,Datos!$D$16,IF(Evalucion!EQ48=Datos!$C$17,Datos!$D$17,IF(Evalucion!EQ48=Datos!$C$18,Datos!$D$18,IF(Evalucion!EQ48=Datos!$C$19,Datos!$D$19,"=")))))</f>
        <v>1</v>
      </c>
      <c r="EQ50">
        <f>IF(Evalucion!ER48=Datos!$C$15,Datos!$D$15,IF(Evalucion!ER48=Datos!$C$16,Datos!$D$16,IF(Evalucion!ER48=Datos!$C$17,Datos!$D$17,IF(Evalucion!ER48=Datos!$C$18,Datos!$D$18,IF(Evalucion!ER48=Datos!$C$19,Datos!$D$19,"=")))))</f>
        <v>1</v>
      </c>
      <c r="ER50">
        <f>IF(Evalucion!ES48=Datos!$C$15,Datos!$D$15,IF(Evalucion!ES48=Datos!$C$16,Datos!$D$16,IF(Evalucion!ES48=Datos!$C$17,Datos!$D$17,IF(Evalucion!ES48=Datos!$C$18,Datos!$D$18,IF(Evalucion!ES48=Datos!$C$19,Datos!$D$19,"=")))))</f>
        <v>5</v>
      </c>
      <c r="ES50">
        <f>IF(Evalucion!ET48=Datos!$C$15,Datos!$D$15,IF(Evalucion!ET48=Datos!$C$16,Datos!$D$16,IF(Evalucion!ET48=Datos!$C$17,Datos!$D$17,IF(Evalucion!ET48=Datos!$C$18,Datos!$D$18,IF(Evalucion!ET48=Datos!$C$19,Datos!$D$19,"=")))))</f>
        <v>1</v>
      </c>
      <c r="ET50">
        <f>IF(Evalucion!EU48=Datos!$C$15,Datos!$D$15,IF(Evalucion!EU48=Datos!$C$16,Datos!$D$16,IF(Evalucion!EU48=Datos!$C$17,Datos!$D$17,IF(Evalucion!EU48=Datos!$C$18,Datos!$D$18,IF(Evalucion!EU48=Datos!$C$19,Datos!$D$19,"=")))))</f>
        <v>5</v>
      </c>
      <c r="EU50">
        <f>IF(Evalucion!EV48=Datos!$C$15,Datos!$D$15,IF(Evalucion!EV48=Datos!$C$16,Datos!$D$16,IF(Evalucion!EV48=Datos!$C$17,Datos!$D$17,IF(Evalucion!EV48=Datos!$C$18,Datos!$D$18,IF(Evalucion!EV48=Datos!$C$19,Datos!$D$19,"=")))))</f>
        <v>1</v>
      </c>
      <c r="EV50">
        <f>IF(Evalucion!EW48=Datos!$C$15,Datos!$D$15,IF(Evalucion!EW48=Datos!$C$16,Datos!$D$16,IF(Evalucion!EW48=Datos!$C$17,Datos!$D$17,IF(Evalucion!EW48=Datos!$C$18,Datos!$D$18,IF(Evalucion!EW48=Datos!$C$19,Datos!$D$19,"=")))))</f>
        <v>5</v>
      </c>
      <c r="EW50">
        <f>IF(Evalucion!EX48=Datos!$C$15,Datos!$D$15,IF(Evalucion!EX48=Datos!$C$16,Datos!$D$16,IF(Evalucion!EX48=Datos!$C$17,Datos!$D$17,IF(Evalucion!EX48=Datos!$C$18,Datos!$D$18,IF(Evalucion!EX48=Datos!$C$19,Datos!$D$19,"=")))))</f>
        <v>5</v>
      </c>
      <c r="EX50">
        <f>IF(Evalucion!EY48=Datos!$C$15,Datos!$D$15,IF(Evalucion!EY48=Datos!$C$16,Datos!$D$16,IF(Evalucion!EY48=Datos!$C$17,Datos!$D$17,IF(Evalucion!EY48=Datos!$C$18,Datos!$D$18,IF(Evalucion!EY48=Datos!$C$19,Datos!$D$19,"=")))))</f>
        <v>5</v>
      </c>
      <c r="EY50">
        <f>IF(Evalucion!EZ48=Datos!$C$15,Datos!$D$15,IF(Evalucion!EZ48=Datos!$C$16,Datos!$D$16,IF(Evalucion!EZ48=Datos!$C$17,Datos!$D$17,IF(Evalucion!EZ48=Datos!$C$18,Datos!$D$18,IF(Evalucion!EZ48=Datos!$C$19,Datos!$D$19,"=")))))</f>
        <v>3</v>
      </c>
      <c r="FA50">
        <f t="shared" si="8"/>
        <v>239</v>
      </c>
      <c r="FB50">
        <f t="shared" si="8"/>
        <v>151</v>
      </c>
      <c r="FC50" s="3">
        <f t="shared" si="4"/>
        <v>0.40266666666666667</v>
      </c>
      <c r="FD50" t="str">
        <f t="shared" si="9"/>
        <v>NO_Conf</v>
      </c>
      <c r="FF50">
        <f t="shared" si="5"/>
        <v>390</v>
      </c>
      <c r="FG50">
        <f t="shared" si="6"/>
        <v>0</v>
      </c>
    </row>
    <row r="51" spans="1:163" x14ac:dyDescent="0.2">
      <c r="A51">
        <f t="shared" si="7"/>
        <v>48</v>
      </c>
      <c r="B51" t="s">
        <v>292</v>
      </c>
      <c r="C51" t="s">
        <v>195</v>
      </c>
      <c r="D51" s="6">
        <v>43692</v>
      </c>
      <c r="E51">
        <f>IF(Evalucion!F49=Datos!$C$15,Datos!$D$15,IF(Evalucion!F49=Datos!$C$16,Datos!$D$16,IF(Evalucion!F49=Datos!$C$17,Datos!$D$17,IF(Evalucion!F49=Datos!$C$18,Datos!$D$18,IF(Evalucion!F49=Datos!$C$19,Datos!$D$19,"=")))))</f>
        <v>5</v>
      </c>
      <c r="F51">
        <f>IF(Evalucion!G49=Datos!$C$15,Datos!$D$15,IF(Evalucion!G49=Datos!$C$16,Datos!$D$16,IF(Evalucion!G49=Datos!$C$17,Datos!$D$17,IF(Evalucion!G49=Datos!$C$18,Datos!$D$18,IF(Evalucion!G49=Datos!$C$19,Datos!$D$19,"=")))))</f>
        <v>5</v>
      </c>
      <c r="G51">
        <f>IF(Evalucion!H49=Datos!$C$15,Datos!$D$15,IF(Evalucion!H49=Datos!$C$16,Datos!$D$16,IF(Evalucion!H49=Datos!$C$17,Datos!$D$17,IF(Evalucion!H49=Datos!$C$18,Datos!$D$18,IF(Evalucion!H49=Datos!$C$19,Datos!$D$19,"=")))))</f>
        <v>5</v>
      </c>
      <c r="H51">
        <f>IF(Evalucion!I49=Datos!$C$15,Datos!$D$15,IF(Evalucion!I49=Datos!$C$16,Datos!$D$16,IF(Evalucion!I49=Datos!$C$17,Datos!$D$17,IF(Evalucion!I49=Datos!$C$18,Datos!$D$18,IF(Evalucion!I49=Datos!$C$19,Datos!$D$19,"=")))))</f>
        <v>5</v>
      </c>
      <c r="I51">
        <f>IF(Evalucion!J49=Datos!$C$15,Datos!$D$15,IF(Evalucion!J49=Datos!$C$16,Datos!$D$16,IF(Evalucion!J49=Datos!$C$17,Datos!$D$17,IF(Evalucion!J49=Datos!$C$18,Datos!$D$18,IF(Evalucion!J49=Datos!$C$19,Datos!$D$19,"=")))))</f>
        <v>5</v>
      </c>
      <c r="J51">
        <f>IF(Evalucion!K49=Datos!$C$15,Datos!$D$15,IF(Evalucion!K49=Datos!$C$16,Datos!$D$16,IF(Evalucion!K49=Datos!$C$17,Datos!$D$17,IF(Evalucion!K49=Datos!$C$18,Datos!$D$18,IF(Evalucion!K49=Datos!$C$19,Datos!$D$19,"=")))))</f>
        <v>3</v>
      </c>
      <c r="K51">
        <f>IF(Evalucion!L49=Datos!$C$15,Datos!$D$15,IF(Evalucion!L49=Datos!$C$16,Datos!$D$16,IF(Evalucion!L49=Datos!$C$17,Datos!$D$17,IF(Evalucion!L49=Datos!$C$18,Datos!$D$18,IF(Evalucion!L49=Datos!$C$19,Datos!$D$19,"=")))))</f>
        <v>5</v>
      </c>
      <c r="L51">
        <f>IF(Evalucion!M49=Datos!$C$15,Datos!$D$15,IF(Evalucion!M49=Datos!$C$16,Datos!$D$16,IF(Evalucion!M49=Datos!$C$17,Datos!$D$17,IF(Evalucion!M49=Datos!$C$18,Datos!$D$18,IF(Evalucion!M49=Datos!$C$19,Datos!$D$19,"=")))))</f>
        <v>3</v>
      </c>
      <c r="M51">
        <f>IF(Evalucion!N49=Datos!$C$15,Datos!$D$15,IF(Evalucion!N49=Datos!$C$16,Datos!$D$16,IF(Evalucion!N49=Datos!$C$17,Datos!$D$17,IF(Evalucion!N49=Datos!$C$18,Datos!$D$18,IF(Evalucion!N49=Datos!$C$19,Datos!$D$19,"=")))))</f>
        <v>5</v>
      </c>
      <c r="N51">
        <f>IF(Evalucion!O49=Datos!$C$15,Datos!$D$15,IF(Evalucion!O49=Datos!$C$16,Datos!$D$16,IF(Evalucion!O49=Datos!$C$17,Datos!$D$17,IF(Evalucion!O49=Datos!$C$18,Datos!$D$18,IF(Evalucion!O49=Datos!$C$19,Datos!$D$19,"=")))))</f>
        <v>5</v>
      </c>
      <c r="O51">
        <f>IF(Evalucion!P49=Datos!$C$15,Datos!$D$15,IF(Evalucion!P49=Datos!$C$16,Datos!$D$16,IF(Evalucion!P49=Datos!$C$17,Datos!$D$17,IF(Evalucion!P49=Datos!$C$18,Datos!$D$18,IF(Evalucion!P49=Datos!$C$19,Datos!$D$19,"=")))))</f>
        <v>5</v>
      </c>
      <c r="P51">
        <f>IF(Evalucion!Q49=Datos!$C$15,Datos!$D$15,IF(Evalucion!Q49=Datos!$C$16,Datos!$D$16,IF(Evalucion!Q49=Datos!$C$17,Datos!$D$17,IF(Evalucion!Q49=Datos!$C$18,Datos!$D$18,IF(Evalucion!Q49=Datos!$C$19,Datos!$D$19,"=")))))</f>
        <v>5</v>
      </c>
      <c r="Q51">
        <f>IF(Evalucion!R49=Datos!$C$15,Datos!$D$15,IF(Evalucion!R49=Datos!$C$16,Datos!$D$16,IF(Evalucion!R49=Datos!$C$17,Datos!$D$17,IF(Evalucion!R49=Datos!$C$18,Datos!$D$18,IF(Evalucion!R49=Datos!$C$19,Datos!$D$19,"=")))))</f>
        <v>5</v>
      </c>
      <c r="R51">
        <f>IF(Evalucion!S49=Datos!$C$15,Datos!$D$15,IF(Evalucion!S49=Datos!$C$16,Datos!$D$16,IF(Evalucion!S49=Datos!$C$17,Datos!$D$17,IF(Evalucion!S49=Datos!$C$18,Datos!$D$18,IF(Evalucion!S49=Datos!$C$19,Datos!$D$19,"=")))))</f>
        <v>5</v>
      </c>
      <c r="S51">
        <f>IF(Evalucion!T49=Datos!$C$15,Datos!$D$15,IF(Evalucion!T49=Datos!$C$16,Datos!$D$16,IF(Evalucion!T49=Datos!$C$17,Datos!$D$17,IF(Evalucion!T49=Datos!$C$18,Datos!$D$18,IF(Evalucion!T49=Datos!$C$19,Datos!$D$19,"=")))))</f>
        <v>1</v>
      </c>
      <c r="T51">
        <f>IF(Evalucion!U49=Datos!$C$15,Datos!$D$15,IF(Evalucion!U49=Datos!$C$16,Datos!$D$16,IF(Evalucion!U49=Datos!$C$17,Datos!$D$17,IF(Evalucion!U49=Datos!$C$18,Datos!$D$18,IF(Evalucion!U49=Datos!$C$19,Datos!$D$19,"=")))))</f>
        <v>1</v>
      </c>
      <c r="U51">
        <f>IF(Evalucion!V49=Datos!$C$15,Datos!$D$15,IF(Evalucion!V49=Datos!$C$16,Datos!$D$16,IF(Evalucion!V49=Datos!$C$17,Datos!$D$17,IF(Evalucion!V49=Datos!$C$18,Datos!$D$18,IF(Evalucion!V49=Datos!$C$19,Datos!$D$19,"=")))))</f>
        <v>1</v>
      </c>
      <c r="V51">
        <f>IF(Evalucion!W49=Datos!$C$15,Datos!$D$15,IF(Evalucion!W49=Datos!$C$16,Datos!$D$16,IF(Evalucion!W49=Datos!$C$17,Datos!$D$17,IF(Evalucion!W49=Datos!$C$18,Datos!$D$18,IF(Evalucion!W49=Datos!$C$19,Datos!$D$19,"=")))))</f>
        <v>1</v>
      </c>
      <c r="W51">
        <f>IF(Evalucion!X49=Datos!$C$15,Datos!$D$15,IF(Evalucion!X49=Datos!$C$16,Datos!$D$16,IF(Evalucion!X49=Datos!$C$17,Datos!$D$17,IF(Evalucion!X49=Datos!$C$18,Datos!$D$18,IF(Evalucion!X49=Datos!$C$19,Datos!$D$19,"=")))))</f>
        <v>1</v>
      </c>
      <c r="X51">
        <f>IF(Evalucion!Y49=Datos!$C$15,Datos!$D$15,IF(Evalucion!Y49=Datos!$C$16,Datos!$D$16,IF(Evalucion!Y49=Datos!$C$17,Datos!$D$17,IF(Evalucion!Y49=Datos!$C$18,Datos!$D$18,IF(Evalucion!Y49=Datos!$C$19,Datos!$D$19,"=")))))</f>
        <v>1</v>
      </c>
      <c r="Y51">
        <f>IF(Evalucion!Z49=Datos!$C$15,Datos!$D$15,IF(Evalucion!Z49=Datos!$C$16,Datos!$D$16,IF(Evalucion!Z49=Datos!$C$17,Datos!$D$17,IF(Evalucion!Z49=Datos!$C$18,Datos!$D$18,IF(Evalucion!Z49=Datos!$C$19,Datos!$D$19,"=")))))</f>
        <v>1</v>
      </c>
      <c r="Z51">
        <f>IF(Evalucion!AA49=Datos!$C$15,Datos!$D$15,IF(Evalucion!AA49=Datos!$C$16,Datos!$D$16,IF(Evalucion!AA49=Datos!$C$17,Datos!$D$17,IF(Evalucion!AA49=Datos!$C$18,Datos!$D$18,IF(Evalucion!AA49=Datos!$C$19,Datos!$D$19,"=")))))</f>
        <v>1</v>
      </c>
      <c r="AA51">
        <f>IF(Evalucion!AB49=Datos!$C$15,Datos!$D$15,IF(Evalucion!AB49=Datos!$C$16,Datos!$D$16,IF(Evalucion!AB49=Datos!$C$17,Datos!$D$17,IF(Evalucion!AB49=Datos!$C$18,Datos!$D$18,IF(Evalucion!AB49=Datos!$C$19,Datos!$D$19,"=")))))</f>
        <v>1</v>
      </c>
      <c r="AB51">
        <f>IF(Evalucion!AC49=Datos!$C$15,Datos!$D$15,IF(Evalucion!AC49=Datos!$C$16,Datos!$D$16,IF(Evalucion!AC49=Datos!$C$17,Datos!$D$17,IF(Evalucion!AC49=Datos!$C$18,Datos!$D$18,IF(Evalucion!AC49=Datos!$C$19,Datos!$D$19,"=")))))</f>
        <v>1</v>
      </c>
      <c r="AC51">
        <f>IF(Evalucion!AD49=Datos!$C$15,Datos!$D$15,IF(Evalucion!AD49=Datos!$C$16,Datos!$D$16,IF(Evalucion!AD49=Datos!$C$17,Datos!$D$17,IF(Evalucion!AD49=Datos!$C$18,Datos!$D$18,IF(Evalucion!AD49=Datos!$C$19,Datos!$D$19,"=")))))</f>
        <v>1</v>
      </c>
      <c r="AD51">
        <f>IF(Evalucion!AE49=Datos!$C$15,Datos!$D$15,IF(Evalucion!AE49=Datos!$C$16,Datos!$D$16,IF(Evalucion!AE49=Datos!$C$17,Datos!$D$17,IF(Evalucion!AE49=Datos!$C$18,Datos!$D$18,IF(Evalucion!AE49=Datos!$C$19,Datos!$D$19,"=")))))</f>
        <v>1</v>
      </c>
      <c r="AE51">
        <f>IF(Evalucion!AF49=Datos!$C$15,Datos!$D$15,IF(Evalucion!AF49=Datos!$C$16,Datos!$D$16,IF(Evalucion!AF49=Datos!$C$17,Datos!$D$17,IF(Evalucion!AF49=Datos!$C$18,Datos!$D$18,IF(Evalucion!AF49=Datos!$C$19,Datos!$D$19,"=")))))</f>
        <v>5</v>
      </c>
      <c r="AF51">
        <f>IF(Evalucion!AG49=Datos!$C$15,Datos!$D$15,IF(Evalucion!AG49=Datos!$C$16,Datos!$D$16,IF(Evalucion!AG49=Datos!$C$17,Datos!$D$17,IF(Evalucion!AG49=Datos!$C$18,Datos!$D$18,IF(Evalucion!AG49=Datos!$C$19,Datos!$D$19,"=")))))</f>
        <v>5</v>
      </c>
      <c r="AO51">
        <f>IF(Evalucion!AP49=Datos!$C$15,Datos!$D$15,IF(Evalucion!AP49=Datos!$C$16,Datos!$D$16,IF(Evalucion!AP49=Datos!$C$17,Datos!$D$17,IF(Evalucion!AP49=Datos!$C$18,Datos!$D$18,IF(Evalucion!AP49=Datos!$C$19,Datos!$D$19,"=")))))</f>
        <v>5</v>
      </c>
      <c r="AP51">
        <f>IF(Evalucion!AQ49=Datos!$C$15,Datos!$D$15,IF(Evalucion!AQ49=Datos!$C$16,Datos!$D$16,IF(Evalucion!AQ49=Datos!$C$17,Datos!$D$17,IF(Evalucion!AQ49=Datos!$C$18,Datos!$D$18,IF(Evalucion!AQ49=Datos!$C$19,Datos!$D$19,"=")))))</f>
        <v>3</v>
      </c>
      <c r="AQ51">
        <f>IF(Evalucion!AR49=Datos!$C$15,Datos!$D$15,IF(Evalucion!AR49=Datos!$C$16,Datos!$D$16,IF(Evalucion!AR49=Datos!$C$17,Datos!$D$17,IF(Evalucion!AR49=Datos!$C$18,Datos!$D$18,IF(Evalucion!AR49=Datos!$C$19,Datos!$D$19,"=")))))</f>
        <v>1</v>
      </c>
      <c r="AR51">
        <f>IF(Evalucion!AS49=Datos!$C$15,Datos!$D$15,IF(Evalucion!AS49=Datos!$C$16,Datos!$D$16,IF(Evalucion!AS49=Datos!$C$17,Datos!$D$17,IF(Evalucion!AS49=Datos!$C$18,Datos!$D$18,IF(Evalucion!AS49=Datos!$C$19,Datos!$D$19,"=")))))</f>
        <v>1</v>
      </c>
      <c r="AS51">
        <f>IF(Evalucion!AT49=Datos!$C$15,Datos!$D$15,IF(Evalucion!AT49=Datos!$C$16,Datos!$D$16,IF(Evalucion!AT49=Datos!$C$17,Datos!$D$17,IF(Evalucion!AT49=Datos!$C$18,Datos!$D$18,IF(Evalucion!AT49=Datos!$C$19,Datos!$D$19,"=")))))</f>
        <v>5</v>
      </c>
      <c r="AT51">
        <f>IF(Evalucion!AU49=Datos!$C$15,Datos!$D$15,IF(Evalucion!AU49=Datos!$C$16,Datos!$D$16,IF(Evalucion!AU49=Datos!$C$17,Datos!$D$17,IF(Evalucion!AU49=Datos!$C$18,Datos!$D$18,IF(Evalucion!AU49=Datos!$C$19,Datos!$D$19,"=")))))</f>
        <v>3</v>
      </c>
      <c r="AV51">
        <f>IF(Evalucion!AW49=Datos!$C$15,Datos!$D$15,IF(Evalucion!AW49=Datos!$C$16,Datos!$D$16,IF(Evalucion!AW49=Datos!$C$17,Datos!$D$17,IF(Evalucion!AW49=Datos!$C$18,Datos!$D$18,IF(Evalucion!AW49=Datos!$C$19,Datos!$D$19,"=")))))</f>
        <v>5</v>
      </c>
      <c r="AW51">
        <f>IF(Evalucion!AX49=Datos!$C$15,Datos!$D$15,IF(Evalucion!AX49=Datos!$C$16,Datos!$D$16,IF(Evalucion!AX49=Datos!$C$17,Datos!$D$17,IF(Evalucion!AX49=Datos!$C$18,Datos!$D$18,IF(Evalucion!AX49=Datos!$C$19,Datos!$D$19,"=")))))</f>
        <v>3</v>
      </c>
      <c r="AX51">
        <f>IF(Evalucion!AY49=Datos!$C$15,Datos!$D$15,IF(Evalucion!AY49=Datos!$C$16,Datos!$D$16,IF(Evalucion!AY49=Datos!$C$17,Datos!$D$17,IF(Evalucion!AY49=Datos!$C$18,Datos!$D$18,IF(Evalucion!AY49=Datos!$C$19,Datos!$D$19,"=")))))</f>
        <v>5</v>
      </c>
      <c r="AY51">
        <f>IF(Evalucion!AZ49=Datos!$C$15,Datos!$D$15,IF(Evalucion!AZ49=Datos!$C$16,Datos!$D$16,IF(Evalucion!AZ49=Datos!$C$17,Datos!$D$17,IF(Evalucion!AZ49=Datos!$C$18,Datos!$D$18,IF(Evalucion!AZ49=Datos!$C$19,Datos!$D$19,"=")))))</f>
        <v>1</v>
      </c>
      <c r="AZ51">
        <f>IF(Evalucion!BA49=Datos!$C$15,Datos!$D$15,IF(Evalucion!BA49=Datos!$C$16,Datos!$D$16,IF(Evalucion!BA49=Datos!$C$17,Datos!$D$17,IF(Evalucion!BA49=Datos!$C$18,Datos!$D$18,IF(Evalucion!BA49=Datos!$C$19,Datos!$D$19,"=")))))</f>
        <v>5</v>
      </c>
      <c r="BA51">
        <f>IF(Evalucion!BB49=Datos!$C$15,Datos!$D$15,IF(Evalucion!BB49=Datos!$C$16,Datos!$D$16,IF(Evalucion!BB49=Datos!$C$17,Datos!$D$17,IF(Evalucion!BB49=Datos!$C$18,Datos!$D$18,IF(Evalucion!BB49=Datos!$C$19,Datos!$D$19,"=")))))</f>
        <v>5</v>
      </c>
      <c r="BB51">
        <f>IF(Evalucion!BC49=Datos!$C$15,Datos!$D$15,IF(Evalucion!BC49=Datos!$C$16,Datos!$D$16,IF(Evalucion!BC49=Datos!$C$17,Datos!$D$17,IF(Evalucion!BC49=Datos!$C$18,Datos!$D$18,IF(Evalucion!BC49=Datos!$C$19,Datos!$D$19,"=")))))</f>
        <v>5</v>
      </c>
      <c r="BC51">
        <f>IF(Evalucion!BD49=Datos!$C$15,Datos!$D$15,IF(Evalucion!BD49=Datos!$C$16,Datos!$D$16,IF(Evalucion!BD49=Datos!$C$17,Datos!$D$17,IF(Evalucion!BD49=Datos!$C$18,Datos!$D$18,IF(Evalucion!BD49=Datos!$C$19,Datos!$D$19,"=")))))</f>
        <v>1</v>
      </c>
      <c r="BD51">
        <f>IF(Evalucion!BE49=Datos!$C$15,Datos!$D$15,IF(Evalucion!BE49=Datos!$C$16,Datos!$D$16,IF(Evalucion!BE49=Datos!$C$17,Datos!$D$17,IF(Evalucion!BE49=Datos!$C$18,Datos!$D$18,IF(Evalucion!BE49=Datos!$C$19,Datos!$D$19,"=")))))</f>
        <v>5</v>
      </c>
      <c r="BE51">
        <f>IF(Evalucion!BF49=Datos!$C$15,Datos!$D$15,IF(Evalucion!BF49=Datos!$C$16,Datos!$D$16,IF(Evalucion!BF49=Datos!$C$17,Datos!$D$17,IF(Evalucion!BF49=Datos!$C$18,Datos!$D$18,IF(Evalucion!BF49=Datos!$C$19,Datos!$D$19,"=")))))</f>
        <v>1</v>
      </c>
      <c r="BF51">
        <f>IF(Evalucion!BG49=Datos!$C$15,Datos!$D$15,IF(Evalucion!BG49=Datos!$C$16,Datos!$D$16,IF(Evalucion!BG49=Datos!$C$17,Datos!$D$17,IF(Evalucion!BG49=Datos!$C$18,Datos!$D$18,IF(Evalucion!BG49=Datos!$C$19,Datos!$D$19,"=")))))</f>
        <v>5</v>
      </c>
      <c r="BG51">
        <f>IF(Evalucion!BH49=Datos!$C$15,Datos!$D$15,IF(Evalucion!BH49=Datos!$C$16,Datos!$D$16,IF(Evalucion!BH49=Datos!$C$17,Datos!$D$17,IF(Evalucion!BH49=Datos!$C$18,Datos!$D$18,IF(Evalucion!BH49=Datos!$C$19,Datos!$D$19,"=")))))</f>
        <v>5</v>
      </c>
      <c r="BH51">
        <f>IF(Evalucion!BI49=Datos!$C$15,Datos!$D$15,IF(Evalucion!BI49=Datos!$C$16,Datos!$D$16,IF(Evalucion!BI49=Datos!$C$17,Datos!$D$17,IF(Evalucion!BI49=Datos!$C$18,Datos!$D$18,IF(Evalucion!BI49=Datos!$C$19,Datos!$D$19,"=")))))</f>
        <v>5</v>
      </c>
      <c r="BI51">
        <f>IF(Evalucion!BJ49=Datos!$C$15,Datos!$D$15,IF(Evalucion!BJ49=Datos!$C$16,Datos!$D$16,IF(Evalucion!BJ49=Datos!$C$17,Datos!$D$17,IF(Evalucion!BJ49=Datos!$C$18,Datos!$D$18,IF(Evalucion!BJ49=Datos!$C$19,Datos!$D$19,"=")))))</f>
        <v>5</v>
      </c>
      <c r="BJ51">
        <f>IF(Evalucion!BK49=Datos!$C$15,Datos!$D$15,IF(Evalucion!BK49=Datos!$C$16,Datos!$D$16,IF(Evalucion!BK49=Datos!$C$17,Datos!$D$17,IF(Evalucion!BK49=Datos!$C$18,Datos!$D$18,IF(Evalucion!BK49=Datos!$C$19,Datos!$D$19,"=")))))</f>
        <v>1</v>
      </c>
      <c r="BK51">
        <f>IF(Evalucion!BL49=Datos!$C$15,Datos!$D$15,IF(Evalucion!BL49=Datos!$C$16,Datos!$D$16,IF(Evalucion!BL49=Datos!$C$17,Datos!$D$17,IF(Evalucion!BL49=Datos!$C$18,Datos!$D$18,IF(Evalucion!BL49=Datos!$C$19,Datos!$D$19,"=")))))</f>
        <v>1</v>
      </c>
      <c r="BL51">
        <f>IF(Evalucion!BM49=Datos!$C$15,Datos!$D$15,IF(Evalucion!BM49=Datos!$C$16,Datos!$D$16,IF(Evalucion!BM49=Datos!$C$17,Datos!$D$17,IF(Evalucion!BM49=Datos!$C$18,Datos!$D$18,IF(Evalucion!BM49=Datos!$C$19,Datos!$D$19,"=")))))</f>
        <v>1</v>
      </c>
      <c r="BM51">
        <f>IF(Evalucion!BN49=Datos!$C$15,Datos!$D$15,IF(Evalucion!BN49=Datos!$C$16,Datos!$D$16,IF(Evalucion!BN49=Datos!$C$17,Datos!$D$17,IF(Evalucion!BN49=Datos!$C$18,Datos!$D$18,IF(Evalucion!BN49=Datos!$C$19,Datos!$D$19,"=")))))</f>
        <v>1</v>
      </c>
      <c r="BN51">
        <f>IF(Evalucion!BO49=Datos!$C$15,Datos!$D$15,IF(Evalucion!BO49=Datos!$C$16,Datos!$D$16,IF(Evalucion!BO49=Datos!$C$17,Datos!$D$17,IF(Evalucion!BO49=Datos!$C$18,Datos!$D$18,IF(Evalucion!BO49=Datos!$C$19,Datos!$D$19,"=")))))</f>
        <v>5</v>
      </c>
      <c r="BO51">
        <f>IF(Evalucion!BP49=Datos!$C$15,Datos!$D$15,IF(Evalucion!BP49=Datos!$C$16,Datos!$D$16,IF(Evalucion!BP49=Datos!$C$17,Datos!$D$17,IF(Evalucion!BP49=Datos!$C$18,Datos!$D$18,IF(Evalucion!BP49=Datos!$C$19,Datos!$D$19,"=")))))</f>
        <v>1</v>
      </c>
      <c r="BP51">
        <f>IF(Evalucion!BQ49=Datos!$C$15,Datos!$D$15,IF(Evalucion!BQ49=Datos!$C$16,Datos!$D$16,IF(Evalucion!BQ49=Datos!$C$17,Datos!$D$17,IF(Evalucion!BQ49=Datos!$C$18,Datos!$D$18,IF(Evalucion!BQ49=Datos!$C$19,Datos!$D$19,"=")))))</f>
        <v>1</v>
      </c>
      <c r="BQ51">
        <f>IF(Evalucion!BR49=Datos!$C$15,Datos!$D$15,IF(Evalucion!BR49=Datos!$C$16,Datos!$D$16,IF(Evalucion!BR49=Datos!$C$17,Datos!$D$17,IF(Evalucion!BR49=Datos!$C$18,Datos!$D$18,IF(Evalucion!BR49=Datos!$C$19,Datos!$D$19,"=")))))</f>
        <v>1</v>
      </c>
      <c r="BR51">
        <f>IF(Evalucion!BS49=Datos!$C$15,Datos!$D$15,IF(Evalucion!BS49=Datos!$C$16,Datos!$D$16,IF(Evalucion!BS49=Datos!$C$17,Datos!$D$17,IF(Evalucion!BS49=Datos!$C$18,Datos!$D$18,IF(Evalucion!BS49=Datos!$C$19,Datos!$D$19,"=")))))</f>
        <v>1</v>
      </c>
      <c r="BS51">
        <f>IF(Evalucion!BT49=Datos!$C$15,Datos!$D$15,IF(Evalucion!BT49=Datos!$C$16,Datos!$D$16,IF(Evalucion!BT49=Datos!$C$17,Datos!$D$17,IF(Evalucion!BT49=Datos!$C$18,Datos!$D$18,IF(Evalucion!BT49=Datos!$C$19,Datos!$D$19,"=")))))</f>
        <v>1</v>
      </c>
      <c r="BT51">
        <f>IF(Evalucion!BU49=Datos!$C$15,Datos!$D$15,IF(Evalucion!BU49=Datos!$C$16,Datos!$D$16,IF(Evalucion!BU49=Datos!$C$17,Datos!$D$17,IF(Evalucion!BU49=Datos!$C$18,Datos!$D$18,IF(Evalucion!BU49=Datos!$C$19,Datos!$D$19,"=")))))</f>
        <v>5</v>
      </c>
      <c r="BU51">
        <f>IF(Evalucion!BV49=Datos!$C$15,Datos!$D$15,IF(Evalucion!BV49=Datos!$C$16,Datos!$D$16,IF(Evalucion!BV49=Datos!$C$17,Datos!$D$17,IF(Evalucion!BV49=Datos!$C$18,Datos!$D$18,IF(Evalucion!BV49=Datos!$C$19,Datos!$D$19,"=")))))</f>
        <v>3</v>
      </c>
      <c r="BV51">
        <f>IF(Evalucion!BW49=Datos!$C$15,Datos!$D$15,IF(Evalucion!BW49=Datos!$C$16,Datos!$D$16,IF(Evalucion!BW49=Datos!$C$17,Datos!$D$17,IF(Evalucion!BW49=Datos!$C$18,Datos!$D$18,IF(Evalucion!BW49=Datos!$C$19,Datos!$D$19,"=")))))</f>
        <v>5</v>
      </c>
      <c r="BW51">
        <f>IF(Evalucion!BX49=Datos!$C$15,Datos!$D$15,IF(Evalucion!BX49=Datos!$C$16,Datos!$D$16,IF(Evalucion!BX49=Datos!$C$17,Datos!$D$17,IF(Evalucion!BX49=Datos!$C$18,Datos!$D$18,IF(Evalucion!BX49=Datos!$C$19,Datos!$D$19,"=")))))</f>
        <v>3</v>
      </c>
      <c r="BX51">
        <f>IF(Evalucion!BY49=Datos!$C$15,Datos!$D$15,IF(Evalucion!BY49=Datos!$C$16,Datos!$D$16,IF(Evalucion!BY49=Datos!$C$17,Datos!$D$17,IF(Evalucion!BY49=Datos!$C$18,Datos!$D$18,IF(Evalucion!BY49=Datos!$C$19,Datos!$D$19,"=")))))</f>
        <v>1</v>
      </c>
      <c r="BY51">
        <f>IF(Evalucion!BZ49=Datos!$C$15,Datos!$D$15,IF(Evalucion!BZ49=Datos!$C$16,Datos!$D$16,IF(Evalucion!BZ49=Datos!$C$17,Datos!$D$17,IF(Evalucion!BZ49=Datos!$C$18,Datos!$D$18,IF(Evalucion!BZ49=Datos!$C$19,Datos!$D$19,"=")))))</f>
        <v>1</v>
      </c>
      <c r="BZ51">
        <f>IF(Evalucion!CA49=Datos!$C$15,Datos!$D$15,IF(Evalucion!CA49=Datos!$C$16,Datos!$D$16,IF(Evalucion!CA49=Datos!$C$17,Datos!$D$17,IF(Evalucion!CA49=Datos!$C$18,Datos!$D$18,IF(Evalucion!CA49=Datos!$C$19,Datos!$D$19,"=")))))</f>
        <v>1</v>
      </c>
      <c r="CA51">
        <f>IF(Evalucion!CB49=Datos!$C$15,Datos!$D$15,IF(Evalucion!CB49=Datos!$C$16,Datos!$D$16,IF(Evalucion!CB49=Datos!$C$17,Datos!$D$17,IF(Evalucion!CB49=Datos!$C$18,Datos!$D$18,IF(Evalucion!CB49=Datos!$C$19,Datos!$D$19,"=")))))</f>
        <v>1</v>
      </c>
      <c r="CB51">
        <f>IF(Evalucion!CC49=Datos!$C$15,Datos!$D$15,IF(Evalucion!CC49=Datos!$C$16,Datos!$D$16,IF(Evalucion!CC49=Datos!$C$17,Datos!$D$17,IF(Evalucion!CC49=Datos!$C$18,Datos!$D$18,IF(Evalucion!CC49=Datos!$C$19,Datos!$D$19,"=")))))</f>
        <v>5</v>
      </c>
      <c r="CC51">
        <f>IF(Evalucion!CD49=Datos!$C$15,Datos!$D$15,IF(Evalucion!CD49=Datos!$C$16,Datos!$D$16,IF(Evalucion!CD49=Datos!$C$17,Datos!$D$17,IF(Evalucion!CD49=Datos!$C$18,Datos!$D$18,IF(Evalucion!CD49=Datos!$C$19,Datos!$D$19,"=")))))</f>
        <v>3</v>
      </c>
      <c r="CD51">
        <f>IF(Evalucion!CE49=Datos!$C$15,Datos!$D$15,IF(Evalucion!CE49=Datos!$C$16,Datos!$D$16,IF(Evalucion!CE49=Datos!$C$17,Datos!$D$17,IF(Evalucion!CE49=Datos!$C$18,Datos!$D$18,IF(Evalucion!CE49=Datos!$C$19,Datos!$D$19,"=")))))</f>
        <v>5</v>
      </c>
      <c r="CE51">
        <f>IF(Evalucion!CF49=Datos!$C$15,Datos!$D$15,IF(Evalucion!CF49=Datos!$C$16,Datos!$D$16,IF(Evalucion!CF49=Datos!$C$17,Datos!$D$17,IF(Evalucion!CF49=Datos!$C$18,Datos!$D$18,IF(Evalucion!CF49=Datos!$C$19,Datos!$D$19,"=")))))</f>
        <v>3</v>
      </c>
      <c r="CF51">
        <f>IF(Evalucion!CG49=Datos!$C$15,Datos!$D$15,IF(Evalucion!CG49=Datos!$C$16,Datos!$D$16,IF(Evalucion!CG49=Datos!$C$17,Datos!$D$17,IF(Evalucion!CG49=Datos!$C$18,Datos!$D$18,IF(Evalucion!CG49=Datos!$C$19,Datos!$D$19,"=")))))</f>
        <v>1</v>
      </c>
      <c r="CG51">
        <f>IF(Evalucion!CH49=Datos!$C$15,Datos!$D$15,IF(Evalucion!CH49=Datos!$C$16,Datos!$D$16,IF(Evalucion!CH49=Datos!$C$17,Datos!$D$17,IF(Evalucion!CH49=Datos!$C$18,Datos!$D$18,IF(Evalucion!CH49=Datos!$C$19,Datos!$D$19,"=")))))</f>
        <v>1</v>
      </c>
      <c r="CH51">
        <f>IF(Evalucion!CI49=Datos!$C$15,Datos!$D$15,IF(Evalucion!CI49=Datos!$C$16,Datos!$D$16,IF(Evalucion!CI49=Datos!$C$17,Datos!$D$17,IF(Evalucion!CI49=Datos!$C$18,Datos!$D$18,IF(Evalucion!CI49=Datos!$C$19,Datos!$D$19,"=")))))</f>
        <v>5</v>
      </c>
      <c r="CI51">
        <f>IF(Evalucion!CJ49=Datos!$C$15,Datos!$D$15,IF(Evalucion!CJ49=Datos!$C$16,Datos!$D$16,IF(Evalucion!CJ49=Datos!$C$17,Datos!$D$17,IF(Evalucion!CJ49=Datos!$C$18,Datos!$D$18,IF(Evalucion!CJ49=Datos!$C$19,Datos!$D$19,"=")))))</f>
        <v>3</v>
      </c>
      <c r="CJ51">
        <f>IF(Evalucion!CK49=Datos!$C$15,Datos!$D$15,IF(Evalucion!CK49=Datos!$C$16,Datos!$D$16,IF(Evalucion!CK49=Datos!$C$17,Datos!$D$17,IF(Evalucion!CK49=Datos!$C$18,Datos!$D$18,IF(Evalucion!CK49=Datos!$C$19,Datos!$D$19,"=")))))</f>
        <v>5</v>
      </c>
      <c r="CK51">
        <f>IF(Evalucion!CL49=Datos!$C$15,Datos!$D$15,IF(Evalucion!CL49=Datos!$C$16,Datos!$D$16,IF(Evalucion!CL49=Datos!$C$17,Datos!$D$17,IF(Evalucion!CL49=Datos!$C$18,Datos!$D$18,IF(Evalucion!CL49=Datos!$C$19,Datos!$D$19,"=")))))</f>
        <v>1</v>
      </c>
      <c r="CL51">
        <f>IF(Evalucion!CM49=Datos!$C$15,Datos!$D$15,IF(Evalucion!CM49=Datos!$C$16,Datos!$D$16,IF(Evalucion!CM49=Datos!$C$17,Datos!$D$17,IF(Evalucion!CM49=Datos!$C$18,Datos!$D$18,IF(Evalucion!CM49=Datos!$C$19,Datos!$D$19,"=")))))</f>
        <v>5</v>
      </c>
      <c r="CM51">
        <f>IF(Evalucion!CN49=Datos!$C$15,Datos!$D$15,IF(Evalucion!CN49=Datos!$C$16,Datos!$D$16,IF(Evalucion!CN49=Datos!$C$17,Datos!$D$17,IF(Evalucion!CN49=Datos!$C$18,Datos!$D$18,IF(Evalucion!CN49=Datos!$C$19,Datos!$D$19,"=")))))</f>
        <v>3</v>
      </c>
      <c r="CN51">
        <f>IF(Evalucion!CO49=Datos!$C$15,Datos!$D$15,IF(Evalucion!CO49=Datos!$C$16,Datos!$D$16,IF(Evalucion!CO49=Datos!$C$17,Datos!$D$17,IF(Evalucion!CO49=Datos!$C$18,Datos!$D$18,IF(Evalucion!CO49=Datos!$C$19,Datos!$D$19,"=")))))</f>
        <v>5</v>
      </c>
      <c r="CO51">
        <f>IF(Evalucion!CP49=Datos!$C$15,Datos!$D$15,IF(Evalucion!CP49=Datos!$C$16,Datos!$D$16,IF(Evalucion!CP49=Datos!$C$17,Datos!$D$17,IF(Evalucion!CP49=Datos!$C$18,Datos!$D$18,IF(Evalucion!CP49=Datos!$C$19,Datos!$D$19,"=")))))</f>
        <v>5</v>
      </c>
      <c r="CP51">
        <f>IF(Evalucion!CQ49=Datos!$C$15,Datos!$D$15,IF(Evalucion!CQ49=Datos!$C$16,Datos!$D$16,IF(Evalucion!CQ49=Datos!$C$17,Datos!$D$17,IF(Evalucion!CQ49=Datos!$C$18,Datos!$D$18,IF(Evalucion!CQ49=Datos!$C$19,Datos!$D$19,"=")))))</f>
        <v>1</v>
      </c>
      <c r="CQ51">
        <f>IF(Evalucion!CR49=Datos!$C$15,Datos!$D$15,IF(Evalucion!CR49=Datos!$C$16,Datos!$D$16,IF(Evalucion!CR49=Datos!$C$17,Datos!$D$17,IF(Evalucion!CR49=Datos!$C$18,Datos!$D$18,IF(Evalucion!CR49=Datos!$C$19,Datos!$D$19,"=")))))</f>
        <v>1</v>
      </c>
      <c r="CR51">
        <f>IF(Evalucion!CS49=Datos!$C$15,Datos!$D$15,IF(Evalucion!CS49=Datos!$C$16,Datos!$D$16,IF(Evalucion!CS49=Datos!$C$17,Datos!$D$17,IF(Evalucion!CS49=Datos!$C$18,Datos!$D$18,IF(Evalucion!CS49=Datos!$C$19,Datos!$D$19,"=")))))</f>
        <v>5</v>
      </c>
      <c r="CS51">
        <f>IF(Evalucion!CT49=Datos!$C$15,Datos!$D$15,IF(Evalucion!CT49=Datos!$C$16,Datos!$D$16,IF(Evalucion!CT49=Datos!$C$17,Datos!$D$17,IF(Evalucion!CT49=Datos!$C$18,Datos!$D$18,IF(Evalucion!CT49=Datos!$C$19,Datos!$D$19,"=")))))</f>
        <v>3</v>
      </c>
      <c r="CT51">
        <f>IF(Evalucion!CU49=Datos!$C$15,Datos!$D$15,IF(Evalucion!CU49=Datos!$C$16,Datos!$D$16,IF(Evalucion!CU49=Datos!$C$17,Datos!$D$17,IF(Evalucion!CU49=Datos!$C$18,Datos!$D$18,IF(Evalucion!CU49=Datos!$C$19,Datos!$D$19,"=")))))</f>
        <v>1</v>
      </c>
      <c r="CU51">
        <f>IF(Evalucion!CV49=Datos!$C$15,Datos!$D$15,IF(Evalucion!CV49=Datos!$C$16,Datos!$D$16,IF(Evalucion!CV49=Datos!$C$17,Datos!$D$17,IF(Evalucion!CV49=Datos!$C$18,Datos!$D$18,IF(Evalucion!CV49=Datos!$C$19,Datos!$D$19,"=")))))</f>
        <v>1</v>
      </c>
      <c r="CV51">
        <f>IF(Evalucion!CW49=Datos!$C$15,Datos!$D$15,IF(Evalucion!CW49=Datos!$C$16,Datos!$D$16,IF(Evalucion!CW49=Datos!$C$17,Datos!$D$17,IF(Evalucion!CW49=Datos!$C$18,Datos!$D$18,IF(Evalucion!CW49=Datos!$C$19,Datos!$D$19,"=")))))</f>
        <v>5</v>
      </c>
      <c r="CW51">
        <f>IF(Evalucion!CX49=Datos!$C$15,Datos!$D$15,IF(Evalucion!CX49=Datos!$C$16,Datos!$D$16,IF(Evalucion!CX49=Datos!$C$17,Datos!$D$17,IF(Evalucion!CX49=Datos!$C$18,Datos!$D$18,IF(Evalucion!CX49=Datos!$C$19,Datos!$D$19,"=")))))</f>
        <v>3</v>
      </c>
      <c r="CX51">
        <f>IF(Evalucion!CY49=Datos!$C$15,Datos!$D$15,IF(Evalucion!CY49=Datos!$C$16,Datos!$D$16,IF(Evalucion!CY49=Datos!$C$17,Datos!$D$17,IF(Evalucion!CY49=Datos!$C$18,Datos!$D$18,IF(Evalucion!CY49=Datos!$C$19,Datos!$D$19,"=")))))</f>
        <v>1</v>
      </c>
      <c r="CY51">
        <f>IF(Evalucion!CZ49=Datos!$C$15,Datos!$D$15,IF(Evalucion!CZ49=Datos!$C$16,Datos!$D$16,IF(Evalucion!CZ49=Datos!$C$17,Datos!$D$17,IF(Evalucion!CZ49=Datos!$C$18,Datos!$D$18,IF(Evalucion!CZ49=Datos!$C$19,Datos!$D$19,"=")))))</f>
        <v>1</v>
      </c>
      <c r="CZ51">
        <f>IF(Evalucion!DA49=Datos!$C$15,Datos!$D$15,IF(Evalucion!DA49=Datos!$C$16,Datos!$D$16,IF(Evalucion!DA49=Datos!$C$17,Datos!$D$17,IF(Evalucion!DA49=Datos!$C$18,Datos!$D$18,IF(Evalucion!DA49=Datos!$C$19,Datos!$D$19,"=")))))</f>
        <v>1</v>
      </c>
      <c r="DA51">
        <f>IF(Evalucion!DB49=Datos!$C$15,Datos!$D$15,IF(Evalucion!DB49=Datos!$C$16,Datos!$D$16,IF(Evalucion!DB49=Datos!$C$17,Datos!$D$17,IF(Evalucion!DB49=Datos!$C$18,Datos!$D$18,IF(Evalucion!DB49=Datos!$C$19,Datos!$D$19,"=")))))</f>
        <v>1</v>
      </c>
      <c r="DB51">
        <f>IF(Evalucion!DC49=Datos!$C$15,Datos!$D$15,IF(Evalucion!DC49=Datos!$C$16,Datos!$D$16,IF(Evalucion!DC49=Datos!$C$17,Datos!$D$17,IF(Evalucion!DC49=Datos!$C$18,Datos!$D$18,IF(Evalucion!DC49=Datos!$C$19,Datos!$D$19,"=")))))</f>
        <v>5</v>
      </c>
      <c r="DC51">
        <f>IF(Evalucion!DD49=Datos!$C$15,Datos!$D$15,IF(Evalucion!DD49=Datos!$C$16,Datos!$D$16,IF(Evalucion!DD49=Datos!$C$17,Datos!$D$17,IF(Evalucion!DD49=Datos!$C$18,Datos!$D$18,IF(Evalucion!DD49=Datos!$C$19,Datos!$D$19,"=")))))</f>
        <v>1</v>
      </c>
      <c r="DD51">
        <f>IF(Evalucion!DE49=Datos!$C$15,Datos!$D$15,IF(Evalucion!DE49=Datos!$C$16,Datos!$D$16,IF(Evalucion!DE49=Datos!$C$17,Datos!$D$17,IF(Evalucion!DE49=Datos!$C$18,Datos!$D$18,IF(Evalucion!DE49=Datos!$C$19,Datos!$D$19,"=")))))</f>
        <v>1</v>
      </c>
      <c r="DE51">
        <f>IF(Evalucion!DF49=Datos!$C$15,Datos!$D$15,IF(Evalucion!DF49=Datos!$C$16,Datos!$D$16,IF(Evalucion!DF49=Datos!$C$17,Datos!$D$17,IF(Evalucion!DF49=Datos!$C$18,Datos!$D$18,IF(Evalucion!DF49=Datos!$C$19,Datos!$D$19,"=")))))</f>
        <v>1</v>
      </c>
      <c r="DF51">
        <f>IF(Evalucion!DG49=Datos!$C$15,Datos!$D$15,IF(Evalucion!DG49=Datos!$C$16,Datos!$D$16,IF(Evalucion!DG49=Datos!$C$17,Datos!$D$17,IF(Evalucion!DG49=Datos!$C$18,Datos!$D$18,IF(Evalucion!DG49=Datos!$C$19,Datos!$D$19,"=")))))</f>
        <v>5</v>
      </c>
      <c r="DG51">
        <f>IF(Evalucion!DH49=Datos!$C$15,Datos!$D$15,IF(Evalucion!DH49=Datos!$C$16,Datos!$D$16,IF(Evalucion!DH49=Datos!$C$17,Datos!$D$17,IF(Evalucion!DH49=Datos!$C$18,Datos!$D$18,IF(Evalucion!DH49=Datos!$C$19,Datos!$D$19,"=")))))</f>
        <v>3</v>
      </c>
      <c r="DH51">
        <f>IF(Evalucion!DI49=Datos!$C$15,Datos!$D$15,IF(Evalucion!DI49=Datos!$C$16,Datos!$D$16,IF(Evalucion!DI49=Datos!$C$17,Datos!$D$17,IF(Evalucion!DI49=Datos!$C$18,Datos!$D$18,IF(Evalucion!DI49=Datos!$C$19,Datos!$D$19,"=")))))</f>
        <v>1</v>
      </c>
      <c r="DI51">
        <f>IF(Evalucion!DJ49=Datos!$C$15,Datos!$D$15,IF(Evalucion!DJ49=Datos!$C$16,Datos!$D$16,IF(Evalucion!DJ49=Datos!$C$17,Datos!$D$17,IF(Evalucion!DJ49=Datos!$C$18,Datos!$D$18,IF(Evalucion!DJ49=Datos!$C$19,Datos!$D$19,"=")))))</f>
        <v>1</v>
      </c>
      <c r="DJ51">
        <f>IF(Evalucion!DK49=Datos!$C$15,Datos!$D$15,IF(Evalucion!DK49=Datos!$C$16,Datos!$D$16,IF(Evalucion!DK49=Datos!$C$17,Datos!$D$17,IF(Evalucion!DK49=Datos!$C$18,Datos!$D$18,IF(Evalucion!DK49=Datos!$C$19,Datos!$D$19,"=")))))</f>
        <v>1</v>
      </c>
      <c r="DK51">
        <f>IF(Evalucion!DL49=Datos!$C$15,Datos!$D$15,IF(Evalucion!DL49=Datos!$C$16,Datos!$D$16,IF(Evalucion!DL49=Datos!$C$17,Datos!$D$17,IF(Evalucion!DL49=Datos!$C$18,Datos!$D$18,IF(Evalucion!DL49=Datos!$C$19,Datos!$D$19,"=")))))</f>
        <v>1</v>
      </c>
      <c r="DL51">
        <f>IF(Evalucion!DM49=Datos!$C$15,Datos!$D$15,IF(Evalucion!DM49=Datos!$C$16,Datos!$D$16,IF(Evalucion!DM49=Datos!$C$17,Datos!$D$17,IF(Evalucion!DM49=Datos!$C$18,Datos!$D$18,IF(Evalucion!DM49=Datos!$C$19,Datos!$D$19,"=")))))</f>
        <v>1</v>
      </c>
      <c r="DM51">
        <f>IF(Evalucion!DN49=Datos!$C$15,Datos!$D$15,IF(Evalucion!DN49=Datos!$C$16,Datos!$D$16,IF(Evalucion!DN49=Datos!$C$17,Datos!$D$17,IF(Evalucion!DN49=Datos!$C$18,Datos!$D$18,IF(Evalucion!DN49=Datos!$C$19,Datos!$D$19,"=")))))</f>
        <v>1</v>
      </c>
      <c r="DN51">
        <f>IF(Evalucion!DO49=Datos!$C$15,Datos!$D$15,IF(Evalucion!DO49=Datos!$C$16,Datos!$D$16,IF(Evalucion!DO49=Datos!$C$17,Datos!$D$17,IF(Evalucion!DO49=Datos!$C$18,Datos!$D$18,IF(Evalucion!DO49=Datos!$C$19,Datos!$D$19,"=")))))</f>
        <v>5</v>
      </c>
      <c r="DO51">
        <f>IF(Evalucion!DP49=Datos!$C$15,Datos!$D$15,IF(Evalucion!DP49=Datos!$C$16,Datos!$D$16,IF(Evalucion!DP49=Datos!$C$17,Datos!$D$17,IF(Evalucion!DP49=Datos!$C$18,Datos!$D$18,IF(Evalucion!DP49=Datos!$C$19,Datos!$D$19,"=")))))</f>
        <v>1</v>
      </c>
      <c r="DP51">
        <f>IF(Evalucion!DQ49=Datos!$C$15,Datos!$D$15,IF(Evalucion!DQ49=Datos!$C$16,Datos!$D$16,IF(Evalucion!DQ49=Datos!$C$17,Datos!$D$17,IF(Evalucion!DQ49=Datos!$C$18,Datos!$D$18,IF(Evalucion!DQ49=Datos!$C$19,Datos!$D$19,"=")))))</f>
        <v>5</v>
      </c>
      <c r="DQ51">
        <f>IF(Evalucion!DR49=Datos!$C$15,Datos!$D$15,IF(Evalucion!DR49=Datos!$C$16,Datos!$D$16,IF(Evalucion!DR49=Datos!$C$17,Datos!$D$17,IF(Evalucion!DR49=Datos!$C$18,Datos!$D$18,IF(Evalucion!DR49=Datos!$C$19,Datos!$D$19,"=")))))</f>
        <v>1</v>
      </c>
      <c r="DR51">
        <f>IF(Evalucion!DS49=Datos!$C$15,Datos!$D$15,IF(Evalucion!DS49=Datos!$C$16,Datos!$D$16,IF(Evalucion!DS49=Datos!$C$17,Datos!$D$17,IF(Evalucion!DS49=Datos!$C$18,Datos!$D$18,IF(Evalucion!DS49=Datos!$C$19,Datos!$D$19,"=")))))</f>
        <v>1</v>
      </c>
      <c r="DS51">
        <f>IF(Evalucion!DT49=Datos!$C$15,Datos!$D$15,IF(Evalucion!DT49=Datos!$C$16,Datos!$D$16,IF(Evalucion!DT49=Datos!$C$17,Datos!$D$17,IF(Evalucion!DT49=Datos!$C$18,Datos!$D$18,IF(Evalucion!DT49=Datos!$C$19,Datos!$D$19,"=")))))</f>
        <v>1</v>
      </c>
      <c r="DT51">
        <f>IF(Evalucion!DU49=Datos!$C$15,Datos!$D$15,IF(Evalucion!DU49=Datos!$C$16,Datos!$D$16,IF(Evalucion!DU49=Datos!$C$17,Datos!$D$17,IF(Evalucion!DU49=Datos!$C$18,Datos!$D$18,IF(Evalucion!DU49=Datos!$C$19,Datos!$D$19,"=")))))</f>
        <v>5</v>
      </c>
      <c r="DU51">
        <f>IF(Evalucion!DV49=Datos!$C$15,Datos!$D$15,IF(Evalucion!DV49=Datos!$C$16,Datos!$D$16,IF(Evalucion!DV49=Datos!$C$17,Datos!$D$17,IF(Evalucion!DV49=Datos!$C$18,Datos!$D$18,IF(Evalucion!DV49=Datos!$C$19,Datos!$D$19,"=")))))</f>
        <v>1</v>
      </c>
      <c r="DV51">
        <f>IF(Evalucion!DW49=Datos!$C$15,Datos!$D$15,IF(Evalucion!DW49=Datos!$C$16,Datos!$D$16,IF(Evalucion!DW49=Datos!$C$17,Datos!$D$17,IF(Evalucion!DW49=Datos!$C$18,Datos!$D$18,IF(Evalucion!DW49=Datos!$C$19,Datos!$D$19,"=")))))</f>
        <v>1</v>
      </c>
      <c r="DW51">
        <f>IF(Evalucion!DX49=Datos!$C$15,Datos!$D$15,IF(Evalucion!DX49=Datos!$C$16,Datos!$D$16,IF(Evalucion!DX49=Datos!$C$17,Datos!$D$17,IF(Evalucion!DX49=Datos!$C$18,Datos!$D$18,IF(Evalucion!DX49=Datos!$C$19,Datos!$D$19,"=")))))</f>
        <v>1</v>
      </c>
      <c r="DX51">
        <f>IF(Evalucion!DY49=Datos!$C$15,Datos!$D$15,IF(Evalucion!DY49=Datos!$C$16,Datos!$D$16,IF(Evalucion!DY49=Datos!$C$17,Datos!$D$17,IF(Evalucion!DY49=Datos!$C$18,Datos!$D$18,IF(Evalucion!DY49=Datos!$C$19,Datos!$D$19,"=")))))</f>
        <v>1</v>
      </c>
      <c r="DY51">
        <f>IF(Evalucion!DZ49=Datos!$C$15,Datos!$D$15,IF(Evalucion!DZ49=Datos!$C$16,Datos!$D$16,IF(Evalucion!DZ49=Datos!$C$17,Datos!$D$17,IF(Evalucion!DZ49=Datos!$C$18,Datos!$D$18,IF(Evalucion!DZ49=Datos!$C$19,Datos!$D$19,"=")))))</f>
        <v>1</v>
      </c>
      <c r="DZ51">
        <f>IF(Evalucion!EA49=Datos!$C$15,Datos!$D$15,IF(Evalucion!EA49=Datos!$C$16,Datos!$D$16,IF(Evalucion!EA49=Datos!$C$17,Datos!$D$17,IF(Evalucion!EA49=Datos!$C$18,Datos!$D$18,IF(Evalucion!EA49=Datos!$C$19,Datos!$D$19,"=")))))</f>
        <v>5</v>
      </c>
      <c r="EA51">
        <f>IF(Evalucion!EB49=Datos!$C$15,Datos!$D$15,IF(Evalucion!EB49=Datos!$C$16,Datos!$D$16,IF(Evalucion!EB49=Datos!$C$17,Datos!$D$17,IF(Evalucion!EB49=Datos!$C$18,Datos!$D$18,IF(Evalucion!EB49=Datos!$C$19,Datos!$D$19,"=")))))</f>
        <v>1</v>
      </c>
      <c r="EB51">
        <f>IF(Evalucion!EC49=Datos!$C$15,Datos!$D$15,IF(Evalucion!EC49=Datos!$C$16,Datos!$D$16,IF(Evalucion!EC49=Datos!$C$17,Datos!$D$17,IF(Evalucion!EC49=Datos!$C$18,Datos!$D$18,IF(Evalucion!EC49=Datos!$C$19,Datos!$D$19,"=")))))</f>
        <v>1</v>
      </c>
      <c r="EC51">
        <f>IF(Evalucion!ED49=Datos!$C$15,Datos!$D$15,IF(Evalucion!ED49=Datos!$C$16,Datos!$D$16,IF(Evalucion!ED49=Datos!$C$17,Datos!$D$17,IF(Evalucion!ED49=Datos!$C$18,Datos!$D$18,IF(Evalucion!ED49=Datos!$C$19,Datos!$D$19,"=")))))</f>
        <v>1</v>
      </c>
      <c r="ED51">
        <f>IF(Evalucion!EE49=Datos!$C$15,Datos!$D$15,IF(Evalucion!EE49=Datos!$C$16,Datos!$D$16,IF(Evalucion!EE49=Datos!$C$17,Datos!$D$17,IF(Evalucion!EE49=Datos!$C$18,Datos!$D$18,IF(Evalucion!EE49=Datos!$C$19,Datos!$D$19,"=")))))</f>
        <v>5</v>
      </c>
      <c r="EE51">
        <f>IF(Evalucion!EF49=Datos!$C$15,Datos!$D$15,IF(Evalucion!EF49=Datos!$C$16,Datos!$D$16,IF(Evalucion!EF49=Datos!$C$17,Datos!$D$17,IF(Evalucion!EF49=Datos!$C$18,Datos!$D$18,IF(Evalucion!EF49=Datos!$C$19,Datos!$D$19,"=")))))</f>
        <v>1</v>
      </c>
      <c r="EF51">
        <f>IF(Evalucion!EG49=Datos!$C$15,Datos!$D$15,IF(Evalucion!EG49=Datos!$C$16,Datos!$D$16,IF(Evalucion!EG49=Datos!$C$17,Datos!$D$17,IF(Evalucion!EG49=Datos!$C$18,Datos!$D$18,IF(Evalucion!EG49=Datos!$C$19,Datos!$D$19,"=")))))</f>
        <v>5</v>
      </c>
      <c r="EG51">
        <f>IF(Evalucion!EH49=Datos!$C$15,Datos!$D$15,IF(Evalucion!EH49=Datos!$C$16,Datos!$D$16,IF(Evalucion!EH49=Datos!$C$17,Datos!$D$17,IF(Evalucion!EH49=Datos!$C$18,Datos!$D$18,IF(Evalucion!EH49=Datos!$C$19,Datos!$D$19,"=")))))</f>
        <v>3</v>
      </c>
      <c r="EH51">
        <f>IF(Evalucion!EI49=Datos!$C$15,Datos!$D$15,IF(Evalucion!EI49=Datos!$C$16,Datos!$D$16,IF(Evalucion!EI49=Datos!$C$17,Datos!$D$17,IF(Evalucion!EI49=Datos!$C$18,Datos!$D$18,IF(Evalucion!EI49=Datos!$C$19,Datos!$D$19,"=")))))</f>
        <v>1</v>
      </c>
      <c r="EI51">
        <f>IF(Evalucion!EJ49=Datos!$C$15,Datos!$D$15,IF(Evalucion!EJ49=Datos!$C$16,Datos!$D$16,IF(Evalucion!EJ49=Datos!$C$17,Datos!$D$17,IF(Evalucion!EJ49=Datos!$C$18,Datos!$D$18,IF(Evalucion!EJ49=Datos!$C$19,Datos!$D$19,"=")))))</f>
        <v>1</v>
      </c>
      <c r="EJ51">
        <f>IF(Evalucion!EK49=Datos!$C$15,Datos!$D$15,IF(Evalucion!EK49=Datos!$C$16,Datos!$D$16,IF(Evalucion!EK49=Datos!$C$17,Datos!$D$17,IF(Evalucion!EK49=Datos!$C$18,Datos!$D$18,IF(Evalucion!EK49=Datos!$C$19,Datos!$D$19,"=")))))</f>
        <v>5</v>
      </c>
      <c r="EK51">
        <f>IF(Evalucion!EL49=Datos!$C$15,Datos!$D$15,IF(Evalucion!EL49=Datos!$C$16,Datos!$D$16,IF(Evalucion!EL49=Datos!$C$17,Datos!$D$17,IF(Evalucion!EL49=Datos!$C$18,Datos!$D$18,IF(Evalucion!EL49=Datos!$C$19,Datos!$D$19,"=")))))</f>
        <v>3</v>
      </c>
      <c r="EL51">
        <f>IF(Evalucion!EM49=Datos!$C$15,Datos!$D$15,IF(Evalucion!EM49=Datos!$C$16,Datos!$D$16,IF(Evalucion!EM49=Datos!$C$17,Datos!$D$17,IF(Evalucion!EM49=Datos!$C$18,Datos!$D$18,IF(Evalucion!EM49=Datos!$C$19,Datos!$D$19,"=")))))</f>
        <v>5</v>
      </c>
      <c r="EM51">
        <f>IF(Evalucion!EN49=Datos!$C$15,Datos!$D$15,IF(Evalucion!EN49=Datos!$C$16,Datos!$D$16,IF(Evalucion!EN49=Datos!$C$17,Datos!$D$17,IF(Evalucion!EN49=Datos!$C$18,Datos!$D$18,IF(Evalucion!EN49=Datos!$C$19,Datos!$D$19,"=")))))</f>
        <v>3</v>
      </c>
      <c r="EN51">
        <f>IF(Evalucion!EO49=Datos!$C$15,Datos!$D$15,IF(Evalucion!EO49=Datos!$C$16,Datos!$D$16,IF(Evalucion!EO49=Datos!$C$17,Datos!$D$17,IF(Evalucion!EO49=Datos!$C$18,Datos!$D$18,IF(Evalucion!EO49=Datos!$C$19,Datos!$D$19,"=")))))</f>
        <v>1</v>
      </c>
      <c r="EO51">
        <f>IF(Evalucion!EP49=Datos!$C$15,Datos!$D$15,IF(Evalucion!EP49=Datos!$C$16,Datos!$D$16,IF(Evalucion!EP49=Datos!$C$17,Datos!$D$17,IF(Evalucion!EP49=Datos!$C$18,Datos!$D$18,IF(Evalucion!EP49=Datos!$C$19,Datos!$D$19,"=")))))</f>
        <v>1</v>
      </c>
      <c r="EP51">
        <f>IF(Evalucion!EQ49=Datos!$C$15,Datos!$D$15,IF(Evalucion!EQ49=Datos!$C$16,Datos!$D$16,IF(Evalucion!EQ49=Datos!$C$17,Datos!$D$17,IF(Evalucion!EQ49=Datos!$C$18,Datos!$D$18,IF(Evalucion!EQ49=Datos!$C$19,Datos!$D$19,"=")))))</f>
        <v>1</v>
      </c>
      <c r="EQ51">
        <f>IF(Evalucion!ER49=Datos!$C$15,Datos!$D$15,IF(Evalucion!ER49=Datos!$C$16,Datos!$D$16,IF(Evalucion!ER49=Datos!$C$17,Datos!$D$17,IF(Evalucion!ER49=Datos!$C$18,Datos!$D$18,IF(Evalucion!ER49=Datos!$C$19,Datos!$D$19,"=")))))</f>
        <v>1</v>
      </c>
      <c r="ER51">
        <f>IF(Evalucion!ES49=Datos!$C$15,Datos!$D$15,IF(Evalucion!ES49=Datos!$C$16,Datos!$D$16,IF(Evalucion!ES49=Datos!$C$17,Datos!$D$17,IF(Evalucion!ES49=Datos!$C$18,Datos!$D$18,IF(Evalucion!ES49=Datos!$C$19,Datos!$D$19,"=")))))</f>
        <v>5</v>
      </c>
      <c r="ES51">
        <f>IF(Evalucion!ET49=Datos!$C$15,Datos!$D$15,IF(Evalucion!ET49=Datos!$C$16,Datos!$D$16,IF(Evalucion!ET49=Datos!$C$17,Datos!$D$17,IF(Evalucion!ET49=Datos!$C$18,Datos!$D$18,IF(Evalucion!ET49=Datos!$C$19,Datos!$D$19,"=")))))</f>
        <v>1</v>
      </c>
      <c r="ET51">
        <f>IF(Evalucion!EU49=Datos!$C$15,Datos!$D$15,IF(Evalucion!EU49=Datos!$C$16,Datos!$D$16,IF(Evalucion!EU49=Datos!$C$17,Datos!$D$17,IF(Evalucion!EU49=Datos!$C$18,Datos!$D$18,IF(Evalucion!EU49=Datos!$C$19,Datos!$D$19,"=")))))</f>
        <v>5</v>
      </c>
      <c r="EU51">
        <f>IF(Evalucion!EV49=Datos!$C$15,Datos!$D$15,IF(Evalucion!EV49=Datos!$C$16,Datos!$D$16,IF(Evalucion!EV49=Datos!$C$17,Datos!$D$17,IF(Evalucion!EV49=Datos!$C$18,Datos!$D$18,IF(Evalucion!EV49=Datos!$C$19,Datos!$D$19,"=")))))</f>
        <v>1</v>
      </c>
      <c r="EV51">
        <f>IF(Evalucion!EW49=Datos!$C$15,Datos!$D$15,IF(Evalucion!EW49=Datos!$C$16,Datos!$D$16,IF(Evalucion!EW49=Datos!$C$17,Datos!$D$17,IF(Evalucion!EW49=Datos!$C$18,Datos!$D$18,IF(Evalucion!EW49=Datos!$C$19,Datos!$D$19,"=")))))</f>
        <v>5</v>
      </c>
      <c r="EW51">
        <f>IF(Evalucion!EX49=Datos!$C$15,Datos!$D$15,IF(Evalucion!EX49=Datos!$C$16,Datos!$D$16,IF(Evalucion!EX49=Datos!$C$17,Datos!$D$17,IF(Evalucion!EX49=Datos!$C$18,Datos!$D$18,IF(Evalucion!EX49=Datos!$C$19,Datos!$D$19,"=")))))</f>
        <v>5</v>
      </c>
      <c r="EX51">
        <f>IF(Evalucion!EY49=Datos!$C$15,Datos!$D$15,IF(Evalucion!EY49=Datos!$C$16,Datos!$D$16,IF(Evalucion!EY49=Datos!$C$17,Datos!$D$17,IF(Evalucion!EY49=Datos!$C$18,Datos!$D$18,IF(Evalucion!EY49=Datos!$C$19,Datos!$D$19,"=")))))</f>
        <v>5</v>
      </c>
      <c r="EY51">
        <f>IF(Evalucion!EZ49=Datos!$C$15,Datos!$D$15,IF(Evalucion!EZ49=Datos!$C$16,Datos!$D$16,IF(Evalucion!EZ49=Datos!$C$17,Datos!$D$17,IF(Evalucion!EZ49=Datos!$C$18,Datos!$D$18,IF(Evalucion!EZ49=Datos!$C$19,Datos!$D$19,"=")))))</f>
        <v>3</v>
      </c>
      <c r="FA51">
        <f t="shared" si="8"/>
        <v>239</v>
      </c>
      <c r="FB51">
        <f t="shared" si="8"/>
        <v>151</v>
      </c>
      <c r="FC51" s="3">
        <f t="shared" si="4"/>
        <v>0.40266666666666667</v>
      </c>
      <c r="FD51" t="str">
        <f t="shared" si="9"/>
        <v>NO_Conf</v>
      </c>
      <c r="FF51">
        <f t="shared" si="5"/>
        <v>390</v>
      </c>
      <c r="FG51">
        <f t="shared" si="6"/>
        <v>0</v>
      </c>
    </row>
    <row r="52" spans="1:163" x14ac:dyDescent="0.2">
      <c r="A52">
        <f t="shared" si="7"/>
        <v>49</v>
      </c>
      <c r="B52" t="s">
        <v>293</v>
      </c>
      <c r="C52" t="s">
        <v>195</v>
      </c>
      <c r="D52" s="6">
        <v>43539</v>
      </c>
      <c r="E52">
        <f>IF(Evalucion!F50=Datos!$C$15,Datos!$D$15,IF(Evalucion!F50=Datos!$C$16,Datos!$D$16,IF(Evalucion!F50=Datos!$C$17,Datos!$D$17,IF(Evalucion!F50=Datos!$C$18,Datos!$D$18,IF(Evalucion!F50=Datos!$C$19,Datos!$D$19,"=")))))</f>
        <v>5</v>
      </c>
      <c r="F52">
        <f>IF(Evalucion!G50=Datos!$C$15,Datos!$D$15,IF(Evalucion!G50=Datos!$C$16,Datos!$D$16,IF(Evalucion!G50=Datos!$C$17,Datos!$D$17,IF(Evalucion!G50=Datos!$C$18,Datos!$D$18,IF(Evalucion!G50=Datos!$C$19,Datos!$D$19,"=")))))</f>
        <v>5</v>
      </c>
      <c r="G52">
        <f>IF(Evalucion!H50=Datos!$C$15,Datos!$D$15,IF(Evalucion!H50=Datos!$C$16,Datos!$D$16,IF(Evalucion!H50=Datos!$C$17,Datos!$D$17,IF(Evalucion!H50=Datos!$C$18,Datos!$D$18,IF(Evalucion!H50=Datos!$C$19,Datos!$D$19,"=")))))</f>
        <v>5</v>
      </c>
      <c r="H52">
        <f>IF(Evalucion!I50=Datos!$C$15,Datos!$D$15,IF(Evalucion!I50=Datos!$C$16,Datos!$D$16,IF(Evalucion!I50=Datos!$C$17,Datos!$D$17,IF(Evalucion!I50=Datos!$C$18,Datos!$D$18,IF(Evalucion!I50=Datos!$C$19,Datos!$D$19,"=")))))</f>
        <v>5</v>
      </c>
      <c r="I52">
        <f>IF(Evalucion!J50=Datos!$C$15,Datos!$D$15,IF(Evalucion!J50=Datos!$C$16,Datos!$D$16,IF(Evalucion!J50=Datos!$C$17,Datos!$D$17,IF(Evalucion!J50=Datos!$C$18,Datos!$D$18,IF(Evalucion!J50=Datos!$C$19,Datos!$D$19,"=")))))</f>
        <v>5</v>
      </c>
      <c r="J52">
        <f>IF(Evalucion!K50=Datos!$C$15,Datos!$D$15,IF(Evalucion!K50=Datos!$C$16,Datos!$D$16,IF(Evalucion!K50=Datos!$C$17,Datos!$D$17,IF(Evalucion!K50=Datos!$C$18,Datos!$D$18,IF(Evalucion!K50=Datos!$C$19,Datos!$D$19,"=")))))</f>
        <v>3</v>
      </c>
      <c r="K52">
        <f>IF(Evalucion!L50=Datos!$C$15,Datos!$D$15,IF(Evalucion!L50=Datos!$C$16,Datos!$D$16,IF(Evalucion!L50=Datos!$C$17,Datos!$D$17,IF(Evalucion!L50=Datos!$C$18,Datos!$D$18,IF(Evalucion!L50=Datos!$C$19,Datos!$D$19,"=")))))</f>
        <v>5</v>
      </c>
      <c r="L52">
        <f>IF(Evalucion!M50=Datos!$C$15,Datos!$D$15,IF(Evalucion!M50=Datos!$C$16,Datos!$D$16,IF(Evalucion!M50=Datos!$C$17,Datos!$D$17,IF(Evalucion!M50=Datos!$C$18,Datos!$D$18,IF(Evalucion!M50=Datos!$C$19,Datos!$D$19,"=")))))</f>
        <v>3</v>
      </c>
      <c r="M52">
        <f>IF(Evalucion!N50=Datos!$C$15,Datos!$D$15,IF(Evalucion!N50=Datos!$C$16,Datos!$D$16,IF(Evalucion!N50=Datos!$C$17,Datos!$D$17,IF(Evalucion!N50=Datos!$C$18,Datos!$D$18,IF(Evalucion!N50=Datos!$C$19,Datos!$D$19,"=")))))</f>
        <v>5</v>
      </c>
      <c r="N52">
        <f>IF(Evalucion!O50=Datos!$C$15,Datos!$D$15,IF(Evalucion!O50=Datos!$C$16,Datos!$D$16,IF(Evalucion!O50=Datos!$C$17,Datos!$D$17,IF(Evalucion!O50=Datos!$C$18,Datos!$D$18,IF(Evalucion!O50=Datos!$C$19,Datos!$D$19,"=")))))</f>
        <v>5</v>
      </c>
      <c r="O52">
        <f>IF(Evalucion!P50=Datos!$C$15,Datos!$D$15,IF(Evalucion!P50=Datos!$C$16,Datos!$D$16,IF(Evalucion!P50=Datos!$C$17,Datos!$D$17,IF(Evalucion!P50=Datos!$C$18,Datos!$D$18,IF(Evalucion!P50=Datos!$C$19,Datos!$D$19,"=")))))</f>
        <v>5</v>
      </c>
      <c r="P52">
        <f>IF(Evalucion!Q50=Datos!$C$15,Datos!$D$15,IF(Evalucion!Q50=Datos!$C$16,Datos!$D$16,IF(Evalucion!Q50=Datos!$C$17,Datos!$D$17,IF(Evalucion!Q50=Datos!$C$18,Datos!$D$18,IF(Evalucion!Q50=Datos!$C$19,Datos!$D$19,"=")))))</f>
        <v>5</v>
      </c>
      <c r="Q52">
        <f>IF(Evalucion!R50=Datos!$C$15,Datos!$D$15,IF(Evalucion!R50=Datos!$C$16,Datos!$D$16,IF(Evalucion!R50=Datos!$C$17,Datos!$D$17,IF(Evalucion!R50=Datos!$C$18,Datos!$D$18,IF(Evalucion!R50=Datos!$C$19,Datos!$D$19,"=")))))</f>
        <v>5</v>
      </c>
      <c r="R52">
        <f>IF(Evalucion!S50=Datos!$C$15,Datos!$D$15,IF(Evalucion!S50=Datos!$C$16,Datos!$D$16,IF(Evalucion!S50=Datos!$C$17,Datos!$D$17,IF(Evalucion!S50=Datos!$C$18,Datos!$D$18,IF(Evalucion!S50=Datos!$C$19,Datos!$D$19,"=")))))</f>
        <v>5</v>
      </c>
      <c r="S52">
        <f>IF(Evalucion!T50=Datos!$C$15,Datos!$D$15,IF(Evalucion!T50=Datos!$C$16,Datos!$D$16,IF(Evalucion!T50=Datos!$C$17,Datos!$D$17,IF(Evalucion!T50=Datos!$C$18,Datos!$D$18,IF(Evalucion!T50=Datos!$C$19,Datos!$D$19,"=")))))</f>
        <v>1</v>
      </c>
      <c r="T52">
        <f>IF(Evalucion!U50=Datos!$C$15,Datos!$D$15,IF(Evalucion!U50=Datos!$C$16,Datos!$D$16,IF(Evalucion!U50=Datos!$C$17,Datos!$D$17,IF(Evalucion!U50=Datos!$C$18,Datos!$D$18,IF(Evalucion!U50=Datos!$C$19,Datos!$D$19,"=")))))</f>
        <v>1</v>
      </c>
      <c r="U52">
        <f>IF(Evalucion!V50=Datos!$C$15,Datos!$D$15,IF(Evalucion!V50=Datos!$C$16,Datos!$D$16,IF(Evalucion!V50=Datos!$C$17,Datos!$D$17,IF(Evalucion!V50=Datos!$C$18,Datos!$D$18,IF(Evalucion!V50=Datos!$C$19,Datos!$D$19,"=")))))</f>
        <v>1</v>
      </c>
      <c r="V52">
        <f>IF(Evalucion!W50=Datos!$C$15,Datos!$D$15,IF(Evalucion!W50=Datos!$C$16,Datos!$D$16,IF(Evalucion!W50=Datos!$C$17,Datos!$D$17,IF(Evalucion!W50=Datos!$C$18,Datos!$D$18,IF(Evalucion!W50=Datos!$C$19,Datos!$D$19,"=")))))</f>
        <v>1</v>
      </c>
      <c r="W52">
        <f>IF(Evalucion!X50=Datos!$C$15,Datos!$D$15,IF(Evalucion!X50=Datos!$C$16,Datos!$D$16,IF(Evalucion!X50=Datos!$C$17,Datos!$D$17,IF(Evalucion!X50=Datos!$C$18,Datos!$D$18,IF(Evalucion!X50=Datos!$C$19,Datos!$D$19,"=")))))</f>
        <v>1</v>
      </c>
      <c r="X52">
        <f>IF(Evalucion!Y50=Datos!$C$15,Datos!$D$15,IF(Evalucion!Y50=Datos!$C$16,Datos!$D$16,IF(Evalucion!Y50=Datos!$C$17,Datos!$D$17,IF(Evalucion!Y50=Datos!$C$18,Datos!$D$18,IF(Evalucion!Y50=Datos!$C$19,Datos!$D$19,"=")))))</f>
        <v>1</v>
      </c>
      <c r="Y52">
        <f>IF(Evalucion!Z50=Datos!$C$15,Datos!$D$15,IF(Evalucion!Z50=Datos!$C$16,Datos!$D$16,IF(Evalucion!Z50=Datos!$C$17,Datos!$D$17,IF(Evalucion!Z50=Datos!$C$18,Datos!$D$18,IF(Evalucion!Z50=Datos!$C$19,Datos!$D$19,"=")))))</f>
        <v>1</v>
      </c>
      <c r="Z52">
        <f>IF(Evalucion!AA50=Datos!$C$15,Datos!$D$15,IF(Evalucion!AA50=Datos!$C$16,Datos!$D$16,IF(Evalucion!AA50=Datos!$C$17,Datos!$D$17,IF(Evalucion!AA50=Datos!$C$18,Datos!$D$18,IF(Evalucion!AA50=Datos!$C$19,Datos!$D$19,"=")))))</f>
        <v>1</v>
      </c>
      <c r="AA52">
        <f>IF(Evalucion!AB50=Datos!$C$15,Datos!$D$15,IF(Evalucion!AB50=Datos!$C$16,Datos!$D$16,IF(Evalucion!AB50=Datos!$C$17,Datos!$D$17,IF(Evalucion!AB50=Datos!$C$18,Datos!$D$18,IF(Evalucion!AB50=Datos!$C$19,Datos!$D$19,"=")))))</f>
        <v>1</v>
      </c>
      <c r="AB52">
        <f>IF(Evalucion!AC50=Datos!$C$15,Datos!$D$15,IF(Evalucion!AC50=Datos!$C$16,Datos!$D$16,IF(Evalucion!AC50=Datos!$C$17,Datos!$D$17,IF(Evalucion!AC50=Datos!$C$18,Datos!$D$18,IF(Evalucion!AC50=Datos!$C$19,Datos!$D$19,"=")))))</f>
        <v>1</v>
      </c>
      <c r="AC52">
        <f>IF(Evalucion!AD50=Datos!$C$15,Datos!$D$15,IF(Evalucion!AD50=Datos!$C$16,Datos!$D$16,IF(Evalucion!AD50=Datos!$C$17,Datos!$D$17,IF(Evalucion!AD50=Datos!$C$18,Datos!$D$18,IF(Evalucion!AD50=Datos!$C$19,Datos!$D$19,"=")))))</f>
        <v>1</v>
      </c>
      <c r="AD52">
        <f>IF(Evalucion!AE50=Datos!$C$15,Datos!$D$15,IF(Evalucion!AE50=Datos!$C$16,Datos!$D$16,IF(Evalucion!AE50=Datos!$C$17,Datos!$D$17,IF(Evalucion!AE50=Datos!$C$18,Datos!$D$18,IF(Evalucion!AE50=Datos!$C$19,Datos!$D$19,"=")))))</f>
        <v>1</v>
      </c>
      <c r="AE52">
        <f>IF(Evalucion!AF50=Datos!$C$15,Datos!$D$15,IF(Evalucion!AF50=Datos!$C$16,Datos!$D$16,IF(Evalucion!AF50=Datos!$C$17,Datos!$D$17,IF(Evalucion!AF50=Datos!$C$18,Datos!$D$18,IF(Evalucion!AF50=Datos!$C$19,Datos!$D$19,"=")))))</f>
        <v>5</v>
      </c>
      <c r="AF52">
        <f>IF(Evalucion!AG50=Datos!$C$15,Datos!$D$15,IF(Evalucion!AG50=Datos!$C$16,Datos!$D$16,IF(Evalucion!AG50=Datos!$C$17,Datos!$D$17,IF(Evalucion!AG50=Datos!$C$18,Datos!$D$18,IF(Evalucion!AG50=Datos!$C$19,Datos!$D$19,"=")))))</f>
        <v>5</v>
      </c>
      <c r="AO52">
        <f>IF(Evalucion!AP50=Datos!$C$15,Datos!$D$15,IF(Evalucion!AP50=Datos!$C$16,Datos!$D$16,IF(Evalucion!AP50=Datos!$C$17,Datos!$D$17,IF(Evalucion!AP50=Datos!$C$18,Datos!$D$18,IF(Evalucion!AP50=Datos!$C$19,Datos!$D$19,"=")))))</f>
        <v>5</v>
      </c>
      <c r="AP52">
        <f>IF(Evalucion!AQ50=Datos!$C$15,Datos!$D$15,IF(Evalucion!AQ50=Datos!$C$16,Datos!$D$16,IF(Evalucion!AQ50=Datos!$C$17,Datos!$D$17,IF(Evalucion!AQ50=Datos!$C$18,Datos!$D$18,IF(Evalucion!AQ50=Datos!$C$19,Datos!$D$19,"=")))))</f>
        <v>3</v>
      </c>
      <c r="AQ52">
        <f>IF(Evalucion!AR50=Datos!$C$15,Datos!$D$15,IF(Evalucion!AR50=Datos!$C$16,Datos!$D$16,IF(Evalucion!AR50=Datos!$C$17,Datos!$D$17,IF(Evalucion!AR50=Datos!$C$18,Datos!$D$18,IF(Evalucion!AR50=Datos!$C$19,Datos!$D$19,"=")))))</f>
        <v>1</v>
      </c>
      <c r="AR52">
        <f>IF(Evalucion!AS50=Datos!$C$15,Datos!$D$15,IF(Evalucion!AS50=Datos!$C$16,Datos!$D$16,IF(Evalucion!AS50=Datos!$C$17,Datos!$D$17,IF(Evalucion!AS50=Datos!$C$18,Datos!$D$18,IF(Evalucion!AS50=Datos!$C$19,Datos!$D$19,"=")))))</f>
        <v>1</v>
      </c>
      <c r="AS52">
        <f>IF(Evalucion!AT50=Datos!$C$15,Datos!$D$15,IF(Evalucion!AT50=Datos!$C$16,Datos!$D$16,IF(Evalucion!AT50=Datos!$C$17,Datos!$D$17,IF(Evalucion!AT50=Datos!$C$18,Datos!$D$18,IF(Evalucion!AT50=Datos!$C$19,Datos!$D$19,"=")))))</f>
        <v>5</v>
      </c>
      <c r="AT52">
        <f>IF(Evalucion!AU50=Datos!$C$15,Datos!$D$15,IF(Evalucion!AU50=Datos!$C$16,Datos!$D$16,IF(Evalucion!AU50=Datos!$C$17,Datos!$D$17,IF(Evalucion!AU50=Datos!$C$18,Datos!$D$18,IF(Evalucion!AU50=Datos!$C$19,Datos!$D$19,"=")))))</f>
        <v>3</v>
      </c>
      <c r="AV52">
        <f>IF(Evalucion!AW50=Datos!$C$15,Datos!$D$15,IF(Evalucion!AW50=Datos!$C$16,Datos!$D$16,IF(Evalucion!AW50=Datos!$C$17,Datos!$D$17,IF(Evalucion!AW50=Datos!$C$18,Datos!$D$18,IF(Evalucion!AW50=Datos!$C$19,Datos!$D$19,"=")))))</f>
        <v>5</v>
      </c>
      <c r="AW52">
        <f>IF(Evalucion!AX50=Datos!$C$15,Datos!$D$15,IF(Evalucion!AX50=Datos!$C$16,Datos!$D$16,IF(Evalucion!AX50=Datos!$C$17,Datos!$D$17,IF(Evalucion!AX50=Datos!$C$18,Datos!$D$18,IF(Evalucion!AX50=Datos!$C$19,Datos!$D$19,"=")))))</f>
        <v>3</v>
      </c>
      <c r="AX52">
        <f>IF(Evalucion!AY50=Datos!$C$15,Datos!$D$15,IF(Evalucion!AY50=Datos!$C$16,Datos!$D$16,IF(Evalucion!AY50=Datos!$C$17,Datos!$D$17,IF(Evalucion!AY50=Datos!$C$18,Datos!$D$18,IF(Evalucion!AY50=Datos!$C$19,Datos!$D$19,"=")))))</f>
        <v>5</v>
      </c>
      <c r="AY52">
        <f>IF(Evalucion!AZ50=Datos!$C$15,Datos!$D$15,IF(Evalucion!AZ50=Datos!$C$16,Datos!$D$16,IF(Evalucion!AZ50=Datos!$C$17,Datos!$D$17,IF(Evalucion!AZ50=Datos!$C$18,Datos!$D$18,IF(Evalucion!AZ50=Datos!$C$19,Datos!$D$19,"=")))))</f>
        <v>1</v>
      </c>
      <c r="AZ52">
        <f>IF(Evalucion!BA50=Datos!$C$15,Datos!$D$15,IF(Evalucion!BA50=Datos!$C$16,Datos!$D$16,IF(Evalucion!BA50=Datos!$C$17,Datos!$D$17,IF(Evalucion!BA50=Datos!$C$18,Datos!$D$18,IF(Evalucion!BA50=Datos!$C$19,Datos!$D$19,"=")))))</f>
        <v>5</v>
      </c>
      <c r="BA52">
        <f>IF(Evalucion!BB50=Datos!$C$15,Datos!$D$15,IF(Evalucion!BB50=Datos!$C$16,Datos!$D$16,IF(Evalucion!BB50=Datos!$C$17,Datos!$D$17,IF(Evalucion!BB50=Datos!$C$18,Datos!$D$18,IF(Evalucion!BB50=Datos!$C$19,Datos!$D$19,"=")))))</f>
        <v>5</v>
      </c>
      <c r="BB52">
        <f>IF(Evalucion!BC50=Datos!$C$15,Datos!$D$15,IF(Evalucion!BC50=Datos!$C$16,Datos!$D$16,IF(Evalucion!BC50=Datos!$C$17,Datos!$D$17,IF(Evalucion!BC50=Datos!$C$18,Datos!$D$18,IF(Evalucion!BC50=Datos!$C$19,Datos!$D$19,"=")))))</f>
        <v>5</v>
      </c>
      <c r="BC52">
        <f>IF(Evalucion!BD50=Datos!$C$15,Datos!$D$15,IF(Evalucion!BD50=Datos!$C$16,Datos!$D$16,IF(Evalucion!BD50=Datos!$C$17,Datos!$D$17,IF(Evalucion!BD50=Datos!$C$18,Datos!$D$18,IF(Evalucion!BD50=Datos!$C$19,Datos!$D$19,"=")))))</f>
        <v>1</v>
      </c>
      <c r="BD52">
        <f>IF(Evalucion!BE50=Datos!$C$15,Datos!$D$15,IF(Evalucion!BE50=Datos!$C$16,Datos!$D$16,IF(Evalucion!BE50=Datos!$C$17,Datos!$D$17,IF(Evalucion!BE50=Datos!$C$18,Datos!$D$18,IF(Evalucion!BE50=Datos!$C$19,Datos!$D$19,"=")))))</f>
        <v>5</v>
      </c>
      <c r="BE52">
        <f>IF(Evalucion!BF50=Datos!$C$15,Datos!$D$15,IF(Evalucion!BF50=Datos!$C$16,Datos!$D$16,IF(Evalucion!BF50=Datos!$C$17,Datos!$D$17,IF(Evalucion!BF50=Datos!$C$18,Datos!$D$18,IF(Evalucion!BF50=Datos!$C$19,Datos!$D$19,"=")))))</f>
        <v>1</v>
      </c>
      <c r="BF52">
        <f>IF(Evalucion!BG50=Datos!$C$15,Datos!$D$15,IF(Evalucion!BG50=Datos!$C$16,Datos!$D$16,IF(Evalucion!BG50=Datos!$C$17,Datos!$D$17,IF(Evalucion!BG50=Datos!$C$18,Datos!$D$18,IF(Evalucion!BG50=Datos!$C$19,Datos!$D$19,"=")))))</f>
        <v>5</v>
      </c>
      <c r="BG52">
        <f>IF(Evalucion!BH50=Datos!$C$15,Datos!$D$15,IF(Evalucion!BH50=Datos!$C$16,Datos!$D$16,IF(Evalucion!BH50=Datos!$C$17,Datos!$D$17,IF(Evalucion!BH50=Datos!$C$18,Datos!$D$18,IF(Evalucion!BH50=Datos!$C$19,Datos!$D$19,"=")))))</f>
        <v>5</v>
      </c>
      <c r="BH52">
        <f>IF(Evalucion!BI50=Datos!$C$15,Datos!$D$15,IF(Evalucion!BI50=Datos!$C$16,Datos!$D$16,IF(Evalucion!BI50=Datos!$C$17,Datos!$D$17,IF(Evalucion!BI50=Datos!$C$18,Datos!$D$18,IF(Evalucion!BI50=Datos!$C$19,Datos!$D$19,"=")))))</f>
        <v>5</v>
      </c>
      <c r="BI52">
        <f>IF(Evalucion!BJ50=Datos!$C$15,Datos!$D$15,IF(Evalucion!BJ50=Datos!$C$16,Datos!$D$16,IF(Evalucion!BJ50=Datos!$C$17,Datos!$D$17,IF(Evalucion!BJ50=Datos!$C$18,Datos!$D$18,IF(Evalucion!BJ50=Datos!$C$19,Datos!$D$19,"=")))))</f>
        <v>5</v>
      </c>
      <c r="BJ52">
        <f>IF(Evalucion!BK50=Datos!$C$15,Datos!$D$15,IF(Evalucion!BK50=Datos!$C$16,Datos!$D$16,IF(Evalucion!BK50=Datos!$C$17,Datos!$D$17,IF(Evalucion!BK50=Datos!$C$18,Datos!$D$18,IF(Evalucion!BK50=Datos!$C$19,Datos!$D$19,"=")))))</f>
        <v>1</v>
      </c>
      <c r="BK52">
        <f>IF(Evalucion!BL50=Datos!$C$15,Datos!$D$15,IF(Evalucion!BL50=Datos!$C$16,Datos!$D$16,IF(Evalucion!BL50=Datos!$C$17,Datos!$D$17,IF(Evalucion!BL50=Datos!$C$18,Datos!$D$18,IF(Evalucion!BL50=Datos!$C$19,Datos!$D$19,"=")))))</f>
        <v>1</v>
      </c>
      <c r="BL52">
        <f>IF(Evalucion!BM50=Datos!$C$15,Datos!$D$15,IF(Evalucion!BM50=Datos!$C$16,Datos!$D$16,IF(Evalucion!BM50=Datos!$C$17,Datos!$D$17,IF(Evalucion!BM50=Datos!$C$18,Datos!$D$18,IF(Evalucion!BM50=Datos!$C$19,Datos!$D$19,"=")))))</f>
        <v>1</v>
      </c>
      <c r="BM52">
        <f>IF(Evalucion!BN50=Datos!$C$15,Datos!$D$15,IF(Evalucion!BN50=Datos!$C$16,Datos!$D$16,IF(Evalucion!BN50=Datos!$C$17,Datos!$D$17,IF(Evalucion!BN50=Datos!$C$18,Datos!$D$18,IF(Evalucion!BN50=Datos!$C$19,Datos!$D$19,"=")))))</f>
        <v>1</v>
      </c>
      <c r="BN52">
        <f>IF(Evalucion!BO50=Datos!$C$15,Datos!$D$15,IF(Evalucion!BO50=Datos!$C$16,Datos!$D$16,IF(Evalucion!BO50=Datos!$C$17,Datos!$D$17,IF(Evalucion!BO50=Datos!$C$18,Datos!$D$18,IF(Evalucion!BO50=Datos!$C$19,Datos!$D$19,"=")))))</f>
        <v>5</v>
      </c>
      <c r="BO52">
        <f>IF(Evalucion!BP50=Datos!$C$15,Datos!$D$15,IF(Evalucion!BP50=Datos!$C$16,Datos!$D$16,IF(Evalucion!BP50=Datos!$C$17,Datos!$D$17,IF(Evalucion!BP50=Datos!$C$18,Datos!$D$18,IF(Evalucion!BP50=Datos!$C$19,Datos!$D$19,"=")))))</f>
        <v>1</v>
      </c>
      <c r="BP52">
        <f>IF(Evalucion!BQ50=Datos!$C$15,Datos!$D$15,IF(Evalucion!BQ50=Datos!$C$16,Datos!$D$16,IF(Evalucion!BQ50=Datos!$C$17,Datos!$D$17,IF(Evalucion!BQ50=Datos!$C$18,Datos!$D$18,IF(Evalucion!BQ50=Datos!$C$19,Datos!$D$19,"=")))))</f>
        <v>1</v>
      </c>
      <c r="BQ52">
        <f>IF(Evalucion!BR50=Datos!$C$15,Datos!$D$15,IF(Evalucion!BR50=Datos!$C$16,Datos!$D$16,IF(Evalucion!BR50=Datos!$C$17,Datos!$D$17,IF(Evalucion!BR50=Datos!$C$18,Datos!$D$18,IF(Evalucion!BR50=Datos!$C$19,Datos!$D$19,"=")))))</f>
        <v>1</v>
      </c>
      <c r="BR52">
        <f>IF(Evalucion!BS50=Datos!$C$15,Datos!$D$15,IF(Evalucion!BS50=Datos!$C$16,Datos!$D$16,IF(Evalucion!BS50=Datos!$C$17,Datos!$D$17,IF(Evalucion!BS50=Datos!$C$18,Datos!$D$18,IF(Evalucion!BS50=Datos!$C$19,Datos!$D$19,"=")))))</f>
        <v>1</v>
      </c>
      <c r="BS52">
        <f>IF(Evalucion!BT50=Datos!$C$15,Datos!$D$15,IF(Evalucion!BT50=Datos!$C$16,Datos!$D$16,IF(Evalucion!BT50=Datos!$C$17,Datos!$D$17,IF(Evalucion!BT50=Datos!$C$18,Datos!$D$18,IF(Evalucion!BT50=Datos!$C$19,Datos!$D$19,"=")))))</f>
        <v>1</v>
      </c>
      <c r="BT52">
        <f>IF(Evalucion!BU50=Datos!$C$15,Datos!$D$15,IF(Evalucion!BU50=Datos!$C$16,Datos!$D$16,IF(Evalucion!BU50=Datos!$C$17,Datos!$D$17,IF(Evalucion!BU50=Datos!$C$18,Datos!$D$18,IF(Evalucion!BU50=Datos!$C$19,Datos!$D$19,"=")))))</f>
        <v>5</v>
      </c>
      <c r="BU52">
        <f>IF(Evalucion!BV50=Datos!$C$15,Datos!$D$15,IF(Evalucion!BV50=Datos!$C$16,Datos!$D$16,IF(Evalucion!BV50=Datos!$C$17,Datos!$D$17,IF(Evalucion!BV50=Datos!$C$18,Datos!$D$18,IF(Evalucion!BV50=Datos!$C$19,Datos!$D$19,"=")))))</f>
        <v>3</v>
      </c>
      <c r="BV52">
        <f>IF(Evalucion!BW50=Datos!$C$15,Datos!$D$15,IF(Evalucion!BW50=Datos!$C$16,Datos!$D$16,IF(Evalucion!BW50=Datos!$C$17,Datos!$D$17,IF(Evalucion!BW50=Datos!$C$18,Datos!$D$18,IF(Evalucion!BW50=Datos!$C$19,Datos!$D$19,"=")))))</f>
        <v>5</v>
      </c>
      <c r="BW52">
        <f>IF(Evalucion!BX50=Datos!$C$15,Datos!$D$15,IF(Evalucion!BX50=Datos!$C$16,Datos!$D$16,IF(Evalucion!BX50=Datos!$C$17,Datos!$D$17,IF(Evalucion!BX50=Datos!$C$18,Datos!$D$18,IF(Evalucion!BX50=Datos!$C$19,Datos!$D$19,"=")))))</f>
        <v>3</v>
      </c>
      <c r="BX52">
        <f>IF(Evalucion!BY50=Datos!$C$15,Datos!$D$15,IF(Evalucion!BY50=Datos!$C$16,Datos!$D$16,IF(Evalucion!BY50=Datos!$C$17,Datos!$D$17,IF(Evalucion!BY50=Datos!$C$18,Datos!$D$18,IF(Evalucion!BY50=Datos!$C$19,Datos!$D$19,"=")))))</f>
        <v>1</v>
      </c>
      <c r="BY52">
        <f>IF(Evalucion!BZ50=Datos!$C$15,Datos!$D$15,IF(Evalucion!BZ50=Datos!$C$16,Datos!$D$16,IF(Evalucion!BZ50=Datos!$C$17,Datos!$D$17,IF(Evalucion!BZ50=Datos!$C$18,Datos!$D$18,IF(Evalucion!BZ50=Datos!$C$19,Datos!$D$19,"=")))))</f>
        <v>1</v>
      </c>
      <c r="BZ52">
        <f>IF(Evalucion!CA50=Datos!$C$15,Datos!$D$15,IF(Evalucion!CA50=Datos!$C$16,Datos!$D$16,IF(Evalucion!CA50=Datos!$C$17,Datos!$D$17,IF(Evalucion!CA50=Datos!$C$18,Datos!$D$18,IF(Evalucion!CA50=Datos!$C$19,Datos!$D$19,"=")))))</f>
        <v>1</v>
      </c>
      <c r="CA52">
        <f>IF(Evalucion!CB50=Datos!$C$15,Datos!$D$15,IF(Evalucion!CB50=Datos!$C$16,Datos!$D$16,IF(Evalucion!CB50=Datos!$C$17,Datos!$D$17,IF(Evalucion!CB50=Datos!$C$18,Datos!$D$18,IF(Evalucion!CB50=Datos!$C$19,Datos!$D$19,"=")))))</f>
        <v>1</v>
      </c>
      <c r="CB52">
        <f>IF(Evalucion!CC50=Datos!$C$15,Datos!$D$15,IF(Evalucion!CC50=Datos!$C$16,Datos!$D$16,IF(Evalucion!CC50=Datos!$C$17,Datos!$D$17,IF(Evalucion!CC50=Datos!$C$18,Datos!$D$18,IF(Evalucion!CC50=Datos!$C$19,Datos!$D$19,"=")))))</f>
        <v>5</v>
      </c>
      <c r="CC52">
        <f>IF(Evalucion!CD50=Datos!$C$15,Datos!$D$15,IF(Evalucion!CD50=Datos!$C$16,Datos!$D$16,IF(Evalucion!CD50=Datos!$C$17,Datos!$D$17,IF(Evalucion!CD50=Datos!$C$18,Datos!$D$18,IF(Evalucion!CD50=Datos!$C$19,Datos!$D$19,"=")))))</f>
        <v>3</v>
      </c>
      <c r="CD52">
        <f>IF(Evalucion!CE50=Datos!$C$15,Datos!$D$15,IF(Evalucion!CE50=Datos!$C$16,Datos!$D$16,IF(Evalucion!CE50=Datos!$C$17,Datos!$D$17,IF(Evalucion!CE50=Datos!$C$18,Datos!$D$18,IF(Evalucion!CE50=Datos!$C$19,Datos!$D$19,"=")))))</f>
        <v>5</v>
      </c>
      <c r="CE52">
        <f>IF(Evalucion!CF50=Datos!$C$15,Datos!$D$15,IF(Evalucion!CF50=Datos!$C$16,Datos!$D$16,IF(Evalucion!CF50=Datos!$C$17,Datos!$D$17,IF(Evalucion!CF50=Datos!$C$18,Datos!$D$18,IF(Evalucion!CF50=Datos!$C$19,Datos!$D$19,"=")))))</f>
        <v>3</v>
      </c>
      <c r="CF52">
        <f>IF(Evalucion!CG50=Datos!$C$15,Datos!$D$15,IF(Evalucion!CG50=Datos!$C$16,Datos!$D$16,IF(Evalucion!CG50=Datos!$C$17,Datos!$D$17,IF(Evalucion!CG50=Datos!$C$18,Datos!$D$18,IF(Evalucion!CG50=Datos!$C$19,Datos!$D$19,"=")))))</f>
        <v>1</v>
      </c>
      <c r="CG52">
        <f>IF(Evalucion!CH50=Datos!$C$15,Datos!$D$15,IF(Evalucion!CH50=Datos!$C$16,Datos!$D$16,IF(Evalucion!CH50=Datos!$C$17,Datos!$D$17,IF(Evalucion!CH50=Datos!$C$18,Datos!$D$18,IF(Evalucion!CH50=Datos!$C$19,Datos!$D$19,"=")))))</f>
        <v>1</v>
      </c>
      <c r="CH52">
        <f>IF(Evalucion!CI50=Datos!$C$15,Datos!$D$15,IF(Evalucion!CI50=Datos!$C$16,Datos!$D$16,IF(Evalucion!CI50=Datos!$C$17,Datos!$D$17,IF(Evalucion!CI50=Datos!$C$18,Datos!$D$18,IF(Evalucion!CI50=Datos!$C$19,Datos!$D$19,"=")))))</f>
        <v>5</v>
      </c>
      <c r="CI52">
        <f>IF(Evalucion!CJ50=Datos!$C$15,Datos!$D$15,IF(Evalucion!CJ50=Datos!$C$16,Datos!$D$16,IF(Evalucion!CJ50=Datos!$C$17,Datos!$D$17,IF(Evalucion!CJ50=Datos!$C$18,Datos!$D$18,IF(Evalucion!CJ50=Datos!$C$19,Datos!$D$19,"=")))))</f>
        <v>3</v>
      </c>
      <c r="CJ52">
        <f>IF(Evalucion!CK50=Datos!$C$15,Datos!$D$15,IF(Evalucion!CK50=Datos!$C$16,Datos!$D$16,IF(Evalucion!CK50=Datos!$C$17,Datos!$D$17,IF(Evalucion!CK50=Datos!$C$18,Datos!$D$18,IF(Evalucion!CK50=Datos!$C$19,Datos!$D$19,"=")))))</f>
        <v>5</v>
      </c>
      <c r="CK52">
        <f>IF(Evalucion!CL50=Datos!$C$15,Datos!$D$15,IF(Evalucion!CL50=Datos!$C$16,Datos!$D$16,IF(Evalucion!CL50=Datos!$C$17,Datos!$D$17,IF(Evalucion!CL50=Datos!$C$18,Datos!$D$18,IF(Evalucion!CL50=Datos!$C$19,Datos!$D$19,"=")))))</f>
        <v>1</v>
      </c>
      <c r="CL52">
        <f>IF(Evalucion!CM50=Datos!$C$15,Datos!$D$15,IF(Evalucion!CM50=Datos!$C$16,Datos!$D$16,IF(Evalucion!CM50=Datos!$C$17,Datos!$D$17,IF(Evalucion!CM50=Datos!$C$18,Datos!$D$18,IF(Evalucion!CM50=Datos!$C$19,Datos!$D$19,"=")))))</f>
        <v>5</v>
      </c>
      <c r="CM52">
        <f>IF(Evalucion!CN50=Datos!$C$15,Datos!$D$15,IF(Evalucion!CN50=Datos!$C$16,Datos!$D$16,IF(Evalucion!CN50=Datos!$C$17,Datos!$D$17,IF(Evalucion!CN50=Datos!$C$18,Datos!$D$18,IF(Evalucion!CN50=Datos!$C$19,Datos!$D$19,"=")))))</f>
        <v>3</v>
      </c>
      <c r="CN52">
        <f>IF(Evalucion!CO50=Datos!$C$15,Datos!$D$15,IF(Evalucion!CO50=Datos!$C$16,Datos!$D$16,IF(Evalucion!CO50=Datos!$C$17,Datos!$D$17,IF(Evalucion!CO50=Datos!$C$18,Datos!$D$18,IF(Evalucion!CO50=Datos!$C$19,Datos!$D$19,"=")))))</f>
        <v>5</v>
      </c>
      <c r="CO52">
        <f>IF(Evalucion!CP50=Datos!$C$15,Datos!$D$15,IF(Evalucion!CP50=Datos!$C$16,Datos!$D$16,IF(Evalucion!CP50=Datos!$C$17,Datos!$D$17,IF(Evalucion!CP50=Datos!$C$18,Datos!$D$18,IF(Evalucion!CP50=Datos!$C$19,Datos!$D$19,"=")))))</f>
        <v>5</v>
      </c>
      <c r="CP52">
        <f>IF(Evalucion!CQ50=Datos!$C$15,Datos!$D$15,IF(Evalucion!CQ50=Datos!$C$16,Datos!$D$16,IF(Evalucion!CQ50=Datos!$C$17,Datos!$D$17,IF(Evalucion!CQ50=Datos!$C$18,Datos!$D$18,IF(Evalucion!CQ50=Datos!$C$19,Datos!$D$19,"=")))))</f>
        <v>1</v>
      </c>
      <c r="CQ52">
        <f>IF(Evalucion!CR50=Datos!$C$15,Datos!$D$15,IF(Evalucion!CR50=Datos!$C$16,Datos!$D$16,IF(Evalucion!CR50=Datos!$C$17,Datos!$D$17,IF(Evalucion!CR50=Datos!$C$18,Datos!$D$18,IF(Evalucion!CR50=Datos!$C$19,Datos!$D$19,"=")))))</f>
        <v>1</v>
      </c>
      <c r="CR52">
        <f>IF(Evalucion!CS50=Datos!$C$15,Datos!$D$15,IF(Evalucion!CS50=Datos!$C$16,Datos!$D$16,IF(Evalucion!CS50=Datos!$C$17,Datos!$D$17,IF(Evalucion!CS50=Datos!$C$18,Datos!$D$18,IF(Evalucion!CS50=Datos!$C$19,Datos!$D$19,"=")))))</f>
        <v>5</v>
      </c>
      <c r="CS52">
        <f>IF(Evalucion!CT50=Datos!$C$15,Datos!$D$15,IF(Evalucion!CT50=Datos!$C$16,Datos!$D$16,IF(Evalucion!CT50=Datos!$C$17,Datos!$D$17,IF(Evalucion!CT50=Datos!$C$18,Datos!$D$18,IF(Evalucion!CT50=Datos!$C$19,Datos!$D$19,"=")))))</f>
        <v>3</v>
      </c>
      <c r="CT52">
        <f>IF(Evalucion!CU50=Datos!$C$15,Datos!$D$15,IF(Evalucion!CU50=Datos!$C$16,Datos!$D$16,IF(Evalucion!CU50=Datos!$C$17,Datos!$D$17,IF(Evalucion!CU50=Datos!$C$18,Datos!$D$18,IF(Evalucion!CU50=Datos!$C$19,Datos!$D$19,"=")))))</f>
        <v>1</v>
      </c>
      <c r="CU52">
        <f>IF(Evalucion!CV50=Datos!$C$15,Datos!$D$15,IF(Evalucion!CV50=Datos!$C$16,Datos!$D$16,IF(Evalucion!CV50=Datos!$C$17,Datos!$D$17,IF(Evalucion!CV50=Datos!$C$18,Datos!$D$18,IF(Evalucion!CV50=Datos!$C$19,Datos!$D$19,"=")))))</f>
        <v>1</v>
      </c>
      <c r="CV52">
        <f>IF(Evalucion!CW50=Datos!$C$15,Datos!$D$15,IF(Evalucion!CW50=Datos!$C$16,Datos!$D$16,IF(Evalucion!CW50=Datos!$C$17,Datos!$D$17,IF(Evalucion!CW50=Datos!$C$18,Datos!$D$18,IF(Evalucion!CW50=Datos!$C$19,Datos!$D$19,"=")))))</f>
        <v>5</v>
      </c>
      <c r="CW52">
        <f>IF(Evalucion!CX50=Datos!$C$15,Datos!$D$15,IF(Evalucion!CX50=Datos!$C$16,Datos!$D$16,IF(Evalucion!CX50=Datos!$C$17,Datos!$D$17,IF(Evalucion!CX50=Datos!$C$18,Datos!$D$18,IF(Evalucion!CX50=Datos!$C$19,Datos!$D$19,"=")))))</f>
        <v>3</v>
      </c>
      <c r="CX52">
        <f>IF(Evalucion!CY50=Datos!$C$15,Datos!$D$15,IF(Evalucion!CY50=Datos!$C$16,Datos!$D$16,IF(Evalucion!CY50=Datos!$C$17,Datos!$D$17,IF(Evalucion!CY50=Datos!$C$18,Datos!$D$18,IF(Evalucion!CY50=Datos!$C$19,Datos!$D$19,"=")))))</f>
        <v>1</v>
      </c>
      <c r="CY52">
        <f>IF(Evalucion!CZ50=Datos!$C$15,Datos!$D$15,IF(Evalucion!CZ50=Datos!$C$16,Datos!$D$16,IF(Evalucion!CZ50=Datos!$C$17,Datos!$D$17,IF(Evalucion!CZ50=Datos!$C$18,Datos!$D$18,IF(Evalucion!CZ50=Datos!$C$19,Datos!$D$19,"=")))))</f>
        <v>1</v>
      </c>
      <c r="CZ52">
        <f>IF(Evalucion!DA50=Datos!$C$15,Datos!$D$15,IF(Evalucion!DA50=Datos!$C$16,Datos!$D$16,IF(Evalucion!DA50=Datos!$C$17,Datos!$D$17,IF(Evalucion!DA50=Datos!$C$18,Datos!$D$18,IF(Evalucion!DA50=Datos!$C$19,Datos!$D$19,"=")))))</f>
        <v>1</v>
      </c>
      <c r="DA52">
        <f>IF(Evalucion!DB50=Datos!$C$15,Datos!$D$15,IF(Evalucion!DB50=Datos!$C$16,Datos!$D$16,IF(Evalucion!DB50=Datos!$C$17,Datos!$D$17,IF(Evalucion!DB50=Datos!$C$18,Datos!$D$18,IF(Evalucion!DB50=Datos!$C$19,Datos!$D$19,"=")))))</f>
        <v>1</v>
      </c>
      <c r="DB52">
        <f>IF(Evalucion!DC50=Datos!$C$15,Datos!$D$15,IF(Evalucion!DC50=Datos!$C$16,Datos!$D$16,IF(Evalucion!DC50=Datos!$C$17,Datos!$D$17,IF(Evalucion!DC50=Datos!$C$18,Datos!$D$18,IF(Evalucion!DC50=Datos!$C$19,Datos!$D$19,"=")))))</f>
        <v>5</v>
      </c>
      <c r="DC52">
        <f>IF(Evalucion!DD50=Datos!$C$15,Datos!$D$15,IF(Evalucion!DD50=Datos!$C$16,Datos!$D$16,IF(Evalucion!DD50=Datos!$C$17,Datos!$D$17,IF(Evalucion!DD50=Datos!$C$18,Datos!$D$18,IF(Evalucion!DD50=Datos!$C$19,Datos!$D$19,"=")))))</f>
        <v>1</v>
      </c>
      <c r="DD52">
        <f>IF(Evalucion!DE50=Datos!$C$15,Datos!$D$15,IF(Evalucion!DE50=Datos!$C$16,Datos!$D$16,IF(Evalucion!DE50=Datos!$C$17,Datos!$D$17,IF(Evalucion!DE50=Datos!$C$18,Datos!$D$18,IF(Evalucion!DE50=Datos!$C$19,Datos!$D$19,"=")))))</f>
        <v>1</v>
      </c>
      <c r="DE52">
        <f>IF(Evalucion!DF50=Datos!$C$15,Datos!$D$15,IF(Evalucion!DF50=Datos!$C$16,Datos!$D$16,IF(Evalucion!DF50=Datos!$C$17,Datos!$D$17,IF(Evalucion!DF50=Datos!$C$18,Datos!$D$18,IF(Evalucion!DF50=Datos!$C$19,Datos!$D$19,"=")))))</f>
        <v>1</v>
      </c>
      <c r="DF52">
        <f>IF(Evalucion!DG50=Datos!$C$15,Datos!$D$15,IF(Evalucion!DG50=Datos!$C$16,Datos!$D$16,IF(Evalucion!DG50=Datos!$C$17,Datos!$D$17,IF(Evalucion!DG50=Datos!$C$18,Datos!$D$18,IF(Evalucion!DG50=Datos!$C$19,Datos!$D$19,"=")))))</f>
        <v>5</v>
      </c>
      <c r="DG52">
        <f>IF(Evalucion!DH50=Datos!$C$15,Datos!$D$15,IF(Evalucion!DH50=Datos!$C$16,Datos!$D$16,IF(Evalucion!DH50=Datos!$C$17,Datos!$D$17,IF(Evalucion!DH50=Datos!$C$18,Datos!$D$18,IF(Evalucion!DH50=Datos!$C$19,Datos!$D$19,"=")))))</f>
        <v>3</v>
      </c>
      <c r="DH52">
        <f>IF(Evalucion!DI50=Datos!$C$15,Datos!$D$15,IF(Evalucion!DI50=Datos!$C$16,Datos!$D$16,IF(Evalucion!DI50=Datos!$C$17,Datos!$D$17,IF(Evalucion!DI50=Datos!$C$18,Datos!$D$18,IF(Evalucion!DI50=Datos!$C$19,Datos!$D$19,"=")))))</f>
        <v>1</v>
      </c>
      <c r="DI52">
        <f>IF(Evalucion!DJ50=Datos!$C$15,Datos!$D$15,IF(Evalucion!DJ50=Datos!$C$16,Datos!$D$16,IF(Evalucion!DJ50=Datos!$C$17,Datos!$D$17,IF(Evalucion!DJ50=Datos!$C$18,Datos!$D$18,IF(Evalucion!DJ50=Datos!$C$19,Datos!$D$19,"=")))))</f>
        <v>1</v>
      </c>
      <c r="DJ52">
        <f>IF(Evalucion!DK50=Datos!$C$15,Datos!$D$15,IF(Evalucion!DK50=Datos!$C$16,Datos!$D$16,IF(Evalucion!DK50=Datos!$C$17,Datos!$D$17,IF(Evalucion!DK50=Datos!$C$18,Datos!$D$18,IF(Evalucion!DK50=Datos!$C$19,Datos!$D$19,"=")))))</f>
        <v>1</v>
      </c>
      <c r="DK52">
        <f>IF(Evalucion!DL50=Datos!$C$15,Datos!$D$15,IF(Evalucion!DL50=Datos!$C$16,Datos!$D$16,IF(Evalucion!DL50=Datos!$C$17,Datos!$D$17,IF(Evalucion!DL50=Datos!$C$18,Datos!$D$18,IF(Evalucion!DL50=Datos!$C$19,Datos!$D$19,"=")))))</f>
        <v>1</v>
      </c>
      <c r="DL52">
        <f>IF(Evalucion!DM50=Datos!$C$15,Datos!$D$15,IF(Evalucion!DM50=Datos!$C$16,Datos!$D$16,IF(Evalucion!DM50=Datos!$C$17,Datos!$D$17,IF(Evalucion!DM50=Datos!$C$18,Datos!$D$18,IF(Evalucion!DM50=Datos!$C$19,Datos!$D$19,"=")))))</f>
        <v>1</v>
      </c>
      <c r="DM52">
        <f>IF(Evalucion!DN50=Datos!$C$15,Datos!$D$15,IF(Evalucion!DN50=Datos!$C$16,Datos!$D$16,IF(Evalucion!DN50=Datos!$C$17,Datos!$D$17,IF(Evalucion!DN50=Datos!$C$18,Datos!$D$18,IF(Evalucion!DN50=Datos!$C$19,Datos!$D$19,"=")))))</f>
        <v>1</v>
      </c>
      <c r="DN52">
        <f>IF(Evalucion!DO50=Datos!$C$15,Datos!$D$15,IF(Evalucion!DO50=Datos!$C$16,Datos!$D$16,IF(Evalucion!DO50=Datos!$C$17,Datos!$D$17,IF(Evalucion!DO50=Datos!$C$18,Datos!$D$18,IF(Evalucion!DO50=Datos!$C$19,Datos!$D$19,"=")))))</f>
        <v>5</v>
      </c>
      <c r="DO52">
        <f>IF(Evalucion!DP50=Datos!$C$15,Datos!$D$15,IF(Evalucion!DP50=Datos!$C$16,Datos!$D$16,IF(Evalucion!DP50=Datos!$C$17,Datos!$D$17,IF(Evalucion!DP50=Datos!$C$18,Datos!$D$18,IF(Evalucion!DP50=Datos!$C$19,Datos!$D$19,"=")))))</f>
        <v>1</v>
      </c>
      <c r="DP52">
        <f>IF(Evalucion!DQ50=Datos!$C$15,Datos!$D$15,IF(Evalucion!DQ50=Datos!$C$16,Datos!$D$16,IF(Evalucion!DQ50=Datos!$C$17,Datos!$D$17,IF(Evalucion!DQ50=Datos!$C$18,Datos!$D$18,IF(Evalucion!DQ50=Datos!$C$19,Datos!$D$19,"=")))))</f>
        <v>5</v>
      </c>
      <c r="DQ52">
        <f>IF(Evalucion!DR50=Datos!$C$15,Datos!$D$15,IF(Evalucion!DR50=Datos!$C$16,Datos!$D$16,IF(Evalucion!DR50=Datos!$C$17,Datos!$D$17,IF(Evalucion!DR50=Datos!$C$18,Datos!$D$18,IF(Evalucion!DR50=Datos!$C$19,Datos!$D$19,"=")))))</f>
        <v>1</v>
      </c>
      <c r="DR52">
        <f>IF(Evalucion!DS50=Datos!$C$15,Datos!$D$15,IF(Evalucion!DS50=Datos!$C$16,Datos!$D$16,IF(Evalucion!DS50=Datos!$C$17,Datos!$D$17,IF(Evalucion!DS50=Datos!$C$18,Datos!$D$18,IF(Evalucion!DS50=Datos!$C$19,Datos!$D$19,"=")))))</f>
        <v>1</v>
      </c>
      <c r="DS52">
        <f>IF(Evalucion!DT50=Datos!$C$15,Datos!$D$15,IF(Evalucion!DT50=Datos!$C$16,Datos!$D$16,IF(Evalucion!DT50=Datos!$C$17,Datos!$D$17,IF(Evalucion!DT50=Datos!$C$18,Datos!$D$18,IF(Evalucion!DT50=Datos!$C$19,Datos!$D$19,"=")))))</f>
        <v>1</v>
      </c>
      <c r="DT52">
        <f>IF(Evalucion!DU50=Datos!$C$15,Datos!$D$15,IF(Evalucion!DU50=Datos!$C$16,Datos!$D$16,IF(Evalucion!DU50=Datos!$C$17,Datos!$D$17,IF(Evalucion!DU50=Datos!$C$18,Datos!$D$18,IF(Evalucion!DU50=Datos!$C$19,Datos!$D$19,"=")))))</f>
        <v>5</v>
      </c>
      <c r="DU52">
        <f>IF(Evalucion!DV50=Datos!$C$15,Datos!$D$15,IF(Evalucion!DV50=Datos!$C$16,Datos!$D$16,IF(Evalucion!DV50=Datos!$C$17,Datos!$D$17,IF(Evalucion!DV50=Datos!$C$18,Datos!$D$18,IF(Evalucion!DV50=Datos!$C$19,Datos!$D$19,"=")))))</f>
        <v>1</v>
      </c>
      <c r="DV52">
        <f>IF(Evalucion!DW50=Datos!$C$15,Datos!$D$15,IF(Evalucion!DW50=Datos!$C$16,Datos!$D$16,IF(Evalucion!DW50=Datos!$C$17,Datos!$D$17,IF(Evalucion!DW50=Datos!$C$18,Datos!$D$18,IF(Evalucion!DW50=Datos!$C$19,Datos!$D$19,"=")))))</f>
        <v>1</v>
      </c>
      <c r="DW52">
        <f>IF(Evalucion!DX50=Datos!$C$15,Datos!$D$15,IF(Evalucion!DX50=Datos!$C$16,Datos!$D$16,IF(Evalucion!DX50=Datos!$C$17,Datos!$D$17,IF(Evalucion!DX50=Datos!$C$18,Datos!$D$18,IF(Evalucion!DX50=Datos!$C$19,Datos!$D$19,"=")))))</f>
        <v>1</v>
      </c>
      <c r="DX52">
        <f>IF(Evalucion!DY50=Datos!$C$15,Datos!$D$15,IF(Evalucion!DY50=Datos!$C$16,Datos!$D$16,IF(Evalucion!DY50=Datos!$C$17,Datos!$D$17,IF(Evalucion!DY50=Datos!$C$18,Datos!$D$18,IF(Evalucion!DY50=Datos!$C$19,Datos!$D$19,"=")))))</f>
        <v>1</v>
      </c>
      <c r="DY52">
        <f>IF(Evalucion!DZ50=Datos!$C$15,Datos!$D$15,IF(Evalucion!DZ50=Datos!$C$16,Datos!$D$16,IF(Evalucion!DZ50=Datos!$C$17,Datos!$D$17,IF(Evalucion!DZ50=Datos!$C$18,Datos!$D$18,IF(Evalucion!DZ50=Datos!$C$19,Datos!$D$19,"=")))))</f>
        <v>1</v>
      </c>
      <c r="DZ52">
        <f>IF(Evalucion!EA50=Datos!$C$15,Datos!$D$15,IF(Evalucion!EA50=Datos!$C$16,Datos!$D$16,IF(Evalucion!EA50=Datos!$C$17,Datos!$D$17,IF(Evalucion!EA50=Datos!$C$18,Datos!$D$18,IF(Evalucion!EA50=Datos!$C$19,Datos!$D$19,"=")))))</f>
        <v>5</v>
      </c>
      <c r="EA52">
        <f>IF(Evalucion!EB50=Datos!$C$15,Datos!$D$15,IF(Evalucion!EB50=Datos!$C$16,Datos!$D$16,IF(Evalucion!EB50=Datos!$C$17,Datos!$D$17,IF(Evalucion!EB50=Datos!$C$18,Datos!$D$18,IF(Evalucion!EB50=Datos!$C$19,Datos!$D$19,"=")))))</f>
        <v>1</v>
      </c>
      <c r="EB52">
        <f>IF(Evalucion!EC50=Datos!$C$15,Datos!$D$15,IF(Evalucion!EC50=Datos!$C$16,Datos!$D$16,IF(Evalucion!EC50=Datos!$C$17,Datos!$D$17,IF(Evalucion!EC50=Datos!$C$18,Datos!$D$18,IF(Evalucion!EC50=Datos!$C$19,Datos!$D$19,"=")))))</f>
        <v>1</v>
      </c>
      <c r="EC52">
        <f>IF(Evalucion!ED50=Datos!$C$15,Datos!$D$15,IF(Evalucion!ED50=Datos!$C$16,Datos!$D$16,IF(Evalucion!ED50=Datos!$C$17,Datos!$D$17,IF(Evalucion!ED50=Datos!$C$18,Datos!$D$18,IF(Evalucion!ED50=Datos!$C$19,Datos!$D$19,"=")))))</f>
        <v>1</v>
      </c>
      <c r="ED52">
        <f>IF(Evalucion!EE50=Datos!$C$15,Datos!$D$15,IF(Evalucion!EE50=Datos!$C$16,Datos!$D$16,IF(Evalucion!EE50=Datos!$C$17,Datos!$D$17,IF(Evalucion!EE50=Datos!$C$18,Datos!$D$18,IF(Evalucion!EE50=Datos!$C$19,Datos!$D$19,"=")))))</f>
        <v>5</v>
      </c>
      <c r="EE52">
        <f>IF(Evalucion!EF50=Datos!$C$15,Datos!$D$15,IF(Evalucion!EF50=Datos!$C$16,Datos!$D$16,IF(Evalucion!EF50=Datos!$C$17,Datos!$D$17,IF(Evalucion!EF50=Datos!$C$18,Datos!$D$18,IF(Evalucion!EF50=Datos!$C$19,Datos!$D$19,"=")))))</f>
        <v>1</v>
      </c>
      <c r="EF52">
        <f>IF(Evalucion!EG50=Datos!$C$15,Datos!$D$15,IF(Evalucion!EG50=Datos!$C$16,Datos!$D$16,IF(Evalucion!EG50=Datos!$C$17,Datos!$D$17,IF(Evalucion!EG50=Datos!$C$18,Datos!$D$18,IF(Evalucion!EG50=Datos!$C$19,Datos!$D$19,"=")))))</f>
        <v>5</v>
      </c>
      <c r="EG52">
        <f>IF(Evalucion!EH50=Datos!$C$15,Datos!$D$15,IF(Evalucion!EH50=Datos!$C$16,Datos!$D$16,IF(Evalucion!EH50=Datos!$C$17,Datos!$D$17,IF(Evalucion!EH50=Datos!$C$18,Datos!$D$18,IF(Evalucion!EH50=Datos!$C$19,Datos!$D$19,"=")))))</f>
        <v>3</v>
      </c>
      <c r="EH52">
        <f>IF(Evalucion!EI50=Datos!$C$15,Datos!$D$15,IF(Evalucion!EI50=Datos!$C$16,Datos!$D$16,IF(Evalucion!EI50=Datos!$C$17,Datos!$D$17,IF(Evalucion!EI50=Datos!$C$18,Datos!$D$18,IF(Evalucion!EI50=Datos!$C$19,Datos!$D$19,"=")))))</f>
        <v>1</v>
      </c>
      <c r="EI52">
        <f>IF(Evalucion!EJ50=Datos!$C$15,Datos!$D$15,IF(Evalucion!EJ50=Datos!$C$16,Datos!$D$16,IF(Evalucion!EJ50=Datos!$C$17,Datos!$D$17,IF(Evalucion!EJ50=Datos!$C$18,Datos!$D$18,IF(Evalucion!EJ50=Datos!$C$19,Datos!$D$19,"=")))))</f>
        <v>1</v>
      </c>
      <c r="EJ52">
        <f>IF(Evalucion!EK50=Datos!$C$15,Datos!$D$15,IF(Evalucion!EK50=Datos!$C$16,Datos!$D$16,IF(Evalucion!EK50=Datos!$C$17,Datos!$D$17,IF(Evalucion!EK50=Datos!$C$18,Datos!$D$18,IF(Evalucion!EK50=Datos!$C$19,Datos!$D$19,"=")))))</f>
        <v>5</v>
      </c>
      <c r="EK52">
        <f>IF(Evalucion!EL50=Datos!$C$15,Datos!$D$15,IF(Evalucion!EL50=Datos!$C$16,Datos!$D$16,IF(Evalucion!EL50=Datos!$C$17,Datos!$D$17,IF(Evalucion!EL50=Datos!$C$18,Datos!$D$18,IF(Evalucion!EL50=Datos!$C$19,Datos!$D$19,"=")))))</f>
        <v>3</v>
      </c>
      <c r="EL52">
        <f>IF(Evalucion!EM50=Datos!$C$15,Datos!$D$15,IF(Evalucion!EM50=Datos!$C$16,Datos!$D$16,IF(Evalucion!EM50=Datos!$C$17,Datos!$D$17,IF(Evalucion!EM50=Datos!$C$18,Datos!$D$18,IF(Evalucion!EM50=Datos!$C$19,Datos!$D$19,"=")))))</f>
        <v>5</v>
      </c>
      <c r="EM52">
        <f>IF(Evalucion!EN50=Datos!$C$15,Datos!$D$15,IF(Evalucion!EN50=Datos!$C$16,Datos!$D$16,IF(Evalucion!EN50=Datos!$C$17,Datos!$D$17,IF(Evalucion!EN50=Datos!$C$18,Datos!$D$18,IF(Evalucion!EN50=Datos!$C$19,Datos!$D$19,"=")))))</f>
        <v>3</v>
      </c>
      <c r="EN52">
        <f>IF(Evalucion!EO50=Datos!$C$15,Datos!$D$15,IF(Evalucion!EO50=Datos!$C$16,Datos!$D$16,IF(Evalucion!EO50=Datos!$C$17,Datos!$D$17,IF(Evalucion!EO50=Datos!$C$18,Datos!$D$18,IF(Evalucion!EO50=Datos!$C$19,Datos!$D$19,"=")))))</f>
        <v>1</v>
      </c>
      <c r="EO52">
        <f>IF(Evalucion!EP50=Datos!$C$15,Datos!$D$15,IF(Evalucion!EP50=Datos!$C$16,Datos!$D$16,IF(Evalucion!EP50=Datos!$C$17,Datos!$D$17,IF(Evalucion!EP50=Datos!$C$18,Datos!$D$18,IF(Evalucion!EP50=Datos!$C$19,Datos!$D$19,"=")))))</f>
        <v>1</v>
      </c>
      <c r="EP52">
        <f>IF(Evalucion!EQ50=Datos!$C$15,Datos!$D$15,IF(Evalucion!EQ50=Datos!$C$16,Datos!$D$16,IF(Evalucion!EQ50=Datos!$C$17,Datos!$D$17,IF(Evalucion!EQ50=Datos!$C$18,Datos!$D$18,IF(Evalucion!EQ50=Datos!$C$19,Datos!$D$19,"=")))))</f>
        <v>1</v>
      </c>
      <c r="EQ52">
        <f>IF(Evalucion!ER50=Datos!$C$15,Datos!$D$15,IF(Evalucion!ER50=Datos!$C$16,Datos!$D$16,IF(Evalucion!ER50=Datos!$C$17,Datos!$D$17,IF(Evalucion!ER50=Datos!$C$18,Datos!$D$18,IF(Evalucion!ER50=Datos!$C$19,Datos!$D$19,"=")))))</f>
        <v>1</v>
      </c>
      <c r="ER52">
        <f>IF(Evalucion!ES50=Datos!$C$15,Datos!$D$15,IF(Evalucion!ES50=Datos!$C$16,Datos!$D$16,IF(Evalucion!ES50=Datos!$C$17,Datos!$D$17,IF(Evalucion!ES50=Datos!$C$18,Datos!$D$18,IF(Evalucion!ES50=Datos!$C$19,Datos!$D$19,"=")))))</f>
        <v>5</v>
      </c>
      <c r="ES52">
        <f>IF(Evalucion!ET50=Datos!$C$15,Datos!$D$15,IF(Evalucion!ET50=Datos!$C$16,Datos!$D$16,IF(Evalucion!ET50=Datos!$C$17,Datos!$D$17,IF(Evalucion!ET50=Datos!$C$18,Datos!$D$18,IF(Evalucion!ET50=Datos!$C$19,Datos!$D$19,"=")))))</f>
        <v>1</v>
      </c>
      <c r="ET52">
        <f>IF(Evalucion!EU50=Datos!$C$15,Datos!$D$15,IF(Evalucion!EU50=Datos!$C$16,Datos!$D$16,IF(Evalucion!EU50=Datos!$C$17,Datos!$D$17,IF(Evalucion!EU50=Datos!$C$18,Datos!$D$18,IF(Evalucion!EU50=Datos!$C$19,Datos!$D$19,"=")))))</f>
        <v>5</v>
      </c>
      <c r="EU52">
        <f>IF(Evalucion!EV50=Datos!$C$15,Datos!$D$15,IF(Evalucion!EV50=Datos!$C$16,Datos!$D$16,IF(Evalucion!EV50=Datos!$C$17,Datos!$D$17,IF(Evalucion!EV50=Datos!$C$18,Datos!$D$18,IF(Evalucion!EV50=Datos!$C$19,Datos!$D$19,"=")))))</f>
        <v>1</v>
      </c>
      <c r="EV52">
        <f>IF(Evalucion!EW50=Datos!$C$15,Datos!$D$15,IF(Evalucion!EW50=Datos!$C$16,Datos!$D$16,IF(Evalucion!EW50=Datos!$C$17,Datos!$D$17,IF(Evalucion!EW50=Datos!$C$18,Datos!$D$18,IF(Evalucion!EW50=Datos!$C$19,Datos!$D$19,"=")))))</f>
        <v>5</v>
      </c>
      <c r="EW52">
        <f>IF(Evalucion!EX50=Datos!$C$15,Datos!$D$15,IF(Evalucion!EX50=Datos!$C$16,Datos!$D$16,IF(Evalucion!EX50=Datos!$C$17,Datos!$D$17,IF(Evalucion!EX50=Datos!$C$18,Datos!$D$18,IF(Evalucion!EX50=Datos!$C$19,Datos!$D$19,"=")))))</f>
        <v>5</v>
      </c>
      <c r="EX52">
        <f>IF(Evalucion!EY50=Datos!$C$15,Datos!$D$15,IF(Evalucion!EY50=Datos!$C$16,Datos!$D$16,IF(Evalucion!EY50=Datos!$C$17,Datos!$D$17,IF(Evalucion!EY50=Datos!$C$18,Datos!$D$18,IF(Evalucion!EY50=Datos!$C$19,Datos!$D$19,"=")))))</f>
        <v>5</v>
      </c>
      <c r="EY52">
        <f>IF(Evalucion!EZ50=Datos!$C$15,Datos!$D$15,IF(Evalucion!EZ50=Datos!$C$16,Datos!$D$16,IF(Evalucion!EZ50=Datos!$C$17,Datos!$D$17,IF(Evalucion!EZ50=Datos!$C$18,Datos!$D$18,IF(Evalucion!EZ50=Datos!$C$19,Datos!$D$19,"=")))))</f>
        <v>3</v>
      </c>
      <c r="FA52">
        <f t="shared" si="8"/>
        <v>239</v>
      </c>
      <c r="FB52">
        <f t="shared" si="8"/>
        <v>151</v>
      </c>
      <c r="FC52" s="3">
        <f t="shared" si="4"/>
        <v>0.40266666666666667</v>
      </c>
      <c r="FD52" t="str">
        <f t="shared" si="9"/>
        <v>NO_Conf</v>
      </c>
      <c r="FF52">
        <f t="shared" si="5"/>
        <v>390</v>
      </c>
      <c r="FG52">
        <f t="shared" si="6"/>
        <v>0</v>
      </c>
    </row>
    <row r="53" spans="1:163" x14ac:dyDescent="0.2">
      <c r="A53">
        <f t="shared" si="7"/>
        <v>50</v>
      </c>
      <c r="B53" t="s">
        <v>294</v>
      </c>
      <c r="C53" t="s">
        <v>195</v>
      </c>
      <c r="D53" s="6">
        <v>43699</v>
      </c>
      <c r="E53">
        <f>IF(Evalucion!F51=Datos!$C$15,Datos!$D$15,IF(Evalucion!F51=Datos!$C$16,Datos!$D$16,IF(Evalucion!F51=Datos!$C$17,Datos!$D$17,IF(Evalucion!F51=Datos!$C$18,Datos!$D$18,IF(Evalucion!F51=Datos!$C$19,Datos!$D$19,"=")))))</f>
        <v>5</v>
      </c>
      <c r="F53">
        <f>IF(Evalucion!G51=Datos!$C$15,Datos!$D$15,IF(Evalucion!G51=Datos!$C$16,Datos!$D$16,IF(Evalucion!G51=Datos!$C$17,Datos!$D$17,IF(Evalucion!G51=Datos!$C$18,Datos!$D$18,IF(Evalucion!G51=Datos!$C$19,Datos!$D$19,"=")))))</f>
        <v>5</v>
      </c>
      <c r="G53">
        <f>IF(Evalucion!H51=Datos!$C$15,Datos!$D$15,IF(Evalucion!H51=Datos!$C$16,Datos!$D$16,IF(Evalucion!H51=Datos!$C$17,Datos!$D$17,IF(Evalucion!H51=Datos!$C$18,Datos!$D$18,IF(Evalucion!H51=Datos!$C$19,Datos!$D$19,"=")))))</f>
        <v>5</v>
      </c>
      <c r="H53">
        <f>IF(Evalucion!I51=Datos!$C$15,Datos!$D$15,IF(Evalucion!I51=Datos!$C$16,Datos!$D$16,IF(Evalucion!I51=Datos!$C$17,Datos!$D$17,IF(Evalucion!I51=Datos!$C$18,Datos!$D$18,IF(Evalucion!I51=Datos!$C$19,Datos!$D$19,"=")))))</f>
        <v>5</v>
      </c>
      <c r="I53">
        <f>IF(Evalucion!J51=Datos!$C$15,Datos!$D$15,IF(Evalucion!J51=Datos!$C$16,Datos!$D$16,IF(Evalucion!J51=Datos!$C$17,Datos!$D$17,IF(Evalucion!J51=Datos!$C$18,Datos!$D$18,IF(Evalucion!J51=Datos!$C$19,Datos!$D$19,"=")))))</f>
        <v>5</v>
      </c>
      <c r="J53">
        <f>IF(Evalucion!K51=Datos!$C$15,Datos!$D$15,IF(Evalucion!K51=Datos!$C$16,Datos!$D$16,IF(Evalucion!K51=Datos!$C$17,Datos!$D$17,IF(Evalucion!K51=Datos!$C$18,Datos!$D$18,IF(Evalucion!K51=Datos!$C$19,Datos!$D$19,"=")))))</f>
        <v>3</v>
      </c>
      <c r="K53">
        <f>IF(Evalucion!L51=Datos!$C$15,Datos!$D$15,IF(Evalucion!L51=Datos!$C$16,Datos!$D$16,IF(Evalucion!L51=Datos!$C$17,Datos!$D$17,IF(Evalucion!L51=Datos!$C$18,Datos!$D$18,IF(Evalucion!L51=Datos!$C$19,Datos!$D$19,"=")))))</f>
        <v>5</v>
      </c>
      <c r="L53">
        <f>IF(Evalucion!M51=Datos!$C$15,Datos!$D$15,IF(Evalucion!M51=Datos!$C$16,Datos!$D$16,IF(Evalucion!M51=Datos!$C$17,Datos!$D$17,IF(Evalucion!M51=Datos!$C$18,Datos!$D$18,IF(Evalucion!M51=Datos!$C$19,Datos!$D$19,"=")))))</f>
        <v>3</v>
      </c>
      <c r="M53">
        <f>IF(Evalucion!N51=Datos!$C$15,Datos!$D$15,IF(Evalucion!N51=Datos!$C$16,Datos!$D$16,IF(Evalucion!N51=Datos!$C$17,Datos!$D$17,IF(Evalucion!N51=Datos!$C$18,Datos!$D$18,IF(Evalucion!N51=Datos!$C$19,Datos!$D$19,"=")))))</f>
        <v>5</v>
      </c>
      <c r="N53">
        <f>IF(Evalucion!O51=Datos!$C$15,Datos!$D$15,IF(Evalucion!O51=Datos!$C$16,Datos!$D$16,IF(Evalucion!O51=Datos!$C$17,Datos!$D$17,IF(Evalucion!O51=Datos!$C$18,Datos!$D$18,IF(Evalucion!O51=Datos!$C$19,Datos!$D$19,"=")))))</f>
        <v>5</v>
      </c>
      <c r="O53">
        <f>IF(Evalucion!P51=Datos!$C$15,Datos!$D$15,IF(Evalucion!P51=Datos!$C$16,Datos!$D$16,IF(Evalucion!P51=Datos!$C$17,Datos!$D$17,IF(Evalucion!P51=Datos!$C$18,Datos!$D$18,IF(Evalucion!P51=Datos!$C$19,Datos!$D$19,"=")))))</f>
        <v>5</v>
      </c>
      <c r="P53">
        <f>IF(Evalucion!Q51=Datos!$C$15,Datos!$D$15,IF(Evalucion!Q51=Datos!$C$16,Datos!$D$16,IF(Evalucion!Q51=Datos!$C$17,Datos!$D$17,IF(Evalucion!Q51=Datos!$C$18,Datos!$D$18,IF(Evalucion!Q51=Datos!$C$19,Datos!$D$19,"=")))))</f>
        <v>5</v>
      </c>
      <c r="Q53">
        <f>IF(Evalucion!R51=Datos!$C$15,Datos!$D$15,IF(Evalucion!R51=Datos!$C$16,Datos!$D$16,IF(Evalucion!R51=Datos!$C$17,Datos!$D$17,IF(Evalucion!R51=Datos!$C$18,Datos!$D$18,IF(Evalucion!R51=Datos!$C$19,Datos!$D$19,"=")))))</f>
        <v>5</v>
      </c>
      <c r="R53">
        <f>IF(Evalucion!S51=Datos!$C$15,Datos!$D$15,IF(Evalucion!S51=Datos!$C$16,Datos!$D$16,IF(Evalucion!S51=Datos!$C$17,Datos!$D$17,IF(Evalucion!S51=Datos!$C$18,Datos!$D$18,IF(Evalucion!S51=Datos!$C$19,Datos!$D$19,"=")))))</f>
        <v>5</v>
      </c>
      <c r="S53">
        <f>IF(Evalucion!T51=Datos!$C$15,Datos!$D$15,IF(Evalucion!T51=Datos!$C$16,Datos!$D$16,IF(Evalucion!T51=Datos!$C$17,Datos!$D$17,IF(Evalucion!T51=Datos!$C$18,Datos!$D$18,IF(Evalucion!T51=Datos!$C$19,Datos!$D$19,"=")))))</f>
        <v>1</v>
      </c>
      <c r="T53">
        <f>IF(Evalucion!U51=Datos!$C$15,Datos!$D$15,IF(Evalucion!U51=Datos!$C$16,Datos!$D$16,IF(Evalucion!U51=Datos!$C$17,Datos!$D$17,IF(Evalucion!U51=Datos!$C$18,Datos!$D$18,IF(Evalucion!U51=Datos!$C$19,Datos!$D$19,"=")))))</f>
        <v>1</v>
      </c>
      <c r="U53">
        <f>IF(Evalucion!V51=Datos!$C$15,Datos!$D$15,IF(Evalucion!V51=Datos!$C$16,Datos!$D$16,IF(Evalucion!V51=Datos!$C$17,Datos!$D$17,IF(Evalucion!V51=Datos!$C$18,Datos!$D$18,IF(Evalucion!V51=Datos!$C$19,Datos!$D$19,"=")))))</f>
        <v>1</v>
      </c>
      <c r="V53">
        <f>IF(Evalucion!W51=Datos!$C$15,Datos!$D$15,IF(Evalucion!W51=Datos!$C$16,Datos!$D$16,IF(Evalucion!W51=Datos!$C$17,Datos!$D$17,IF(Evalucion!W51=Datos!$C$18,Datos!$D$18,IF(Evalucion!W51=Datos!$C$19,Datos!$D$19,"=")))))</f>
        <v>1</v>
      </c>
      <c r="W53">
        <f>IF(Evalucion!X51=Datos!$C$15,Datos!$D$15,IF(Evalucion!X51=Datos!$C$16,Datos!$D$16,IF(Evalucion!X51=Datos!$C$17,Datos!$D$17,IF(Evalucion!X51=Datos!$C$18,Datos!$D$18,IF(Evalucion!X51=Datos!$C$19,Datos!$D$19,"=")))))</f>
        <v>1</v>
      </c>
      <c r="X53">
        <f>IF(Evalucion!Y51=Datos!$C$15,Datos!$D$15,IF(Evalucion!Y51=Datos!$C$16,Datos!$D$16,IF(Evalucion!Y51=Datos!$C$17,Datos!$D$17,IF(Evalucion!Y51=Datos!$C$18,Datos!$D$18,IF(Evalucion!Y51=Datos!$C$19,Datos!$D$19,"=")))))</f>
        <v>1</v>
      </c>
      <c r="Y53">
        <f>IF(Evalucion!Z51=Datos!$C$15,Datos!$D$15,IF(Evalucion!Z51=Datos!$C$16,Datos!$D$16,IF(Evalucion!Z51=Datos!$C$17,Datos!$D$17,IF(Evalucion!Z51=Datos!$C$18,Datos!$D$18,IF(Evalucion!Z51=Datos!$C$19,Datos!$D$19,"=")))))</f>
        <v>1</v>
      </c>
      <c r="Z53">
        <f>IF(Evalucion!AA51=Datos!$C$15,Datos!$D$15,IF(Evalucion!AA51=Datos!$C$16,Datos!$D$16,IF(Evalucion!AA51=Datos!$C$17,Datos!$D$17,IF(Evalucion!AA51=Datos!$C$18,Datos!$D$18,IF(Evalucion!AA51=Datos!$C$19,Datos!$D$19,"=")))))</f>
        <v>1</v>
      </c>
      <c r="AA53">
        <f>IF(Evalucion!AB51=Datos!$C$15,Datos!$D$15,IF(Evalucion!AB51=Datos!$C$16,Datos!$D$16,IF(Evalucion!AB51=Datos!$C$17,Datos!$D$17,IF(Evalucion!AB51=Datos!$C$18,Datos!$D$18,IF(Evalucion!AB51=Datos!$C$19,Datos!$D$19,"=")))))</f>
        <v>1</v>
      </c>
      <c r="AB53">
        <f>IF(Evalucion!AC51=Datos!$C$15,Datos!$D$15,IF(Evalucion!AC51=Datos!$C$16,Datos!$D$16,IF(Evalucion!AC51=Datos!$C$17,Datos!$D$17,IF(Evalucion!AC51=Datos!$C$18,Datos!$D$18,IF(Evalucion!AC51=Datos!$C$19,Datos!$D$19,"=")))))</f>
        <v>1</v>
      </c>
      <c r="AC53">
        <f>IF(Evalucion!AD51=Datos!$C$15,Datos!$D$15,IF(Evalucion!AD51=Datos!$C$16,Datos!$D$16,IF(Evalucion!AD51=Datos!$C$17,Datos!$D$17,IF(Evalucion!AD51=Datos!$C$18,Datos!$D$18,IF(Evalucion!AD51=Datos!$C$19,Datos!$D$19,"=")))))</f>
        <v>1</v>
      </c>
      <c r="AD53">
        <f>IF(Evalucion!AE51=Datos!$C$15,Datos!$D$15,IF(Evalucion!AE51=Datos!$C$16,Datos!$D$16,IF(Evalucion!AE51=Datos!$C$17,Datos!$D$17,IF(Evalucion!AE51=Datos!$C$18,Datos!$D$18,IF(Evalucion!AE51=Datos!$C$19,Datos!$D$19,"=")))))</f>
        <v>1</v>
      </c>
      <c r="AE53">
        <f>IF(Evalucion!AF51=Datos!$C$15,Datos!$D$15,IF(Evalucion!AF51=Datos!$C$16,Datos!$D$16,IF(Evalucion!AF51=Datos!$C$17,Datos!$D$17,IF(Evalucion!AF51=Datos!$C$18,Datos!$D$18,IF(Evalucion!AF51=Datos!$C$19,Datos!$D$19,"=")))))</f>
        <v>5</v>
      </c>
      <c r="AF53">
        <f>IF(Evalucion!AG51=Datos!$C$15,Datos!$D$15,IF(Evalucion!AG51=Datos!$C$16,Datos!$D$16,IF(Evalucion!AG51=Datos!$C$17,Datos!$D$17,IF(Evalucion!AG51=Datos!$C$18,Datos!$D$18,IF(Evalucion!AG51=Datos!$C$19,Datos!$D$19,"=")))))</f>
        <v>5</v>
      </c>
      <c r="AO53">
        <f>IF(Evalucion!AP51=Datos!$C$15,Datos!$D$15,IF(Evalucion!AP51=Datos!$C$16,Datos!$D$16,IF(Evalucion!AP51=Datos!$C$17,Datos!$D$17,IF(Evalucion!AP51=Datos!$C$18,Datos!$D$18,IF(Evalucion!AP51=Datos!$C$19,Datos!$D$19,"=")))))</f>
        <v>5</v>
      </c>
      <c r="AP53">
        <f>IF(Evalucion!AQ51=Datos!$C$15,Datos!$D$15,IF(Evalucion!AQ51=Datos!$C$16,Datos!$D$16,IF(Evalucion!AQ51=Datos!$C$17,Datos!$D$17,IF(Evalucion!AQ51=Datos!$C$18,Datos!$D$18,IF(Evalucion!AQ51=Datos!$C$19,Datos!$D$19,"=")))))</f>
        <v>3</v>
      </c>
      <c r="AQ53">
        <f>IF(Evalucion!AR51=Datos!$C$15,Datos!$D$15,IF(Evalucion!AR51=Datos!$C$16,Datos!$D$16,IF(Evalucion!AR51=Datos!$C$17,Datos!$D$17,IF(Evalucion!AR51=Datos!$C$18,Datos!$D$18,IF(Evalucion!AR51=Datos!$C$19,Datos!$D$19,"=")))))</f>
        <v>1</v>
      </c>
      <c r="AR53">
        <f>IF(Evalucion!AS51=Datos!$C$15,Datos!$D$15,IF(Evalucion!AS51=Datos!$C$16,Datos!$D$16,IF(Evalucion!AS51=Datos!$C$17,Datos!$D$17,IF(Evalucion!AS51=Datos!$C$18,Datos!$D$18,IF(Evalucion!AS51=Datos!$C$19,Datos!$D$19,"=")))))</f>
        <v>1</v>
      </c>
      <c r="AS53">
        <f>IF(Evalucion!AT51=Datos!$C$15,Datos!$D$15,IF(Evalucion!AT51=Datos!$C$16,Datos!$D$16,IF(Evalucion!AT51=Datos!$C$17,Datos!$D$17,IF(Evalucion!AT51=Datos!$C$18,Datos!$D$18,IF(Evalucion!AT51=Datos!$C$19,Datos!$D$19,"=")))))</f>
        <v>5</v>
      </c>
      <c r="AT53">
        <f>IF(Evalucion!AU51=Datos!$C$15,Datos!$D$15,IF(Evalucion!AU51=Datos!$C$16,Datos!$D$16,IF(Evalucion!AU51=Datos!$C$17,Datos!$D$17,IF(Evalucion!AU51=Datos!$C$18,Datos!$D$18,IF(Evalucion!AU51=Datos!$C$19,Datos!$D$19,"=")))))</f>
        <v>3</v>
      </c>
      <c r="AV53">
        <f>IF(Evalucion!AW51=Datos!$C$15,Datos!$D$15,IF(Evalucion!AW51=Datos!$C$16,Datos!$D$16,IF(Evalucion!AW51=Datos!$C$17,Datos!$D$17,IF(Evalucion!AW51=Datos!$C$18,Datos!$D$18,IF(Evalucion!AW51=Datos!$C$19,Datos!$D$19,"=")))))</f>
        <v>5</v>
      </c>
      <c r="AW53">
        <f>IF(Evalucion!AX51=Datos!$C$15,Datos!$D$15,IF(Evalucion!AX51=Datos!$C$16,Datos!$D$16,IF(Evalucion!AX51=Datos!$C$17,Datos!$D$17,IF(Evalucion!AX51=Datos!$C$18,Datos!$D$18,IF(Evalucion!AX51=Datos!$C$19,Datos!$D$19,"=")))))</f>
        <v>3</v>
      </c>
      <c r="AX53">
        <f>IF(Evalucion!AY51=Datos!$C$15,Datos!$D$15,IF(Evalucion!AY51=Datos!$C$16,Datos!$D$16,IF(Evalucion!AY51=Datos!$C$17,Datos!$D$17,IF(Evalucion!AY51=Datos!$C$18,Datos!$D$18,IF(Evalucion!AY51=Datos!$C$19,Datos!$D$19,"=")))))</f>
        <v>5</v>
      </c>
      <c r="AY53">
        <f>IF(Evalucion!AZ51=Datos!$C$15,Datos!$D$15,IF(Evalucion!AZ51=Datos!$C$16,Datos!$D$16,IF(Evalucion!AZ51=Datos!$C$17,Datos!$D$17,IF(Evalucion!AZ51=Datos!$C$18,Datos!$D$18,IF(Evalucion!AZ51=Datos!$C$19,Datos!$D$19,"=")))))</f>
        <v>1</v>
      </c>
      <c r="AZ53">
        <f>IF(Evalucion!BA51=Datos!$C$15,Datos!$D$15,IF(Evalucion!BA51=Datos!$C$16,Datos!$D$16,IF(Evalucion!BA51=Datos!$C$17,Datos!$D$17,IF(Evalucion!BA51=Datos!$C$18,Datos!$D$18,IF(Evalucion!BA51=Datos!$C$19,Datos!$D$19,"=")))))</f>
        <v>5</v>
      </c>
      <c r="BA53">
        <f>IF(Evalucion!BB51=Datos!$C$15,Datos!$D$15,IF(Evalucion!BB51=Datos!$C$16,Datos!$D$16,IF(Evalucion!BB51=Datos!$C$17,Datos!$D$17,IF(Evalucion!BB51=Datos!$C$18,Datos!$D$18,IF(Evalucion!BB51=Datos!$C$19,Datos!$D$19,"=")))))</f>
        <v>5</v>
      </c>
      <c r="BB53">
        <f>IF(Evalucion!BC51=Datos!$C$15,Datos!$D$15,IF(Evalucion!BC51=Datos!$C$16,Datos!$D$16,IF(Evalucion!BC51=Datos!$C$17,Datos!$D$17,IF(Evalucion!BC51=Datos!$C$18,Datos!$D$18,IF(Evalucion!BC51=Datos!$C$19,Datos!$D$19,"=")))))</f>
        <v>5</v>
      </c>
      <c r="BC53">
        <f>IF(Evalucion!BD51=Datos!$C$15,Datos!$D$15,IF(Evalucion!BD51=Datos!$C$16,Datos!$D$16,IF(Evalucion!BD51=Datos!$C$17,Datos!$D$17,IF(Evalucion!BD51=Datos!$C$18,Datos!$D$18,IF(Evalucion!BD51=Datos!$C$19,Datos!$D$19,"=")))))</f>
        <v>1</v>
      </c>
      <c r="BD53">
        <f>IF(Evalucion!BE51=Datos!$C$15,Datos!$D$15,IF(Evalucion!BE51=Datos!$C$16,Datos!$D$16,IF(Evalucion!BE51=Datos!$C$17,Datos!$D$17,IF(Evalucion!BE51=Datos!$C$18,Datos!$D$18,IF(Evalucion!BE51=Datos!$C$19,Datos!$D$19,"=")))))</f>
        <v>5</v>
      </c>
      <c r="BE53">
        <f>IF(Evalucion!BF51=Datos!$C$15,Datos!$D$15,IF(Evalucion!BF51=Datos!$C$16,Datos!$D$16,IF(Evalucion!BF51=Datos!$C$17,Datos!$D$17,IF(Evalucion!BF51=Datos!$C$18,Datos!$D$18,IF(Evalucion!BF51=Datos!$C$19,Datos!$D$19,"=")))))</f>
        <v>1</v>
      </c>
      <c r="BF53">
        <f>IF(Evalucion!BG51=Datos!$C$15,Datos!$D$15,IF(Evalucion!BG51=Datos!$C$16,Datos!$D$16,IF(Evalucion!BG51=Datos!$C$17,Datos!$D$17,IF(Evalucion!BG51=Datos!$C$18,Datos!$D$18,IF(Evalucion!BG51=Datos!$C$19,Datos!$D$19,"=")))))</f>
        <v>5</v>
      </c>
      <c r="BG53">
        <f>IF(Evalucion!BH51=Datos!$C$15,Datos!$D$15,IF(Evalucion!BH51=Datos!$C$16,Datos!$D$16,IF(Evalucion!BH51=Datos!$C$17,Datos!$D$17,IF(Evalucion!BH51=Datos!$C$18,Datos!$D$18,IF(Evalucion!BH51=Datos!$C$19,Datos!$D$19,"=")))))</f>
        <v>5</v>
      </c>
      <c r="BH53">
        <f>IF(Evalucion!BI51=Datos!$C$15,Datos!$D$15,IF(Evalucion!BI51=Datos!$C$16,Datos!$D$16,IF(Evalucion!BI51=Datos!$C$17,Datos!$D$17,IF(Evalucion!BI51=Datos!$C$18,Datos!$D$18,IF(Evalucion!BI51=Datos!$C$19,Datos!$D$19,"=")))))</f>
        <v>5</v>
      </c>
      <c r="BI53">
        <f>IF(Evalucion!BJ51=Datos!$C$15,Datos!$D$15,IF(Evalucion!BJ51=Datos!$C$16,Datos!$D$16,IF(Evalucion!BJ51=Datos!$C$17,Datos!$D$17,IF(Evalucion!BJ51=Datos!$C$18,Datos!$D$18,IF(Evalucion!BJ51=Datos!$C$19,Datos!$D$19,"=")))))</f>
        <v>5</v>
      </c>
      <c r="BJ53">
        <f>IF(Evalucion!BK51=Datos!$C$15,Datos!$D$15,IF(Evalucion!BK51=Datos!$C$16,Datos!$D$16,IF(Evalucion!BK51=Datos!$C$17,Datos!$D$17,IF(Evalucion!BK51=Datos!$C$18,Datos!$D$18,IF(Evalucion!BK51=Datos!$C$19,Datos!$D$19,"=")))))</f>
        <v>1</v>
      </c>
      <c r="BK53">
        <f>IF(Evalucion!BL51=Datos!$C$15,Datos!$D$15,IF(Evalucion!BL51=Datos!$C$16,Datos!$D$16,IF(Evalucion!BL51=Datos!$C$17,Datos!$D$17,IF(Evalucion!BL51=Datos!$C$18,Datos!$D$18,IF(Evalucion!BL51=Datos!$C$19,Datos!$D$19,"=")))))</f>
        <v>1</v>
      </c>
      <c r="BL53">
        <f>IF(Evalucion!BM51=Datos!$C$15,Datos!$D$15,IF(Evalucion!BM51=Datos!$C$16,Datos!$D$16,IF(Evalucion!BM51=Datos!$C$17,Datos!$D$17,IF(Evalucion!BM51=Datos!$C$18,Datos!$D$18,IF(Evalucion!BM51=Datos!$C$19,Datos!$D$19,"=")))))</f>
        <v>1</v>
      </c>
      <c r="BM53">
        <f>IF(Evalucion!BN51=Datos!$C$15,Datos!$D$15,IF(Evalucion!BN51=Datos!$C$16,Datos!$D$16,IF(Evalucion!BN51=Datos!$C$17,Datos!$D$17,IF(Evalucion!BN51=Datos!$C$18,Datos!$D$18,IF(Evalucion!BN51=Datos!$C$19,Datos!$D$19,"=")))))</f>
        <v>1</v>
      </c>
      <c r="BN53">
        <f>IF(Evalucion!BO51=Datos!$C$15,Datos!$D$15,IF(Evalucion!BO51=Datos!$C$16,Datos!$D$16,IF(Evalucion!BO51=Datos!$C$17,Datos!$D$17,IF(Evalucion!BO51=Datos!$C$18,Datos!$D$18,IF(Evalucion!BO51=Datos!$C$19,Datos!$D$19,"=")))))</f>
        <v>5</v>
      </c>
      <c r="BO53">
        <f>IF(Evalucion!BP51=Datos!$C$15,Datos!$D$15,IF(Evalucion!BP51=Datos!$C$16,Datos!$D$16,IF(Evalucion!BP51=Datos!$C$17,Datos!$D$17,IF(Evalucion!BP51=Datos!$C$18,Datos!$D$18,IF(Evalucion!BP51=Datos!$C$19,Datos!$D$19,"=")))))</f>
        <v>1</v>
      </c>
      <c r="BP53">
        <f>IF(Evalucion!BQ51=Datos!$C$15,Datos!$D$15,IF(Evalucion!BQ51=Datos!$C$16,Datos!$D$16,IF(Evalucion!BQ51=Datos!$C$17,Datos!$D$17,IF(Evalucion!BQ51=Datos!$C$18,Datos!$D$18,IF(Evalucion!BQ51=Datos!$C$19,Datos!$D$19,"=")))))</f>
        <v>1</v>
      </c>
      <c r="BQ53">
        <f>IF(Evalucion!BR51=Datos!$C$15,Datos!$D$15,IF(Evalucion!BR51=Datos!$C$16,Datos!$D$16,IF(Evalucion!BR51=Datos!$C$17,Datos!$D$17,IF(Evalucion!BR51=Datos!$C$18,Datos!$D$18,IF(Evalucion!BR51=Datos!$C$19,Datos!$D$19,"=")))))</f>
        <v>1</v>
      </c>
      <c r="BR53">
        <f>IF(Evalucion!BS51=Datos!$C$15,Datos!$D$15,IF(Evalucion!BS51=Datos!$C$16,Datos!$D$16,IF(Evalucion!BS51=Datos!$C$17,Datos!$D$17,IF(Evalucion!BS51=Datos!$C$18,Datos!$D$18,IF(Evalucion!BS51=Datos!$C$19,Datos!$D$19,"=")))))</f>
        <v>1</v>
      </c>
      <c r="BS53">
        <f>IF(Evalucion!BT51=Datos!$C$15,Datos!$D$15,IF(Evalucion!BT51=Datos!$C$16,Datos!$D$16,IF(Evalucion!BT51=Datos!$C$17,Datos!$D$17,IF(Evalucion!BT51=Datos!$C$18,Datos!$D$18,IF(Evalucion!BT51=Datos!$C$19,Datos!$D$19,"=")))))</f>
        <v>1</v>
      </c>
      <c r="BT53">
        <f>IF(Evalucion!BU51=Datos!$C$15,Datos!$D$15,IF(Evalucion!BU51=Datos!$C$16,Datos!$D$16,IF(Evalucion!BU51=Datos!$C$17,Datos!$D$17,IF(Evalucion!BU51=Datos!$C$18,Datos!$D$18,IF(Evalucion!BU51=Datos!$C$19,Datos!$D$19,"=")))))</f>
        <v>5</v>
      </c>
      <c r="BU53">
        <f>IF(Evalucion!BV51=Datos!$C$15,Datos!$D$15,IF(Evalucion!BV51=Datos!$C$16,Datos!$D$16,IF(Evalucion!BV51=Datos!$C$17,Datos!$D$17,IF(Evalucion!BV51=Datos!$C$18,Datos!$D$18,IF(Evalucion!BV51=Datos!$C$19,Datos!$D$19,"=")))))</f>
        <v>3</v>
      </c>
      <c r="BV53">
        <f>IF(Evalucion!BW51=Datos!$C$15,Datos!$D$15,IF(Evalucion!BW51=Datos!$C$16,Datos!$D$16,IF(Evalucion!BW51=Datos!$C$17,Datos!$D$17,IF(Evalucion!BW51=Datos!$C$18,Datos!$D$18,IF(Evalucion!BW51=Datos!$C$19,Datos!$D$19,"=")))))</f>
        <v>5</v>
      </c>
      <c r="BW53">
        <f>IF(Evalucion!BX51=Datos!$C$15,Datos!$D$15,IF(Evalucion!BX51=Datos!$C$16,Datos!$D$16,IF(Evalucion!BX51=Datos!$C$17,Datos!$D$17,IF(Evalucion!BX51=Datos!$C$18,Datos!$D$18,IF(Evalucion!BX51=Datos!$C$19,Datos!$D$19,"=")))))</f>
        <v>3</v>
      </c>
      <c r="BX53">
        <f>IF(Evalucion!BY51=Datos!$C$15,Datos!$D$15,IF(Evalucion!BY51=Datos!$C$16,Datos!$D$16,IF(Evalucion!BY51=Datos!$C$17,Datos!$D$17,IF(Evalucion!BY51=Datos!$C$18,Datos!$D$18,IF(Evalucion!BY51=Datos!$C$19,Datos!$D$19,"=")))))</f>
        <v>1</v>
      </c>
      <c r="BY53">
        <f>IF(Evalucion!BZ51=Datos!$C$15,Datos!$D$15,IF(Evalucion!BZ51=Datos!$C$16,Datos!$D$16,IF(Evalucion!BZ51=Datos!$C$17,Datos!$D$17,IF(Evalucion!BZ51=Datos!$C$18,Datos!$D$18,IF(Evalucion!BZ51=Datos!$C$19,Datos!$D$19,"=")))))</f>
        <v>1</v>
      </c>
      <c r="BZ53">
        <f>IF(Evalucion!CA51=Datos!$C$15,Datos!$D$15,IF(Evalucion!CA51=Datos!$C$16,Datos!$D$16,IF(Evalucion!CA51=Datos!$C$17,Datos!$D$17,IF(Evalucion!CA51=Datos!$C$18,Datos!$D$18,IF(Evalucion!CA51=Datos!$C$19,Datos!$D$19,"=")))))</f>
        <v>1</v>
      </c>
      <c r="CA53">
        <f>IF(Evalucion!CB51=Datos!$C$15,Datos!$D$15,IF(Evalucion!CB51=Datos!$C$16,Datos!$D$16,IF(Evalucion!CB51=Datos!$C$17,Datos!$D$17,IF(Evalucion!CB51=Datos!$C$18,Datos!$D$18,IF(Evalucion!CB51=Datos!$C$19,Datos!$D$19,"=")))))</f>
        <v>1</v>
      </c>
      <c r="CB53">
        <f>IF(Evalucion!CC51=Datos!$C$15,Datos!$D$15,IF(Evalucion!CC51=Datos!$C$16,Datos!$D$16,IF(Evalucion!CC51=Datos!$C$17,Datos!$D$17,IF(Evalucion!CC51=Datos!$C$18,Datos!$D$18,IF(Evalucion!CC51=Datos!$C$19,Datos!$D$19,"=")))))</f>
        <v>5</v>
      </c>
      <c r="CC53">
        <f>IF(Evalucion!CD51=Datos!$C$15,Datos!$D$15,IF(Evalucion!CD51=Datos!$C$16,Datos!$D$16,IF(Evalucion!CD51=Datos!$C$17,Datos!$D$17,IF(Evalucion!CD51=Datos!$C$18,Datos!$D$18,IF(Evalucion!CD51=Datos!$C$19,Datos!$D$19,"=")))))</f>
        <v>3</v>
      </c>
      <c r="CD53">
        <f>IF(Evalucion!CE51=Datos!$C$15,Datos!$D$15,IF(Evalucion!CE51=Datos!$C$16,Datos!$D$16,IF(Evalucion!CE51=Datos!$C$17,Datos!$D$17,IF(Evalucion!CE51=Datos!$C$18,Datos!$D$18,IF(Evalucion!CE51=Datos!$C$19,Datos!$D$19,"=")))))</f>
        <v>5</v>
      </c>
      <c r="CE53">
        <f>IF(Evalucion!CF51=Datos!$C$15,Datos!$D$15,IF(Evalucion!CF51=Datos!$C$16,Datos!$D$16,IF(Evalucion!CF51=Datos!$C$17,Datos!$D$17,IF(Evalucion!CF51=Datos!$C$18,Datos!$D$18,IF(Evalucion!CF51=Datos!$C$19,Datos!$D$19,"=")))))</f>
        <v>3</v>
      </c>
      <c r="CF53">
        <f>IF(Evalucion!CG51=Datos!$C$15,Datos!$D$15,IF(Evalucion!CG51=Datos!$C$16,Datos!$D$16,IF(Evalucion!CG51=Datos!$C$17,Datos!$D$17,IF(Evalucion!CG51=Datos!$C$18,Datos!$D$18,IF(Evalucion!CG51=Datos!$C$19,Datos!$D$19,"=")))))</f>
        <v>1</v>
      </c>
      <c r="CG53">
        <f>IF(Evalucion!CH51=Datos!$C$15,Datos!$D$15,IF(Evalucion!CH51=Datos!$C$16,Datos!$D$16,IF(Evalucion!CH51=Datos!$C$17,Datos!$D$17,IF(Evalucion!CH51=Datos!$C$18,Datos!$D$18,IF(Evalucion!CH51=Datos!$C$19,Datos!$D$19,"=")))))</f>
        <v>1</v>
      </c>
      <c r="CH53">
        <f>IF(Evalucion!CI51=Datos!$C$15,Datos!$D$15,IF(Evalucion!CI51=Datos!$C$16,Datos!$D$16,IF(Evalucion!CI51=Datos!$C$17,Datos!$D$17,IF(Evalucion!CI51=Datos!$C$18,Datos!$D$18,IF(Evalucion!CI51=Datos!$C$19,Datos!$D$19,"=")))))</f>
        <v>5</v>
      </c>
      <c r="CI53">
        <f>IF(Evalucion!CJ51=Datos!$C$15,Datos!$D$15,IF(Evalucion!CJ51=Datos!$C$16,Datos!$D$16,IF(Evalucion!CJ51=Datos!$C$17,Datos!$D$17,IF(Evalucion!CJ51=Datos!$C$18,Datos!$D$18,IF(Evalucion!CJ51=Datos!$C$19,Datos!$D$19,"=")))))</f>
        <v>3</v>
      </c>
      <c r="CJ53">
        <f>IF(Evalucion!CK51=Datos!$C$15,Datos!$D$15,IF(Evalucion!CK51=Datos!$C$16,Datos!$D$16,IF(Evalucion!CK51=Datos!$C$17,Datos!$D$17,IF(Evalucion!CK51=Datos!$C$18,Datos!$D$18,IF(Evalucion!CK51=Datos!$C$19,Datos!$D$19,"=")))))</f>
        <v>5</v>
      </c>
      <c r="CK53">
        <f>IF(Evalucion!CL51=Datos!$C$15,Datos!$D$15,IF(Evalucion!CL51=Datos!$C$16,Datos!$D$16,IF(Evalucion!CL51=Datos!$C$17,Datos!$D$17,IF(Evalucion!CL51=Datos!$C$18,Datos!$D$18,IF(Evalucion!CL51=Datos!$C$19,Datos!$D$19,"=")))))</f>
        <v>1</v>
      </c>
      <c r="CL53">
        <f>IF(Evalucion!CM51=Datos!$C$15,Datos!$D$15,IF(Evalucion!CM51=Datos!$C$16,Datos!$D$16,IF(Evalucion!CM51=Datos!$C$17,Datos!$D$17,IF(Evalucion!CM51=Datos!$C$18,Datos!$D$18,IF(Evalucion!CM51=Datos!$C$19,Datos!$D$19,"=")))))</f>
        <v>5</v>
      </c>
      <c r="CM53">
        <f>IF(Evalucion!CN51=Datos!$C$15,Datos!$D$15,IF(Evalucion!CN51=Datos!$C$16,Datos!$D$16,IF(Evalucion!CN51=Datos!$C$17,Datos!$D$17,IF(Evalucion!CN51=Datos!$C$18,Datos!$D$18,IF(Evalucion!CN51=Datos!$C$19,Datos!$D$19,"=")))))</f>
        <v>3</v>
      </c>
      <c r="CN53">
        <f>IF(Evalucion!CO51=Datos!$C$15,Datos!$D$15,IF(Evalucion!CO51=Datos!$C$16,Datos!$D$16,IF(Evalucion!CO51=Datos!$C$17,Datos!$D$17,IF(Evalucion!CO51=Datos!$C$18,Datos!$D$18,IF(Evalucion!CO51=Datos!$C$19,Datos!$D$19,"=")))))</f>
        <v>5</v>
      </c>
      <c r="CO53">
        <f>IF(Evalucion!CP51=Datos!$C$15,Datos!$D$15,IF(Evalucion!CP51=Datos!$C$16,Datos!$D$16,IF(Evalucion!CP51=Datos!$C$17,Datos!$D$17,IF(Evalucion!CP51=Datos!$C$18,Datos!$D$18,IF(Evalucion!CP51=Datos!$C$19,Datos!$D$19,"=")))))</f>
        <v>5</v>
      </c>
      <c r="CP53">
        <f>IF(Evalucion!CQ51=Datos!$C$15,Datos!$D$15,IF(Evalucion!CQ51=Datos!$C$16,Datos!$D$16,IF(Evalucion!CQ51=Datos!$C$17,Datos!$D$17,IF(Evalucion!CQ51=Datos!$C$18,Datos!$D$18,IF(Evalucion!CQ51=Datos!$C$19,Datos!$D$19,"=")))))</f>
        <v>1</v>
      </c>
      <c r="CQ53">
        <f>IF(Evalucion!CR51=Datos!$C$15,Datos!$D$15,IF(Evalucion!CR51=Datos!$C$16,Datos!$D$16,IF(Evalucion!CR51=Datos!$C$17,Datos!$D$17,IF(Evalucion!CR51=Datos!$C$18,Datos!$D$18,IF(Evalucion!CR51=Datos!$C$19,Datos!$D$19,"=")))))</f>
        <v>1</v>
      </c>
      <c r="CR53">
        <f>IF(Evalucion!CS51=Datos!$C$15,Datos!$D$15,IF(Evalucion!CS51=Datos!$C$16,Datos!$D$16,IF(Evalucion!CS51=Datos!$C$17,Datos!$D$17,IF(Evalucion!CS51=Datos!$C$18,Datos!$D$18,IF(Evalucion!CS51=Datos!$C$19,Datos!$D$19,"=")))))</f>
        <v>5</v>
      </c>
      <c r="CS53">
        <f>IF(Evalucion!CT51=Datos!$C$15,Datos!$D$15,IF(Evalucion!CT51=Datos!$C$16,Datos!$D$16,IF(Evalucion!CT51=Datos!$C$17,Datos!$D$17,IF(Evalucion!CT51=Datos!$C$18,Datos!$D$18,IF(Evalucion!CT51=Datos!$C$19,Datos!$D$19,"=")))))</f>
        <v>3</v>
      </c>
      <c r="CT53">
        <f>IF(Evalucion!CU51=Datos!$C$15,Datos!$D$15,IF(Evalucion!CU51=Datos!$C$16,Datos!$D$16,IF(Evalucion!CU51=Datos!$C$17,Datos!$D$17,IF(Evalucion!CU51=Datos!$C$18,Datos!$D$18,IF(Evalucion!CU51=Datos!$C$19,Datos!$D$19,"=")))))</f>
        <v>1</v>
      </c>
      <c r="CU53">
        <f>IF(Evalucion!CV51=Datos!$C$15,Datos!$D$15,IF(Evalucion!CV51=Datos!$C$16,Datos!$D$16,IF(Evalucion!CV51=Datos!$C$17,Datos!$D$17,IF(Evalucion!CV51=Datos!$C$18,Datos!$D$18,IF(Evalucion!CV51=Datos!$C$19,Datos!$D$19,"=")))))</f>
        <v>1</v>
      </c>
      <c r="CV53">
        <f>IF(Evalucion!CW51=Datos!$C$15,Datos!$D$15,IF(Evalucion!CW51=Datos!$C$16,Datos!$D$16,IF(Evalucion!CW51=Datos!$C$17,Datos!$D$17,IF(Evalucion!CW51=Datos!$C$18,Datos!$D$18,IF(Evalucion!CW51=Datos!$C$19,Datos!$D$19,"=")))))</f>
        <v>5</v>
      </c>
      <c r="CW53">
        <f>IF(Evalucion!CX51=Datos!$C$15,Datos!$D$15,IF(Evalucion!CX51=Datos!$C$16,Datos!$D$16,IF(Evalucion!CX51=Datos!$C$17,Datos!$D$17,IF(Evalucion!CX51=Datos!$C$18,Datos!$D$18,IF(Evalucion!CX51=Datos!$C$19,Datos!$D$19,"=")))))</f>
        <v>3</v>
      </c>
      <c r="CX53">
        <f>IF(Evalucion!CY51=Datos!$C$15,Datos!$D$15,IF(Evalucion!CY51=Datos!$C$16,Datos!$D$16,IF(Evalucion!CY51=Datos!$C$17,Datos!$D$17,IF(Evalucion!CY51=Datos!$C$18,Datos!$D$18,IF(Evalucion!CY51=Datos!$C$19,Datos!$D$19,"=")))))</f>
        <v>1</v>
      </c>
      <c r="CY53">
        <f>IF(Evalucion!CZ51=Datos!$C$15,Datos!$D$15,IF(Evalucion!CZ51=Datos!$C$16,Datos!$D$16,IF(Evalucion!CZ51=Datos!$C$17,Datos!$D$17,IF(Evalucion!CZ51=Datos!$C$18,Datos!$D$18,IF(Evalucion!CZ51=Datos!$C$19,Datos!$D$19,"=")))))</f>
        <v>1</v>
      </c>
      <c r="CZ53">
        <f>IF(Evalucion!DA51=Datos!$C$15,Datos!$D$15,IF(Evalucion!DA51=Datos!$C$16,Datos!$D$16,IF(Evalucion!DA51=Datos!$C$17,Datos!$D$17,IF(Evalucion!DA51=Datos!$C$18,Datos!$D$18,IF(Evalucion!DA51=Datos!$C$19,Datos!$D$19,"=")))))</f>
        <v>1</v>
      </c>
      <c r="DA53">
        <f>IF(Evalucion!DB51=Datos!$C$15,Datos!$D$15,IF(Evalucion!DB51=Datos!$C$16,Datos!$D$16,IF(Evalucion!DB51=Datos!$C$17,Datos!$D$17,IF(Evalucion!DB51=Datos!$C$18,Datos!$D$18,IF(Evalucion!DB51=Datos!$C$19,Datos!$D$19,"=")))))</f>
        <v>1</v>
      </c>
      <c r="DB53">
        <f>IF(Evalucion!DC51=Datos!$C$15,Datos!$D$15,IF(Evalucion!DC51=Datos!$C$16,Datos!$D$16,IF(Evalucion!DC51=Datos!$C$17,Datos!$D$17,IF(Evalucion!DC51=Datos!$C$18,Datos!$D$18,IF(Evalucion!DC51=Datos!$C$19,Datos!$D$19,"=")))))</f>
        <v>5</v>
      </c>
      <c r="DC53">
        <f>IF(Evalucion!DD51=Datos!$C$15,Datos!$D$15,IF(Evalucion!DD51=Datos!$C$16,Datos!$D$16,IF(Evalucion!DD51=Datos!$C$17,Datos!$D$17,IF(Evalucion!DD51=Datos!$C$18,Datos!$D$18,IF(Evalucion!DD51=Datos!$C$19,Datos!$D$19,"=")))))</f>
        <v>1</v>
      </c>
      <c r="DD53">
        <f>IF(Evalucion!DE51=Datos!$C$15,Datos!$D$15,IF(Evalucion!DE51=Datos!$C$16,Datos!$D$16,IF(Evalucion!DE51=Datos!$C$17,Datos!$D$17,IF(Evalucion!DE51=Datos!$C$18,Datos!$D$18,IF(Evalucion!DE51=Datos!$C$19,Datos!$D$19,"=")))))</f>
        <v>1</v>
      </c>
      <c r="DE53">
        <f>IF(Evalucion!DF51=Datos!$C$15,Datos!$D$15,IF(Evalucion!DF51=Datos!$C$16,Datos!$D$16,IF(Evalucion!DF51=Datos!$C$17,Datos!$D$17,IF(Evalucion!DF51=Datos!$C$18,Datos!$D$18,IF(Evalucion!DF51=Datos!$C$19,Datos!$D$19,"=")))))</f>
        <v>1</v>
      </c>
      <c r="DF53">
        <f>IF(Evalucion!DG51=Datos!$C$15,Datos!$D$15,IF(Evalucion!DG51=Datos!$C$16,Datos!$D$16,IF(Evalucion!DG51=Datos!$C$17,Datos!$D$17,IF(Evalucion!DG51=Datos!$C$18,Datos!$D$18,IF(Evalucion!DG51=Datos!$C$19,Datos!$D$19,"=")))))</f>
        <v>5</v>
      </c>
      <c r="DG53">
        <f>IF(Evalucion!DH51=Datos!$C$15,Datos!$D$15,IF(Evalucion!DH51=Datos!$C$16,Datos!$D$16,IF(Evalucion!DH51=Datos!$C$17,Datos!$D$17,IF(Evalucion!DH51=Datos!$C$18,Datos!$D$18,IF(Evalucion!DH51=Datos!$C$19,Datos!$D$19,"=")))))</f>
        <v>3</v>
      </c>
      <c r="DH53">
        <f>IF(Evalucion!DI51=Datos!$C$15,Datos!$D$15,IF(Evalucion!DI51=Datos!$C$16,Datos!$D$16,IF(Evalucion!DI51=Datos!$C$17,Datos!$D$17,IF(Evalucion!DI51=Datos!$C$18,Datos!$D$18,IF(Evalucion!DI51=Datos!$C$19,Datos!$D$19,"=")))))</f>
        <v>1</v>
      </c>
      <c r="DI53">
        <f>IF(Evalucion!DJ51=Datos!$C$15,Datos!$D$15,IF(Evalucion!DJ51=Datos!$C$16,Datos!$D$16,IF(Evalucion!DJ51=Datos!$C$17,Datos!$D$17,IF(Evalucion!DJ51=Datos!$C$18,Datos!$D$18,IF(Evalucion!DJ51=Datos!$C$19,Datos!$D$19,"=")))))</f>
        <v>1</v>
      </c>
      <c r="DJ53">
        <f>IF(Evalucion!DK51=Datos!$C$15,Datos!$D$15,IF(Evalucion!DK51=Datos!$C$16,Datos!$D$16,IF(Evalucion!DK51=Datos!$C$17,Datos!$D$17,IF(Evalucion!DK51=Datos!$C$18,Datos!$D$18,IF(Evalucion!DK51=Datos!$C$19,Datos!$D$19,"=")))))</f>
        <v>1</v>
      </c>
      <c r="DK53">
        <f>IF(Evalucion!DL51=Datos!$C$15,Datos!$D$15,IF(Evalucion!DL51=Datos!$C$16,Datos!$D$16,IF(Evalucion!DL51=Datos!$C$17,Datos!$D$17,IF(Evalucion!DL51=Datos!$C$18,Datos!$D$18,IF(Evalucion!DL51=Datos!$C$19,Datos!$D$19,"=")))))</f>
        <v>1</v>
      </c>
      <c r="DL53">
        <f>IF(Evalucion!DM51=Datos!$C$15,Datos!$D$15,IF(Evalucion!DM51=Datos!$C$16,Datos!$D$16,IF(Evalucion!DM51=Datos!$C$17,Datos!$D$17,IF(Evalucion!DM51=Datos!$C$18,Datos!$D$18,IF(Evalucion!DM51=Datos!$C$19,Datos!$D$19,"=")))))</f>
        <v>1</v>
      </c>
      <c r="DM53">
        <f>IF(Evalucion!DN51=Datos!$C$15,Datos!$D$15,IF(Evalucion!DN51=Datos!$C$16,Datos!$D$16,IF(Evalucion!DN51=Datos!$C$17,Datos!$D$17,IF(Evalucion!DN51=Datos!$C$18,Datos!$D$18,IF(Evalucion!DN51=Datos!$C$19,Datos!$D$19,"=")))))</f>
        <v>1</v>
      </c>
      <c r="DN53">
        <f>IF(Evalucion!DO51=Datos!$C$15,Datos!$D$15,IF(Evalucion!DO51=Datos!$C$16,Datos!$D$16,IF(Evalucion!DO51=Datos!$C$17,Datos!$D$17,IF(Evalucion!DO51=Datos!$C$18,Datos!$D$18,IF(Evalucion!DO51=Datos!$C$19,Datos!$D$19,"=")))))</f>
        <v>5</v>
      </c>
      <c r="DO53">
        <f>IF(Evalucion!DP51=Datos!$C$15,Datos!$D$15,IF(Evalucion!DP51=Datos!$C$16,Datos!$D$16,IF(Evalucion!DP51=Datos!$C$17,Datos!$D$17,IF(Evalucion!DP51=Datos!$C$18,Datos!$D$18,IF(Evalucion!DP51=Datos!$C$19,Datos!$D$19,"=")))))</f>
        <v>1</v>
      </c>
      <c r="DP53">
        <f>IF(Evalucion!DQ51=Datos!$C$15,Datos!$D$15,IF(Evalucion!DQ51=Datos!$C$16,Datos!$D$16,IF(Evalucion!DQ51=Datos!$C$17,Datos!$D$17,IF(Evalucion!DQ51=Datos!$C$18,Datos!$D$18,IF(Evalucion!DQ51=Datos!$C$19,Datos!$D$19,"=")))))</f>
        <v>5</v>
      </c>
      <c r="DQ53">
        <f>IF(Evalucion!DR51=Datos!$C$15,Datos!$D$15,IF(Evalucion!DR51=Datos!$C$16,Datos!$D$16,IF(Evalucion!DR51=Datos!$C$17,Datos!$D$17,IF(Evalucion!DR51=Datos!$C$18,Datos!$D$18,IF(Evalucion!DR51=Datos!$C$19,Datos!$D$19,"=")))))</f>
        <v>1</v>
      </c>
      <c r="DR53">
        <f>IF(Evalucion!DS51=Datos!$C$15,Datos!$D$15,IF(Evalucion!DS51=Datos!$C$16,Datos!$D$16,IF(Evalucion!DS51=Datos!$C$17,Datos!$D$17,IF(Evalucion!DS51=Datos!$C$18,Datos!$D$18,IF(Evalucion!DS51=Datos!$C$19,Datos!$D$19,"=")))))</f>
        <v>1</v>
      </c>
      <c r="DS53">
        <f>IF(Evalucion!DT51=Datos!$C$15,Datos!$D$15,IF(Evalucion!DT51=Datos!$C$16,Datos!$D$16,IF(Evalucion!DT51=Datos!$C$17,Datos!$D$17,IF(Evalucion!DT51=Datos!$C$18,Datos!$D$18,IF(Evalucion!DT51=Datos!$C$19,Datos!$D$19,"=")))))</f>
        <v>1</v>
      </c>
      <c r="DT53">
        <f>IF(Evalucion!DU51=Datos!$C$15,Datos!$D$15,IF(Evalucion!DU51=Datos!$C$16,Datos!$D$16,IF(Evalucion!DU51=Datos!$C$17,Datos!$D$17,IF(Evalucion!DU51=Datos!$C$18,Datos!$D$18,IF(Evalucion!DU51=Datos!$C$19,Datos!$D$19,"=")))))</f>
        <v>5</v>
      </c>
      <c r="DU53">
        <f>IF(Evalucion!DV51=Datos!$C$15,Datos!$D$15,IF(Evalucion!DV51=Datos!$C$16,Datos!$D$16,IF(Evalucion!DV51=Datos!$C$17,Datos!$D$17,IF(Evalucion!DV51=Datos!$C$18,Datos!$D$18,IF(Evalucion!DV51=Datos!$C$19,Datos!$D$19,"=")))))</f>
        <v>1</v>
      </c>
      <c r="DV53">
        <f>IF(Evalucion!DW51=Datos!$C$15,Datos!$D$15,IF(Evalucion!DW51=Datos!$C$16,Datos!$D$16,IF(Evalucion!DW51=Datos!$C$17,Datos!$D$17,IF(Evalucion!DW51=Datos!$C$18,Datos!$D$18,IF(Evalucion!DW51=Datos!$C$19,Datos!$D$19,"=")))))</f>
        <v>1</v>
      </c>
      <c r="DW53">
        <f>IF(Evalucion!DX51=Datos!$C$15,Datos!$D$15,IF(Evalucion!DX51=Datos!$C$16,Datos!$D$16,IF(Evalucion!DX51=Datos!$C$17,Datos!$D$17,IF(Evalucion!DX51=Datos!$C$18,Datos!$D$18,IF(Evalucion!DX51=Datos!$C$19,Datos!$D$19,"=")))))</f>
        <v>1</v>
      </c>
      <c r="DX53">
        <f>IF(Evalucion!DY51=Datos!$C$15,Datos!$D$15,IF(Evalucion!DY51=Datos!$C$16,Datos!$D$16,IF(Evalucion!DY51=Datos!$C$17,Datos!$D$17,IF(Evalucion!DY51=Datos!$C$18,Datos!$D$18,IF(Evalucion!DY51=Datos!$C$19,Datos!$D$19,"=")))))</f>
        <v>1</v>
      </c>
      <c r="DY53">
        <f>IF(Evalucion!DZ51=Datos!$C$15,Datos!$D$15,IF(Evalucion!DZ51=Datos!$C$16,Datos!$D$16,IF(Evalucion!DZ51=Datos!$C$17,Datos!$D$17,IF(Evalucion!DZ51=Datos!$C$18,Datos!$D$18,IF(Evalucion!DZ51=Datos!$C$19,Datos!$D$19,"=")))))</f>
        <v>1</v>
      </c>
      <c r="DZ53">
        <f>IF(Evalucion!EA51=Datos!$C$15,Datos!$D$15,IF(Evalucion!EA51=Datos!$C$16,Datos!$D$16,IF(Evalucion!EA51=Datos!$C$17,Datos!$D$17,IF(Evalucion!EA51=Datos!$C$18,Datos!$D$18,IF(Evalucion!EA51=Datos!$C$19,Datos!$D$19,"=")))))</f>
        <v>5</v>
      </c>
      <c r="EA53">
        <f>IF(Evalucion!EB51=Datos!$C$15,Datos!$D$15,IF(Evalucion!EB51=Datos!$C$16,Datos!$D$16,IF(Evalucion!EB51=Datos!$C$17,Datos!$D$17,IF(Evalucion!EB51=Datos!$C$18,Datos!$D$18,IF(Evalucion!EB51=Datos!$C$19,Datos!$D$19,"=")))))</f>
        <v>1</v>
      </c>
      <c r="EB53">
        <f>IF(Evalucion!EC51=Datos!$C$15,Datos!$D$15,IF(Evalucion!EC51=Datos!$C$16,Datos!$D$16,IF(Evalucion!EC51=Datos!$C$17,Datos!$D$17,IF(Evalucion!EC51=Datos!$C$18,Datos!$D$18,IF(Evalucion!EC51=Datos!$C$19,Datos!$D$19,"=")))))</f>
        <v>1</v>
      </c>
      <c r="EC53">
        <f>IF(Evalucion!ED51=Datos!$C$15,Datos!$D$15,IF(Evalucion!ED51=Datos!$C$16,Datos!$D$16,IF(Evalucion!ED51=Datos!$C$17,Datos!$D$17,IF(Evalucion!ED51=Datos!$C$18,Datos!$D$18,IF(Evalucion!ED51=Datos!$C$19,Datos!$D$19,"=")))))</f>
        <v>1</v>
      </c>
      <c r="ED53">
        <f>IF(Evalucion!EE51=Datos!$C$15,Datos!$D$15,IF(Evalucion!EE51=Datos!$C$16,Datos!$D$16,IF(Evalucion!EE51=Datos!$C$17,Datos!$D$17,IF(Evalucion!EE51=Datos!$C$18,Datos!$D$18,IF(Evalucion!EE51=Datos!$C$19,Datos!$D$19,"=")))))</f>
        <v>5</v>
      </c>
      <c r="EE53">
        <f>IF(Evalucion!EF51=Datos!$C$15,Datos!$D$15,IF(Evalucion!EF51=Datos!$C$16,Datos!$D$16,IF(Evalucion!EF51=Datos!$C$17,Datos!$D$17,IF(Evalucion!EF51=Datos!$C$18,Datos!$D$18,IF(Evalucion!EF51=Datos!$C$19,Datos!$D$19,"=")))))</f>
        <v>1</v>
      </c>
      <c r="EF53">
        <f>IF(Evalucion!EG51=Datos!$C$15,Datos!$D$15,IF(Evalucion!EG51=Datos!$C$16,Datos!$D$16,IF(Evalucion!EG51=Datos!$C$17,Datos!$D$17,IF(Evalucion!EG51=Datos!$C$18,Datos!$D$18,IF(Evalucion!EG51=Datos!$C$19,Datos!$D$19,"=")))))</f>
        <v>5</v>
      </c>
      <c r="EG53">
        <f>IF(Evalucion!EH51=Datos!$C$15,Datos!$D$15,IF(Evalucion!EH51=Datos!$C$16,Datos!$D$16,IF(Evalucion!EH51=Datos!$C$17,Datos!$D$17,IF(Evalucion!EH51=Datos!$C$18,Datos!$D$18,IF(Evalucion!EH51=Datos!$C$19,Datos!$D$19,"=")))))</f>
        <v>3</v>
      </c>
      <c r="EH53">
        <f>IF(Evalucion!EI51=Datos!$C$15,Datos!$D$15,IF(Evalucion!EI51=Datos!$C$16,Datos!$D$16,IF(Evalucion!EI51=Datos!$C$17,Datos!$D$17,IF(Evalucion!EI51=Datos!$C$18,Datos!$D$18,IF(Evalucion!EI51=Datos!$C$19,Datos!$D$19,"=")))))</f>
        <v>1</v>
      </c>
      <c r="EI53">
        <f>IF(Evalucion!EJ51=Datos!$C$15,Datos!$D$15,IF(Evalucion!EJ51=Datos!$C$16,Datos!$D$16,IF(Evalucion!EJ51=Datos!$C$17,Datos!$D$17,IF(Evalucion!EJ51=Datos!$C$18,Datos!$D$18,IF(Evalucion!EJ51=Datos!$C$19,Datos!$D$19,"=")))))</f>
        <v>1</v>
      </c>
      <c r="EJ53">
        <f>IF(Evalucion!EK51=Datos!$C$15,Datos!$D$15,IF(Evalucion!EK51=Datos!$C$16,Datos!$D$16,IF(Evalucion!EK51=Datos!$C$17,Datos!$D$17,IF(Evalucion!EK51=Datos!$C$18,Datos!$D$18,IF(Evalucion!EK51=Datos!$C$19,Datos!$D$19,"=")))))</f>
        <v>5</v>
      </c>
      <c r="EK53">
        <f>IF(Evalucion!EL51=Datos!$C$15,Datos!$D$15,IF(Evalucion!EL51=Datos!$C$16,Datos!$D$16,IF(Evalucion!EL51=Datos!$C$17,Datos!$D$17,IF(Evalucion!EL51=Datos!$C$18,Datos!$D$18,IF(Evalucion!EL51=Datos!$C$19,Datos!$D$19,"=")))))</f>
        <v>3</v>
      </c>
      <c r="EL53">
        <f>IF(Evalucion!EM51=Datos!$C$15,Datos!$D$15,IF(Evalucion!EM51=Datos!$C$16,Datos!$D$16,IF(Evalucion!EM51=Datos!$C$17,Datos!$D$17,IF(Evalucion!EM51=Datos!$C$18,Datos!$D$18,IF(Evalucion!EM51=Datos!$C$19,Datos!$D$19,"=")))))</f>
        <v>5</v>
      </c>
      <c r="EM53">
        <f>IF(Evalucion!EN51=Datos!$C$15,Datos!$D$15,IF(Evalucion!EN51=Datos!$C$16,Datos!$D$16,IF(Evalucion!EN51=Datos!$C$17,Datos!$D$17,IF(Evalucion!EN51=Datos!$C$18,Datos!$D$18,IF(Evalucion!EN51=Datos!$C$19,Datos!$D$19,"=")))))</f>
        <v>3</v>
      </c>
      <c r="EN53">
        <f>IF(Evalucion!EO51=Datos!$C$15,Datos!$D$15,IF(Evalucion!EO51=Datos!$C$16,Datos!$D$16,IF(Evalucion!EO51=Datos!$C$17,Datos!$D$17,IF(Evalucion!EO51=Datos!$C$18,Datos!$D$18,IF(Evalucion!EO51=Datos!$C$19,Datos!$D$19,"=")))))</f>
        <v>1</v>
      </c>
      <c r="EO53">
        <f>IF(Evalucion!EP51=Datos!$C$15,Datos!$D$15,IF(Evalucion!EP51=Datos!$C$16,Datos!$D$16,IF(Evalucion!EP51=Datos!$C$17,Datos!$D$17,IF(Evalucion!EP51=Datos!$C$18,Datos!$D$18,IF(Evalucion!EP51=Datos!$C$19,Datos!$D$19,"=")))))</f>
        <v>1</v>
      </c>
      <c r="EP53">
        <f>IF(Evalucion!EQ51=Datos!$C$15,Datos!$D$15,IF(Evalucion!EQ51=Datos!$C$16,Datos!$D$16,IF(Evalucion!EQ51=Datos!$C$17,Datos!$D$17,IF(Evalucion!EQ51=Datos!$C$18,Datos!$D$18,IF(Evalucion!EQ51=Datos!$C$19,Datos!$D$19,"=")))))</f>
        <v>1</v>
      </c>
      <c r="EQ53">
        <f>IF(Evalucion!ER51=Datos!$C$15,Datos!$D$15,IF(Evalucion!ER51=Datos!$C$16,Datos!$D$16,IF(Evalucion!ER51=Datos!$C$17,Datos!$D$17,IF(Evalucion!ER51=Datos!$C$18,Datos!$D$18,IF(Evalucion!ER51=Datos!$C$19,Datos!$D$19,"=")))))</f>
        <v>1</v>
      </c>
      <c r="ER53">
        <f>IF(Evalucion!ES51=Datos!$C$15,Datos!$D$15,IF(Evalucion!ES51=Datos!$C$16,Datos!$D$16,IF(Evalucion!ES51=Datos!$C$17,Datos!$D$17,IF(Evalucion!ES51=Datos!$C$18,Datos!$D$18,IF(Evalucion!ES51=Datos!$C$19,Datos!$D$19,"=")))))</f>
        <v>5</v>
      </c>
      <c r="ES53">
        <f>IF(Evalucion!ET51=Datos!$C$15,Datos!$D$15,IF(Evalucion!ET51=Datos!$C$16,Datos!$D$16,IF(Evalucion!ET51=Datos!$C$17,Datos!$D$17,IF(Evalucion!ET51=Datos!$C$18,Datos!$D$18,IF(Evalucion!ET51=Datos!$C$19,Datos!$D$19,"=")))))</f>
        <v>1</v>
      </c>
      <c r="ET53">
        <f>IF(Evalucion!EU51=Datos!$C$15,Datos!$D$15,IF(Evalucion!EU51=Datos!$C$16,Datos!$D$16,IF(Evalucion!EU51=Datos!$C$17,Datos!$D$17,IF(Evalucion!EU51=Datos!$C$18,Datos!$D$18,IF(Evalucion!EU51=Datos!$C$19,Datos!$D$19,"=")))))</f>
        <v>5</v>
      </c>
      <c r="EU53">
        <f>IF(Evalucion!EV51=Datos!$C$15,Datos!$D$15,IF(Evalucion!EV51=Datos!$C$16,Datos!$D$16,IF(Evalucion!EV51=Datos!$C$17,Datos!$D$17,IF(Evalucion!EV51=Datos!$C$18,Datos!$D$18,IF(Evalucion!EV51=Datos!$C$19,Datos!$D$19,"=")))))</f>
        <v>1</v>
      </c>
      <c r="EV53">
        <f>IF(Evalucion!EW51=Datos!$C$15,Datos!$D$15,IF(Evalucion!EW51=Datos!$C$16,Datos!$D$16,IF(Evalucion!EW51=Datos!$C$17,Datos!$D$17,IF(Evalucion!EW51=Datos!$C$18,Datos!$D$18,IF(Evalucion!EW51=Datos!$C$19,Datos!$D$19,"=")))))</f>
        <v>5</v>
      </c>
      <c r="EW53">
        <f>IF(Evalucion!EX51=Datos!$C$15,Datos!$D$15,IF(Evalucion!EX51=Datos!$C$16,Datos!$D$16,IF(Evalucion!EX51=Datos!$C$17,Datos!$D$17,IF(Evalucion!EX51=Datos!$C$18,Datos!$D$18,IF(Evalucion!EX51=Datos!$C$19,Datos!$D$19,"=")))))</f>
        <v>5</v>
      </c>
      <c r="EX53">
        <f>IF(Evalucion!EY51=Datos!$C$15,Datos!$D$15,IF(Evalucion!EY51=Datos!$C$16,Datos!$D$16,IF(Evalucion!EY51=Datos!$C$17,Datos!$D$17,IF(Evalucion!EY51=Datos!$C$18,Datos!$D$18,IF(Evalucion!EY51=Datos!$C$19,Datos!$D$19,"=")))))</f>
        <v>5</v>
      </c>
      <c r="EY53">
        <f>IF(Evalucion!EZ51=Datos!$C$15,Datos!$D$15,IF(Evalucion!EZ51=Datos!$C$16,Datos!$D$16,IF(Evalucion!EZ51=Datos!$C$17,Datos!$D$17,IF(Evalucion!EZ51=Datos!$C$18,Datos!$D$18,IF(Evalucion!EZ51=Datos!$C$19,Datos!$D$19,"=")))))</f>
        <v>3</v>
      </c>
      <c r="FA53">
        <f t="shared" si="8"/>
        <v>239</v>
      </c>
      <c r="FB53">
        <f t="shared" si="8"/>
        <v>151</v>
      </c>
      <c r="FC53" s="3">
        <f t="shared" si="4"/>
        <v>0.40266666666666667</v>
      </c>
      <c r="FD53" t="str">
        <f t="shared" si="9"/>
        <v>NO_Conf</v>
      </c>
      <c r="FF53">
        <f>SUM(E53:EY53)</f>
        <v>390</v>
      </c>
      <c r="FG53">
        <f>FF53-FB53-FA53</f>
        <v>0</v>
      </c>
    </row>
    <row r="54" spans="1:163" x14ac:dyDescent="0.2">
      <c r="E54">
        <f>SUM(E4:E53)</f>
        <v>250</v>
      </c>
      <c r="F54">
        <f t="shared" ref="F54:L54" si="10">SUM(F4:F53)</f>
        <v>222</v>
      </c>
      <c r="G54">
        <f t="shared" si="10"/>
        <v>210</v>
      </c>
      <c r="H54">
        <f t="shared" si="10"/>
        <v>124</v>
      </c>
      <c r="I54">
        <f t="shared" si="10"/>
        <v>142</v>
      </c>
      <c r="J54">
        <f t="shared" si="10"/>
        <v>122</v>
      </c>
      <c r="K54">
        <f t="shared" si="10"/>
        <v>210</v>
      </c>
      <c r="L54">
        <f t="shared" si="10"/>
        <v>232</v>
      </c>
      <c r="M54">
        <f t="shared" ref="M54" si="11">SUM(M4:M53)</f>
        <v>250</v>
      </c>
      <c r="N54">
        <f t="shared" ref="N54" si="12">SUM(N4:N53)</f>
        <v>230</v>
      </c>
      <c r="O54">
        <f t="shared" ref="O54" si="13">SUM(O4:O53)</f>
        <v>210</v>
      </c>
      <c r="P54">
        <f t="shared" ref="P54" si="14">SUM(P4:P53)</f>
        <v>170</v>
      </c>
      <c r="Q54">
        <f t="shared" ref="Q54" si="15">SUM(Q4:Q53)</f>
        <v>250</v>
      </c>
      <c r="R54">
        <f t="shared" ref="R54:S54" si="16">SUM(R4:R53)</f>
        <v>210</v>
      </c>
      <c r="S54">
        <f t="shared" si="16"/>
        <v>178</v>
      </c>
      <c r="T54">
        <f t="shared" ref="T54" si="17">SUM(T4:T53)</f>
        <v>178</v>
      </c>
      <c r="U54">
        <f t="shared" ref="U54" si="18">SUM(U4:U53)</f>
        <v>182</v>
      </c>
      <c r="V54">
        <f t="shared" ref="V54" si="19">SUM(V4:V53)</f>
        <v>182</v>
      </c>
      <c r="W54">
        <f t="shared" ref="W54" si="20">SUM(W4:W53)</f>
        <v>178</v>
      </c>
      <c r="X54">
        <f t="shared" ref="X54" si="21">SUM(X4:X53)</f>
        <v>178</v>
      </c>
      <c r="Y54">
        <f t="shared" ref="Y54:Z54" si="22">SUM(Y4:Y53)</f>
        <v>182</v>
      </c>
      <c r="Z54">
        <f t="shared" si="22"/>
        <v>182</v>
      </c>
      <c r="AA54">
        <f t="shared" ref="AA54" si="23">SUM(AA4:AA53)</f>
        <v>178</v>
      </c>
      <c r="AB54">
        <f t="shared" ref="AB54" si="24">SUM(AB4:AB53)</f>
        <v>178</v>
      </c>
      <c r="AC54">
        <f t="shared" ref="AC54" si="25">SUM(AC4:AC53)</f>
        <v>218</v>
      </c>
      <c r="AD54">
        <f t="shared" ref="AD54" si="26">SUM(AD4:AD53)</f>
        <v>164</v>
      </c>
      <c r="AE54">
        <f t="shared" ref="AE54" si="27">SUM(AE4:AE53)</f>
        <v>250</v>
      </c>
      <c r="AF54">
        <f t="shared" ref="AF54:AG54" si="28">SUM(AF4:AF53)</f>
        <v>210</v>
      </c>
      <c r="AG54">
        <f t="shared" si="28"/>
        <v>0</v>
      </c>
      <c r="AH54">
        <f t="shared" ref="AH54" si="29">SUM(AH4:AH53)</f>
        <v>0</v>
      </c>
      <c r="AI54">
        <f t="shared" ref="AI54" si="30">SUM(AI4:AI53)</f>
        <v>0</v>
      </c>
      <c r="AJ54">
        <f t="shared" ref="AJ54" si="31">SUM(AJ4:AJ53)</f>
        <v>0</v>
      </c>
      <c r="AK54">
        <f t="shared" ref="AK54" si="32">SUM(AK4:AK53)</f>
        <v>0</v>
      </c>
      <c r="AL54">
        <f t="shared" ref="AL54" si="33">SUM(AL4:AL53)</f>
        <v>0</v>
      </c>
      <c r="AM54">
        <f t="shared" ref="AM54:AN54" si="34">SUM(AM4:AM53)</f>
        <v>0</v>
      </c>
      <c r="AN54">
        <f t="shared" si="34"/>
        <v>0</v>
      </c>
      <c r="AO54">
        <f t="shared" ref="AO54" si="35">SUM(AO4:AO53)</f>
        <v>250</v>
      </c>
      <c r="AP54">
        <f t="shared" ref="AP54" si="36">SUM(AP4:AP53)</f>
        <v>176</v>
      </c>
      <c r="AQ54">
        <f t="shared" ref="AQ54" si="37">SUM(AQ4:AQ53)</f>
        <v>70</v>
      </c>
      <c r="AR54">
        <f t="shared" ref="AR54" si="38">SUM(AR4:AR53)</f>
        <v>84</v>
      </c>
      <c r="AS54">
        <f t="shared" ref="AS54" si="39">SUM(AS4:AS53)</f>
        <v>202</v>
      </c>
      <c r="AT54">
        <f t="shared" ref="AT54:AU54" si="40">SUM(AT4:AT53)</f>
        <v>210</v>
      </c>
      <c r="AU54">
        <f t="shared" si="40"/>
        <v>0</v>
      </c>
      <c r="AV54">
        <f t="shared" ref="AV54" si="41">SUM(AV4:AV53)</f>
        <v>162</v>
      </c>
      <c r="AW54">
        <f t="shared" ref="AW54" si="42">SUM(AW4:AW53)</f>
        <v>162</v>
      </c>
      <c r="AX54">
        <f t="shared" ref="AX54" si="43">SUM(AX4:AX53)</f>
        <v>250</v>
      </c>
      <c r="AY54">
        <f t="shared" ref="AY54" si="44">SUM(AY4:AY53)</f>
        <v>230</v>
      </c>
      <c r="AZ54">
        <f t="shared" ref="AZ54" si="45">SUM(AZ4:AZ53)</f>
        <v>250</v>
      </c>
      <c r="BA54">
        <f t="shared" ref="BA54:BB54" si="46">SUM(BA4:BA53)</f>
        <v>250</v>
      </c>
      <c r="BB54">
        <f t="shared" si="46"/>
        <v>190</v>
      </c>
      <c r="BC54">
        <f t="shared" ref="BC54" si="47">SUM(BC4:BC53)</f>
        <v>104</v>
      </c>
      <c r="BD54">
        <f t="shared" ref="BD54" si="48">SUM(BD4:BD53)</f>
        <v>190</v>
      </c>
      <c r="BE54">
        <f t="shared" ref="BE54" si="49">SUM(BE4:BE53)</f>
        <v>114</v>
      </c>
      <c r="BF54">
        <f t="shared" ref="BF54" si="50">SUM(BF4:BF53)</f>
        <v>250</v>
      </c>
      <c r="BG54">
        <f t="shared" ref="BG54" si="51">SUM(BG4:BG53)</f>
        <v>250</v>
      </c>
      <c r="BH54">
        <f t="shared" ref="BH54:BI54" si="52">SUM(BH4:BH53)</f>
        <v>210</v>
      </c>
      <c r="BI54">
        <f t="shared" si="52"/>
        <v>192</v>
      </c>
      <c r="BJ54">
        <f t="shared" ref="BJ54" si="53">SUM(BJ4:BJ53)</f>
        <v>186</v>
      </c>
      <c r="BK54">
        <f t="shared" ref="BK54" si="54">SUM(BK4:BK53)</f>
        <v>168</v>
      </c>
      <c r="BL54">
        <f t="shared" ref="BL54" si="55">SUM(BL4:BL53)</f>
        <v>170</v>
      </c>
      <c r="BM54">
        <f t="shared" ref="BM54" si="56">SUM(BM4:BM53)</f>
        <v>166</v>
      </c>
      <c r="BN54">
        <f t="shared" ref="BN54" si="57">SUM(BN4:BN53)</f>
        <v>250</v>
      </c>
      <c r="BO54">
        <f t="shared" ref="BO54:BP54" si="58">SUM(BO4:BO53)</f>
        <v>230</v>
      </c>
      <c r="BP54">
        <f t="shared" si="58"/>
        <v>170</v>
      </c>
      <c r="BQ54">
        <f t="shared" ref="BQ54" si="59">SUM(BQ4:BQ53)</f>
        <v>140</v>
      </c>
      <c r="BR54">
        <f t="shared" ref="BR54" si="60">SUM(BR4:BR53)</f>
        <v>162</v>
      </c>
      <c r="BS54">
        <f t="shared" ref="BS54" si="61">SUM(BS4:BS53)</f>
        <v>122</v>
      </c>
      <c r="BT54">
        <f t="shared" ref="BT54" si="62">SUM(BT4:BT53)</f>
        <v>190</v>
      </c>
      <c r="BU54">
        <f t="shared" ref="BU54" si="63">SUM(BU4:BU53)</f>
        <v>148</v>
      </c>
      <c r="BV54">
        <f t="shared" ref="BV54:BW54" si="64">SUM(BV4:BV53)</f>
        <v>250</v>
      </c>
      <c r="BW54">
        <f t="shared" si="64"/>
        <v>240</v>
      </c>
      <c r="BX54">
        <f t="shared" ref="BX54" si="65">SUM(BX4:BX53)</f>
        <v>190</v>
      </c>
      <c r="BY54">
        <f t="shared" ref="BY54" si="66">SUM(BY4:BY53)</f>
        <v>190</v>
      </c>
      <c r="BZ54">
        <f t="shared" ref="BZ54" si="67">SUM(BZ4:BZ53)</f>
        <v>170</v>
      </c>
      <c r="CA54">
        <f t="shared" ref="CA54" si="68">SUM(CA4:CA53)</f>
        <v>176</v>
      </c>
      <c r="CB54">
        <f t="shared" ref="CB54" si="69">SUM(CB4:CB53)</f>
        <v>250</v>
      </c>
      <c r="CC54">
        <f t="shared" ref="CC54:CD54" si="70">SUM(CC4:CC53)</f>
        <v>240</v>
      </c>
      <c r="CD54">
        <f t="shared" si="70"/>
        <v>250</v>
      </c>
      <c r="CE54">
        <f t="shared" ref="CE54" si="71">SUM(CE4:CE53)</f>
        <v>146</v>
      </c>
      <c r="CF54">
        <f t="shared" ref="CF54" si="72">SUM(CF4:CF53)</f>
        <v>170</v>
      </c>
      <c r="CG54">
        <f t="shared" ref="CG54" si="73">SUM(CG4:CG53)</f>
        <v>104</v>
      </c>
      <c r="CH54">
        <f t="shared" ref="CH54" si="74">SUM(CH4:CH53)</f>
        <v>206</v>
      </c>
      <c r="CI54">
        <f t="shared" ref="CI54" si="75">SUM(CI4:CI53)</f>
        <v>150</v>
      </c>
      <c r="CJ54">
        <f t="shared" ref="CJ54:CK54" si="76">SUM(CJ4:CJ53)</f>
        <v>250</v>
      </c>
      <c r="CK54">
        <f t="shared" si="76"/>
        <v>230</v>
      </c>
      <c r="CL54">
        <f t="shared" ref="CL54" si="77">SUM(CL4:CL53)</f>
        <v>250</v>
      </c>
      <c r="CM54">
        <f t="shared" ref="CM54" si="78">SUM(CM4:CM53)</f>
        <v>204</v>
      </c>
      <c r="CN54">
        <f t="shared" ref="CN54" si="79">SUM(CN4:CN53)</f>
        <v>250</v>
      </c>
      <c r="CO54">
        <f t="shared" ref="CO54" si="80">SUM(CO4:CO53)</f>
        <v>250</v>
      </c>
      <c r="CP54">
        <f t="shared" ref="CP54" si="81">SUM(CP4:CP53)</f>
        <v>174</v>
      </c>
      <c r="CQ54">
        <f t="shared" ref="CQ54:CR54" si="82">SUM(CQ4:CQ53)</f>
        <v>114</v>
      </c>
      <c r="CR54">
        <f t="shared" si="82"/>
        <v>206</v>
      </c>
      <c r="CS54">
        <f t="shared" ref="CS54" si="83">SUM(CS4:CS53)</f>
        <v>146</v>
      </c>
      <c r="CT54">
        <f t="shared" ref="CT54" si="84">SUM(CT4:CT53)</f>
        <v>170</v>
      </c>
      <c r="CU54">
        <f t="shared" ref="CU54" si="85">SUM(CU4:CU53)</f>
        <v>122</v>
      </c>
      <c r="CV54">
        <f t="shared" ref="CV54" si="86">SUM(CV4:CV53)</f>
        <v>242</v>
      </c>
      <c r="CW54">
        <f t="shared" ref="CW54" si="87">SUM(CW4:CW53)</f>
        <v>166</v>
      </c>
      <c r="CX54">
        <f t="shared" ref="CX54:CY54" si="88">SUM(CX4:CX53)</f>
        <v>230</v>
      </c>
      <c r="CY54">
        <f t="shared" si="88"/>
        <v>166</v>
      </c>
      <c r="CZ54">
        <f t="shared" ref="CZ54" si="89">SUM(CZ4:CZ53)</f>
        <v>218</v>
      </c>
      <c r="DA54">
        <f t="shared" ref="DA54" si="90">SUM(DA4:DA53)</f>
        <v>140</v>
      </c>
      <c r="DB54">
        <f t="shared" ref="DB54" si="91">SUM(DB4:DB53)</f>
        <v>250</v>
      </c>
      <c r="DC54">
        <f t="shared" ref="DC54" si="92">SUM(DC4:DC53)</f>
        <v>230</v>
      </c>
      <c r="DD54">
        <f t="shared" ref="DD54" si="93">SUM(DD4:DD53)</f>
        <v>106</v>
      </c>
      <c r="DE54">
        <f t="shared" ref="DE54:DF54" si="94">SUM(DE4:DE53)</f>
        <v>84</v>
      </c>
      <c r="DF54">
        <f t="shared" si="94"/>
        <v>246</v>
      </c>
      <c r="DG54">
        <f t="shared" ref="DG54" si="95">SUM(DG4:DG53)</f>
        <v>210</v>
      </c>
      <c r="DH54">
        <f t="shared" ref="DH54" si="96">SUM(DH4:DH53)</f>
        <v>110</v>
      </c>
      <c r="DI54">
        <f t="shared" ref="DI54" si="97">SUM(DI4:DI53)</f>
        <v>102</v>
      </c>
      <c r="DJ54">
        <f t="shared" ref="DJ54" si="98">SUM(DJ4:DJ53)</f>
        <v>106</v>
      </c>
      <c r="DK54">
        <f t="shared" ref="DK54" si="99">SUM(DK4:DK53)</f>
        <v>106</v>
      </c>
      <c r="DL54">
        <f t="shared" ref="DL54:DM54" si="100">SUM(DL4:DL53)</f>
        <v>154</v>
      </c>
      <c r="DM54">
        <f t="shared" si="100"/>
        <v>126</v>
      </c>
      <c r="DN54">
        <f t="shared" ref="DN54" si="101">SUM(DN4:DN53)</f>
        <v>250</v>
      </c>
      <c r="DO54">
        <f t="shared" ref="DO54" si="102">SUM(DO4:DO53)</f>
        <v>166</v>
      </c>
      <c r="DP54">
        <f t="shared" ref="DP54" si="103">SUM(DP4:DP53)</f>
        <v>218</v>
      </c>
      <c r="DQ54">
        <f t="shared" ref="DQ54" si="104">SUM(DQ4:DQ53)</f>
        <v>142</v>
      </c>
      <c r="DR54">
        <f t="shared" ref="DR54" si="105">SUM(DR4:DR53)</f>
        <v>158</v>
      </c>
      <c r="DS54">
        <f t="shared" ref="DS54:DT54" si="106">SUM(DS4:DS53)</f>
        <v>116</v>
      </c>
      <c r="DT54">
        <f t="shared" si="106"/>
        <v>218</v>
      </c>
      <c r="DU54">
        <f t="shared" ref="DU54" si="107">SUM(DU4:DU53)</f>
        <v>158</v>
      </c>
      <c r="DV54">
        <f t="shared" ref="DV54" si="108">SUM(DV4:DV53)</f>
        <v>158</v>
      </c>
      <c r="DW54">
        <f t="shared" ref="DW54" si="109">SUM(DW4:DW53)</f>
        <v>136</v>
      </c>
      <c r="DX54">
        <f t="shared" ref="DX54" si="110">SUM(DX4:DX53)</f>
        <v>158</v>
      </c>
      <c r="DY54">
        <f t="shared" ref="DY54" si="111">SUM(DY4:DY53)</f>
        <v>116</v>
      </c>
      <c r="DZ54">
        <f t="shared" ref="DZ54:EA54" si="112">SUM(DZ4:DZ53)</f>
        <v>250</v>
      </c>
      <c r="EA54">
        <f t="shared" si="112"/>
        <v>210</v>
      </c>
      <c r="EB54">
        <f t="shared" ref="EB54" si="113">SUM(EB4:EB53)</f>
        <v>210</v>
      </c>
      <c r="EC54">
        <f t="shared" ref="EC54" si="114">SUM(EC4:EC53)</f>
        <v>150</v>
      </c>
      <c r="ED54">
        <f t="shared" ref="ED54" si="115">SUM(ED4:ED53)</f>
        <v>250</v>
      </c>
      <c r="EE54">
        <f t="shared" ref="EE54" si="116">SUM(EE4:EE53)</f>
        <v>170</v>
      </c>
      <c r="EF54">
        <f t="shared" ref="EF54" si="117">SUM(EF4:EF53)</f>
        <v>226</v>
      </c>
      <c r="EG54">
        <f t="shared" ref="EG54:EH54" si="118">SUM(EG4:EG53)</f>
        <v>200</v>
      </c>
      <c r="EH54">
        <f t="shared" si="118"/>
        <v>166</v>
      </c>
      <c r="EI54">
        <f t="shared" ref="EI54" si="119">SUM(EI4:EI53)</f>
        <v>150</v>
      </c>
      <c r="EJ54">
        <f t="shared" ref="EJ54" si="120">SUM(EJ4:EJ53)</f>
        <v>186</v>
      </c>
      <c r="EK54">
        <f t="shared" ref="EK54" si="121">SUM(EK4:EK53)</f>
        <v>158</v>
      </c>
      <c r="EL54">
        <f t="shared" ref="EL54" si="122">SUM(EL4:EL53)</f>
        <v>226</v>
      </c>
      <c r="EM54">
        <f t="shared" ref="EM54" si="123">SUM(EM4:EM53)</f>
        <v>198</v>
      </c>
      <c r="EN54">
        <f t="shared" ref="EN54:EO54" si="124">SUM(EN4:EN53)</f>
        <v>146</v>
      </c>
      <c r="EO54">
        <f t="shared" si="124"/>
        <v>152</v>
      </c>
      <c r="EP54">
        <f t="shared" ref="EP54" si="125">SUM(EP4:EP53)</f>
        <v>146</v>
      </c>
      <c r="EQ54">
        <f t="shared" ref="EQ54" si="126">SUM(EQ4:EQ53)</f>
        <v>146</v>
      </c>
      <c r="ER54">
        <f t="shared" ref="ER54" si="127">SUM(ER4:ER53)</f>
        <v>250</v>
      </c>
      <c r="ES54">
        <f t="shared" ref="ES54" si="128">SUM(ES4:ES53)</f>
        <v>210</v>
      </c>
      <c r="ET54">
        <f t="shared" ref="ET54" si="129">SUM(ET4:ET53)</f>
        <v>246</v>
      </c>
      <c r="EU54">
        <f t="shared" ref="EU54:EV54" si="130">SUM(EU4:EU53)</f>
        <v>88</v>
      </c>
      <c r="EV54">
        <f t="shared" si="130"/>
        <v>250</v>
      </c>
      <c r="EW54">
        <f t="shared" ref="EW54" si="131">SUM(EW4:EW53)</f>
        <v>250</v>
      </c>
      <c r="EX54">
        <f t="shared" ref="EX54" si="132">SUM(EX4:EX53)</f>
        <v>250</v>
      </c>
      <c r="EY54">
        <f t="shared" ref="EY54" si="133">SUM(EY4:EY53)</f>
        <v>140</v>
      </c>
    </row>
    <row r="55" spans="1:163" x14ac:dyDescent="0.2">
      <c r="E55">
        <f>$A$53*5</f>
        <v>250</v>
      </c>
      <c r="F55">
        <f t="shared" ref="F55:BQ55" si="134">$A$53*5</f>
        <v>250</v>
      </c>
      <c r="G55">
        <f t="shared" si="134"/>
        <v>250</v>
      </c>
      <c r="H55">
        <f t="shared" si="134"/>
        <v>250</v>
      </c>
      <c r="I55">
        <f t="shared" si="134"/>
        <v>250</v>
      </c>
      <c r="J55">
        <f t="shared" si="134"/>
        <v>250</v>
      </c>
      <c r="K55">
        <f t="shared" si="134"/>
        <v>250</v>
      </c>
      <c r="L55">
        <f t="shared" si="134"/>
        <v>250</v>
      </c>
      <c r="M55">
        <f t="shared" si="134"/>
        <v>250</v>
      </c>
      <c r="N55">
        <f t="shared" si="134"/>
        <v>250</v>
      </c>
      <c r="O55">
        <f t="shared" si="134"/>
        <v>250</v>
      </c>
      <c r="P55">
        <f t="shared" si="134"/>
        <v>250</v>
      </c>
      <c r="Q55">
        <f t="shared" si="134"/>
        <v>250</v>
      </c>
      <c r="R55">
        <f t="shared" si="134"/>
        <v>250</v>
      </c>
      <c r="S55">
        <f t="shared" si="134"/>
        <v>250</v>
      </c>
      <c r="T55">
        <f t="shared" si="134"/>
        <v>250</v>
      </c>
      <c r="U55">
        <f t="shared" si="134"/>
        <v>250</v>
      </c>
      <c r="V55">
        <f t="shared" si="134"/>
        <v>250</v>
      </c>
      <c r="W55">
        <f t="shared" si="134"/>
        <v>250</v>
      </c>
      <c r="X55">
        <f t="shared" si="134"/>
        <v>250</v>
      </c>
      <c r="Y55">
        <f t="shared" si="134"/>
        <v>250</v>
      </c>
      <c r="Z55">
        <f t="shared" si="134"/>
        <v>250</v>
      </c>
      <c r="AA55">
        <f t="shared" si="134"/>
        <v>250</v>
      </c>
      <c r="AB55">
        <f t="shared" si="134"/>
        <v>250</v>
      </c>
      <c r="AC55">
        <f t="shared" si="134"/>
        <v>250</v>
      </c>
      <c r="AD55">
        <f t="shared" si="134"/>
        <v>250</v>
      </c>
      <c r="AE55">
        <f t="shared" si="134"/>
        <v>250</v>
      </c>
      <c r="AF55">
        <f t="shared" si="134"/>
        <v>250</v>
      </c>
      <c r="AG55">
        <f t="shared" si="134"/>
        <v>250</v>
      </c>
      <c r="AH55">
        <f t="shared" si="134"/>
        <v>250</v>
      </c>
      <c r="AI55">
        <f t="shared" si="134"/>
        <v>250</v>
      </c>
      <c r="AJ55">
        <f t="shared" si="134"/>
        <v>250</v>
      </c>
      <c r="AK55">
        <f t="shared" si="134"/>
        <v>250</v>
      </c>
      <c r="AL55">
        <f t="shared" si="134"/>
        <v>250</v>
      </c>
      <c r="AM55">
        <f t="shared" si="134"/>
        <v>250</v>
      </c>
      <c r="AN55">
        <f t="shared" si="134"/>
        <v>250</v>
      </c>
      <c r="AO55">
        <f t="shared" si="134"/>
        <v>250</v>
      </c>
      <c r="AP55">
        <f t="shared" si="134"/>
        <v>250</v>
      </c>
      <c r="AQ55">
        <f t="shared" si="134"/>
        <v>250</v>
      </c>
      <c r="AR55">
        <f t="shared" si="134"/>
        <v>250</v>
      </c>
      <c r="AS55">
        <f t="shared" si="134"/>
        <v>250</v>
      </c>
      <c r="AT55">
        <f t="shared" si="134"/>
        <v>250</v>
      </c>
      <c r="AU55">
        <f t="shared" si="134"/>
        <v>250</v>
      </c>
      <c r="AV55">
        <f t="shared" si="134"/>
        <v>250</v>
      </c>
      <c r="AW55">
        <f t="shared" si="134"/>
        <v>250</v>
      </c>
      <c r="AX55">
        <f t="shared" si="134"/>
        <v>250</v>
      </c>
      <c r="AY55">
        <f t="shared" si="134"/>
        <v>250</v>
      </c>
      <c r="AZ55">
        <f t="shared" si="134"/>
        <v>250</v>
      </c>
      <c r="BA55">
        <f t="shared" si="134"/>
        <v>250</v>
      </c>
      <c r="BB55">
        <f t="shared" si="134"/>
        <v>250</v>
      </c>
      <c r="BC55">
        <f t="shared" si="134"/>
        <v>250</v>
      </c>
      <c r="BD55">
        <f t="shared" si="134"/>
        <v>250</v>
      </c>
      <c r="BE55">
        <f t="shared" si="134"/>
        <v>250</v>
      </c>
      <c r="BF55">
        <f t="shared" si="134"/>
        <v>250</v>
      </c>
      <c r="BG55">
        <f t="shared" si="134"/>
        <v>250</v>
      </c>
      <c r="BH55">
        <f t="shared" si="134"/>
        <v>250</v>
      </c>
      <c r="BI55">
        <f t="shared" si="134"/>
        <v>250</v>
      </c>
      <c r="BJ55">
        <f t="shared" si="134"/>
        <v>250</v>
      </c>
      <c r="BK55">
        <f t="shared" si="134"/>
        <v>250</v>
      </c>
      <c r="BL55">
        <f t="shared" si="134"/>
        <v>250</v>
      </c>
      <c r="BM55">
        <f t="shared" si="134"/>
        <v>250</v>
      </c>
      <c r="BN55">
        <f t="shared" si="134"/>
        <v>250</v>
      </c>
      <c r="BO55">
        <f t="shared" si="134"/>
        <v>250</v>
      </c>
      <c r="BP55">
        <f t="shared" si="134"/>
        <v>250</v>
      </c>
      <c r="BQ55">
        <f t="shared" si="134"/>
        <v>250</v>
      </c>
      <c r="BR55">
        <f t="shared" ref="BR55:EC55" si="135">$A$53*5</f>
        <v>250</v>
      </c>
      <c r="BS55">
        <f t="shared" si="135"/>
        <v>250</v>
      </c>
      <c r="BT55">
        <f t="shared" si="135"/>
        <v>250</v>
      </c>
      <c r="BU55">
        <f t="shared" si="135"/>
        <v>250</v>
      </c>
      <c r="BV55">
        <f t="shared" si="135"/>
        <v>250</v>
      </c>
      <c r="BW55">
        <f t="shared" si="135"/>
        <v>250</v>
      </c>
      <c r="BX55">
        <f t="shared" si="135"/>
        <v>250</v>
      </c>
      <c r="BY55">
        <f t="shared" si="135"/>
        <v>250</v>
      </c>
      <c r="BZ55">
        <f t="shared" si="135"/>
        <v>250</v>
      </c>
      <c r="CA55">
        <f t="shared" si="135"/>
        <v>250</v>
      </c>
      <c r="CB55">
        <f t="shared" si="135"/>
        <v>250</v>
      </c>
      <c r="CC55">
        <f t="shared" si="135"/>
        <v>250</v>
      </c>
      <c r="CD55">
        <f t="shared" si="135"/>
        <v>250</v>
      </c>
      <c r="CE55">
        <f t="shared" si="135"/>
        <v>250</v>
      </c>
      <c r="CF55">
        <f t="shared" si="135"/>
        <v>250</v>
      </c>
      <c r="CG55">
        <f t="shared" si="135"/>
        <v>250</v>
      </c>
      <c r="CH55">
        <f t="shared" si="135"/>
        <v>250</v>
      </c>
      <c r="CI55">
        <f t="shared" si="135"/>
        <v>250</v>
      </c>
      <c r="CJ55">
        <f t="shared" si="135"/>
        <v>250</v>
      </c>
      <c r="CK55">
        <f t="shared" si="135"/>
        <v>250</v>
      </c>
      <c r="CL55">
        <f t="shared" si="135"/>
        <v>250</v>
      </c>
      <c r="CM55">
        <f t="shared" si="135"/>
        <v>250</v>
      </c>
      <c r="CN55">
        <f t="shared" si="135"/>
        <v>250</v>
      </c>
      <c r="CO55">
        <f t="shared" si="135"/>
        <v>250</v>
      </c>
      <c r="CP55">
        <f t="shared" si="135"/>
        <v>250</v>
      </c>
      <c r="CQ55">
        <f t="shared" si="135"/>
        <v>250</v>
      </c>
      <c r="CR55">
        <f t="shared" si="135"/>
        <v>250</v>
      </c>
      <c r="CS55">
        <f t="shared" si="135"/>
        <v>250</v>
      </c>
      <c r="CT55">
        <f t="shared" si="135"/>
        <v>250</v>
      </c>
      <c r="CU55">
        <f t="shared" si="135"/>
        <v>250</v>
      </c>
      <c r="CV55">
        <f t="shared" si="135"/>
        <v>250</v>
      </c>
      <c r="CW55">
        <f t="shared" si="135"/>
        <v>250</v>
      </c>
      <c r="CX55">
        <f t="shared" si="135"/>
        <v>250</v>
      </c>
      <c r="CY55">
        <f t="shared" si="135"/>
        <v>250</v>
      </c>
      <c r="CZ55">
        <f t="shared" si="135"/>
        <v>250</v>
      </c>
      <c r="DA55">
        <f t="shared" si="135"/>
        <v>250</v>
      </c>
      <c r="DB55">
        <f t="shared" si="135"/>
        <v>250</v>
      </c>
      <c r="DC55">
        <f t="shared" si="135"/>
        <v>250</v>
      </c>
      <c r="DD55">
        <f t="shared" si="135"/>
        <v>250</v>
      </c>
      <c r="DE55">
        <f t="shared" si="135"/>
        <v>250</v>
      </c>
      <c r="DF55">
        <f t="shared" si="135"/>
        <v>250</v>
      </c>
      <c r="DG55">
        <f t="shared" si="135"/>
        <v>250</v>
      </c>
      <c r="DH55">
        <f t="shared" si="135"/>
        <v>250</v>
      </c>
      <c r="DI55">
        <f t="shared" si="135"/>
        <v>250</v>
      </c>
      <c r="DJ55">
        <f t="shared" si="135"/>
        <v>250</v>
      </c>
      <c r="DK55">
        <f t="shared" si="135"/>
        <v>250</v>
      </c>
      <c r="DL55">
        <f t="shared" si="135"/>
        <v>250</v>
      </c>
      <c r="DM55">
        <f t="shared" si="135"/>
        <v>250</v>
      </c>
      <c r="DN55">
        <f t="shared" si="135"/>
        <v>250</v>
      </c>
      <c r="DO55">
        <f t="shared" si="135"/>
        <v>250</v>
      </c>
      <c r="DP55">
        <f t="shared" si="135"/>
        <v>250</v>
      </c>
      <c r="DQ55">
        <f t="shared" si="135"/>
        <v>250</v>
      </c>
      <c r="DR55">
        <f t="shared" si="135"/>
        <v>250</v>
      </c>
      <c r="DS55">
        <f t="shared" si="135"/>
        <v>250</v>
      </c>
      <c r="DT55">
        <f t="shared" si="135"/>
        <v>250</v>
      </c>
      <c r="DU55">
        <f t="shared" si="135"/>
        <v>250</v>
      </c>
      <c r="DV55">
        <f t="shared" si="135"/>
        <v>250</v>
      </c>
      <c r="DW55">
        <f t="shared" si="135"/>
        <v>250</v>
      </c>
      <c r="DX55">
        <f t="shared" si="135"/>
        <v>250</v>
      </c>
      <c r="DY55">
        <f t="shared" si="135"/>
        <v>250</v>
      </c>
      <c r="DZ55">
        <f t="shared" si="135"/>
        <v>250</v>
      </c>
      <c r="EA55">
        <f t="shared" si="135"/>
        <v>250</v>
      </c>
      <c r="EB55">
        <f t="shared" si="135"/>
        <v>250</v>
      </c>
      <c r="EC55">
        <f t="shared" si="135"/>
        <v>250</v>
      </c>
      <c r="ED55">
        <f t="shared" ref="ED55:EY55" si="136">$A$53*5</f>
        <v>250</v>
      </c>
      <c r="EE55">
        <f t="shared" si="136"/>
        <v>250</v>
      </c>
      <c r="EF55">
        <f t="shared" si="136"/>
        <v>250</v>
      </c>
      <c r="EG55">
        <f t="shared" si="136"/>
        <v>250</v>
      </c>
      <c r="EH55">
        <f t="shared" si="136"/>
        <v>250</v>
      </c>
      <c r="EI55">
        <f t="shared" si="136"/>
        <v>250</v>
      </c>
      <c r="EJ55">
        <f t="shared" si="136"/>
        <v>250</v>
      </c>
      <c r="EK55">
        <f t="shared" si="136"/>
        <v>250</v>
      </c>
      <c r="EL55">
        <f t="shared" si="136"/>
        <v>250</v>
      </c>
      <c r="EM55">
        <f t="shared" si="136"/>
        <v>250</v>
      </c>
      <c r="EN55">
        <f t="shared" si="136"/>
        <v>250</v>
      </c>
      <c r="EO55">
        <f t="shared" si="136"/>
        <v>250</v>
      </c>
      <c r="EP55">
        <f t="shared" si="136"/>
        <v>250</v>
      </c>
      <c r="EQ55">
        <f t="shared" si="136"/>
        <v>250</v>
      </c>
      <c r="ER55">
        <f t="shared" si="136"/>
        <v>250</v>
      </c>
      <c r="ES55">
        <f t="shared" si="136"/>
        <v>250</v>
      </c>
      <c r="ET55">
        <f t="shared" si="136"/>
        <v>250</v>
      </c>
      <c r="EU55">
        <f t="shared" si="136"/>
        <v>250</v>
      </c>
      <c r="EV55">
        <f t="shared" si="136"/>
        <v>250</v>
      </c>
      <c r="EW55">
        <f t="shared" si="136"/>
        <v>250</v>
      </c>
      <c r="EX55">
        <f t="shared" si="136"/>
        <v>250</v>
      </c>
      <c r="EY55">
        <f t="shared" si="136"/>
        <v>250</v>
      </c>
    </row>
    <row r="56" spans="1:163" x14ac:dyDescent="0.2">
      <c r="E56" s="8">
        <f>E54/E55</f>
        <v>1</v>
      </c>
      <c r="F56" s="8">
        <f t="shared" ref="F56:BQ56" si="137">F54/F55</f>
        <v>0.88800000000000001</v>
      </c>
      <c r="G56" s="8">
        <f t="shared" si="137"/>
        <v>0.84</v>
      </c>
      <c r="H56" s="8">
        <f t="shared" si="137"/>
        <v>0.496</v>
      </c>
      <c r="I56" s="8">
        <f t="shared" si="137"/>
        <v>0.56799999999999995</v>
      </c>
      <c r="J56" s="8">
        <f t="shared" si="137"/>
        <v>0.48799999999999999</v>
      </c>
      <c r="K56" s="8">
        <f t="shared" si="137"/>
        <v>0.84</v>
      </c>
      <c r="L56" s="8">
        <f t="shared" si="137"/>
        <v>0.92800000000000005</v>
      </c>
      <c r="M56" s="8">
        <f t="shared" si="137"/>
        <v>1</v>
      </c>
      <c r="N56" s="8">
        <f t="shared" si="137"/>
        <v>0.92</v>
      </c>
      <c r="O56" s="8">
        <f t="shared" si="137"/>
        <v>0.84</v>
      </c>
      <c r="P56" s="8">
        <f t="shared" si="137"/>
        <v>0.68</v>
      </c>
      <c r="Q56" s="8">
        <f t="shared" si="137"/>
        <v>1</v>
      </c>
      <c r="R56" s="8">
        <f t="shared" si="137"/>
        <v>0.84</v>
      </c>
      <c r="S56" s="8">
        <f t="shared" si="137"/>
        <v>0.71199999999999997</v>
      </c>
      <c r="T56" s="8">
        <f t="shared" si="137"/>
        <v>0.71199999999999997</v>
      </c>
      <c r="U56" s="8">
        <f t="shared" si="137"/>
        <v>0.72799999999999998</v>
      </c>
      <c r="V56" s="8">
        <f t="shared" si="137"/>
        <v>0.72799999999999998</v>
      </c>
      <c r="W56" s="8">
        <f t="shared" si="137"/>
        <v>0.71199999999999997</v>
      </c>
      <c r="X56" s="8">
        <f t="shared" si="137"/>
        <v>0.71199999999999997</v>
      </c>
      <c r="Y56" s="8">
        <f t="shared" si="137"/>
        <v>0.72799999999999998</v>
      </c>
      <c r="Z56" s="8">
        <f t="shared" si="137"/>
        <v>0.72799999999999998</v>
      </c>
      <c r="AA56" s="8">
        <f t="shared" si="137"/>
        <v>0.71199999999999997</v>
      </c>
      <c r="AB56" s="8">
        <f t="shared" si="137"/>
        <v>0.71199999999999997</v>
      </c>
      <c r="AC56" s="8">
        <f t="shared" si="137"/>
        <v>0.872</v>
      </c>
      <c r="AD56" s="8">
        <f t="shared" si="137"/>
        <v>0.65600000000000003</v>
      </c>
      <c r="AE56" s="8">
        <f t="shared" si="137"/>
        <v>1</v>
      </c>
      <c r="AF56" s="8">
        <f t="shared" si="137"/>
        <v>0.84</v>
      </c>
      <c r="AG56" s="8">
        <f t="shared" si="137"/>
        <v>0</v>
      </c>
      <c r="AH56" s="8">
        <f t="shared" si="137"/>
        <v>0</v>
      </c>
      <c r="AI56" s="8">
        <f t="shared" si="137"/>
        <v>0</v>
      </c>
      <c r="AJ56" s="8">
        <f t="shared" si="137"/>
        <v>0</v>
      </c>
      <c r="AK56" s="8">
        <f t="shared" si="137"/>
        <v>0</v>
      </c>
      <c r="AL56" s="8">
        <f t="shared" si="137"/>
        <v>0</v>
      </c>
      <c r="AM56" s="8">
        <f t="shared" si="137"/>
        <v>0</v>
      </c>
      <c r="AN56" s="8">
        <f t="shared" si="137"/>
        <v>0</v>
      </c>
      <c r="AO56" s="8">
        <f t="shared" si="137"/>
        <v>1</v>
      </c>
      <c r="AP56" s="8">
        <f t="shared" si="137"/>
        <v>0.70399999999999996</v>
      </c>
      <c r="AQ56" s="8">
        <f t="shared" si="137"/>
        <v>0.28000000000000003</v>
      </c>
      <c r="AR56" s="8">
        <f t="shared" si="137"/>
        <v>0.33600000000000002</v>
      </c>
      <c r="AS56" s="8">
        <f t="shared" si="137"/>
        <v>0.80800000000000005</v>
      </c>
      <c r="AT56" s="8">
        <f t="shared" si="137"/>
        <v>0.84</v>
      </c>
      <c r="AU56" s="8">
        <f t="shared" si="137"/>
        <v>0</v>
      </c>
      <c r="AV56" s="8">
        <f t="shared" si="137"/>
        <v>0.64800000000000002</v>
      </c>
      <c r="AW56" s="8">
        <f t="shared" si="137"/>
        <v>0.64800000000000002</v>
      </c>
      <c r="AX56" s="8">
        <f t="shared" si="137"/>
        <v>1</v>
      </c>
      <c r="AY56" s="8">
        <f t="shared" si="137"/>
        <v>0.92</v>
      </c>
      <c r="AZ56" s="8">
        <f t="shared" si="137"/>
        <v>1</v>
      </c>
      <c r="BA56" s="8">
        <f t="shared" si="137"/>
        <v>1</v>
      </c>
      <c r="BB56" s="8">
        <f t="shared" si="137"/>
        <v>0.76</v>
      </c>
      <c r="BC56" s="8">
        <f t="shared" si="137"/>
        <v>0.41599999999999998</v>
      </c>
      <c r="BD56" s="8">
        <f t="shared" si="137"/>
        <v>0.76</v>
      </c>
      <c r="BE56" s="8">
        <f t="shared" si="137"/>
        <v>0.45600000000000002</v>
      </c>
      <c r="BF56" s="8">
        <f t="shared" si="137"/>
        <v>1</v>
      </c>
      <c r="BG56" s="8">
        <f t="shared" si="137"/>
        <v>1</v>
      </c>
      <c r="BH56" s="8">
        <f t="shared" si="137"/>
        <v>0.84</v>
      </c>
      <c r="BI56" s="8">
        <f t="shared" si="137"/>
        <v>0.76800000000000002</v>
      </c>
      <c r="BJ56" s="8">
        <f t="shared" si="137"/>
        <v>0.74399999999999999</v>
      </c>
      <c r="BK56" s="8">
        <f t="shared" si="137"/>
        <v>0.67200000000000004</v>
      </c>
      <c r="BL56" s="8">
        <f t="shared" si="137"/>
        <v>0.68</v>
      </c>
      <c r="BM56" s="8">
        <f t="shared" si="137"/>
        <v>0.66400000000000003</v>
      </c>
      <c r="BN56" s="8">
        <f t="shared" si="137"/>
        <v>1</v>
      </c>
      <c r="BO56" s="8">
        <f t="shared" si="137"/>
        <v>0.92</v>
      </c>
      <c r="BP56" s="8">
        <f t="shared" si="137"/>
        <v>0.68</v>
      </c>
      <c r="BQ56" s="8">
        <f t="shared" si="137"/>
        <v>0.56000000000000005</v>
      </c>
      <c r="BR56" s="8">
        <f t="shared" ref="BR56:EC56" si="138">BR54/BR55</f>
        <v>0.64800000000000002</v>
      </c>
      <c r="BS56" s="8">
        <f t="shared" si="138"/>
        <v>0.48799999999999999</v>
      </c>
      <c r="BT56" s="8">
        <f t="shared" si="138"/>
        <v>0.76</v>
      </c>
      <c r="BU56" s="8">
        <f t="shared" si="138"/>
        <v>0.59199999999999997</v>
      </c>
      <c r="BV56" s="8">
        <f t="shared" si="138"/>
        <v>1</v>
      </c>
      <c r="BW56" s="8">
        <f t="shared" si="138"/>
        <v>0.96</v>
      </c>
      <c r="BX56" s="8">
        <f t="shared" si="138"/>
        <v>0.76</v>
      </c>
      <c r="BY56" s="8">
        <f t="shared" si="138"/>
        <v>0.76</v>
      </c>
      <c r="BZ56" s="8">
        <f t="shared" si="138"/>
        <v>0.68</v>
      </c>
      <c r="CA56" s="8">
        <f t="shared" si="138"/>
        <v>0.70399999999999996</v>
      </c>
      <c r="CB56" s="8">
        <f t="shared" si="138"/>
        <v>1</v>
      </c>
      <c r="CC56" s="8">
        <f t="shared" si="138"/>
        <v>0.96</v>
      </c>
      <c r="CD56" s="8">
        <f t="shared" si="138"/>
        <v>1</v>
      </c>
      <c r="CE56" s="8">
        <f t="shared" si="138"/>
        <v>0.58399999999999996</v>
      </c>
      <c r="CF56" s="8">
        <f t="shared" si="138"/>
        <v>0.68</v>
      </c>
      <c r="CG56" s="8">
        <f t="shared" si="138"/>
        <v>0.41599999999999998</v>
      </c>
      <c r="CH56" s="8">
        <f t="shared" si="138"/>
        <v>0.82399999999999995</v>
      </c>
      <c r="CI56" s="8">
        <f t="shared" si="138"/>
        <v>0.6</v>
      </c>
      <c r="CJ56" s="8">
        <f t="shared" si="138"/>
        <v>1</v>
      </c>
      <c r="CK56" s="8">
        <f t="shared" si="138"/>
        <v>0.92</v>
      </c>
      <c r="CL56" s="8">
        <f t="shared" si="138"/>
        <v>1</v>
      </c>
      <c r="CM56" s="8">
        <f t="shared" si="138"/>
        <v>0.81599999999999995</v>
      </c>
      <c r="CN56" s="8">
        <f t="shared" si="138"/>
        <v>1</v>
      </c>
      <c r="CO56" s="8">
        <f t="shared" si="138"/>
        <v>1</v>
      </c>
      <c r="CP56" s="8">
        <f t="shared" si="138"/>
        <v>0.69599999999999995</v>
      </c>
      <c r="CQ56" s="8">
        <f t="shared" si="138"/>
        <v>0.45600000000000002</v>
      </c>
      <c r="CR56" s="8">
        <f t="shared" si="138"/>
        <v>0.82399999999999995</v>
      </c>
      <c r="CS56" s="8">
        <f t="shared" si="138"/>
        <v>0.58399999999999996</v>
      </c>
      <c r="CT56" s="8">
        <f t="shared" si="138"/>
        <v>0.68</v>
      </c>
      <c r="CU56" s="8">
        <f t="shared" si="138"/>
        <v>0.48799999999999999</v>
      </c>
      <c r="CV56" s="8">
        <f t="shared" si="138"/>
        <v>0.96799999999999997</v>
      </c>
      <c r="CW56" s="8">
        <f t="shared" si="138"/>
        <v>0.66400000000000003</v>
      </c>
      <c r="CX56" s="8">
        <f t="shared" si="138"/>
        <v>0.92</v>
      </c>
      <c r="CY56" s="8">
        <f t="shared" si="138"/>
        <v>0.66400000000000003</v>
      </c>
      <c r="CZ56" s="8">
        <f t="shared" si="138"/>
        <v>0.872</v>
      </c>
      <c r="DA56" s="8">
        <f t="shared" si="138"/>
        <v>0.56000000000000005</v>
      </c>
      <c r="DB56" s="8">
        <f t="shared" si="138"/>
        <v>1</v>
      </c>
      <c r="DC56" s="8">
        <f t="shared" si="138"/>
        <v>0.92</v>
      </c>
      <c r="DD56" s="8">
        <f t="shared" si="138"/>
        <v>0.42399999999999999</v>
      </c>
      <c r="DE56" s="8">
        <f t="shared" si="138"/>
        <v>0.33600000000000002</v>
      </c>
      <c r="DF56" s="8">
        <f t="shared" si="138"/>
        <v>0.98399999999999999</v>
      </c>
      <c r="DG56" s="8">
        <f t="shared" si="138"/>
        <v>0.84</v>
      </c>
      <c r="DH56" s="8">
        <f t="shared" si="138"/>
        <v>0.44</v>
      </c>
      <c r="DI56" s="8">
        <f t="shared" si="138"/>
        <v>0.40799999999999997</v>
      </c>
      <c r="DJ56" s="8">
        <f t="shared" si="138"/>
        <v>0.42399999999999999</v>
      </c>
      <c r="DK56" s="8">
        <f t="shared" si="138"/>
        <v>0.42399999999999999</v>
      </c>
      <c r="DL56" s="8">
        <f t="shared" si="138"/>
        <v>0.61599999999999999</v>
      </c>
      <c r="DM56" s="8">
        <f t="shared" si="138"/>
        <v>0.504</v>
      </c>
      <c r="DN56" s="8">
        <f t="shared" si="138"/>
        <v>1</v>
      </c>
      <c r="DO56" s="8">
        <f t="shared" si="138"/>
        <v>0.66400000000000003</v>
      </c>
      <c r="DP56" s="8">
        <f t="shared" si="138"/>
        <v>0.872</v>
      </c>
      <c r="DQ56" s="8">
        <f t="shared" si="138"/>
        <v>0.56799999999999995</v>
      </c>
      <c r="DR56" s="8">
        <f t="shared" si="138"/>
        <v>0.63200000000000001</v>
      </c>
      <c r="DS56" s="8">
        <f t="shared" si="138"/>
        <v>0.46400000000000002</v>
      </c>
      <c r="DT56" s="8">
        <f t="shared" si="138"/>
        <v>0.872</v>
      </c>
      <c r="DU56" s="8">
        <f t="shared" si="138"/>
        <v>0.63200000000000001</v>
      </c>
      <c r="DV56" s="8">
        <f t="shared" si="138"/>
        <v>0.63200000000000001</v>
      </c>
      <c r="DW56" s="8">
        <f t="shared" si="138"/>
        <v>0.54400000000000004</v>
      </c>
      <c r="DX56" s="8">
        <f t="shared" si="138"/>
        <v>0.63200000000000001</v>
      </c>
      <c r="DY56" s="8">
        <f t="shared" si="138"/>
        <v>0.46400000000000002</v>
      </c>
      <c r="DZ56" s="8">
        <f t="shared" si="138"/>
        <v>1</v>
      </c>
      <c r="EA56" s="8">
        <f t="shared" si="138"/>
        <v>0.84</v>
      </c>
      <c r="EB56" s="8">
        <f t="shared" si="138"/>
        <v>0.84</v>
      </c>
      <c r="EC56" s="8">
        <f t="shared" si="138"/>
        <v>0.6</v>
      </c>
      <c r="ED56" s="8">
        <f t="shared" ref="ED56:EY56" si="139">ED54/ED55</f>
        <v>1</v>
      </c>
      <c r="EE56" s="8">
        <f t="shared" si="139"/>
        <v>0.68</v>
      </c>
      <c r="EF56" s="8">
        <f t="shared" si="139"/>
        <v>0.90400000000000003</v>
      </c>
      <c r="EG56" s="8">
        <f t="shared" si="139"/>
        <v>0.8</v>
      </c>
      <c r="EH56" s="8">
        <f t="shared" si="139"/>
        <v>0.66400000000000003</v>
      </c>
      <c r="EI56" s="8">
        <f t="shared" si="139"/>
        <v>0.6</v>
      </c>
      <c r="EJ56" s="8">
        <f t="shared" si="139"/>
        <v>0.74399999999999999</v>
      </c>
      <c r="EK56" s="8">
        <f t="shared" si="139"/>
        <v>0.63200000000000001</v>
      </c>
      <c r="EL56" s="8">
        <f t="shared" si="139"/>
        <v>0.90400000000000003</v>
      </c>
      <c r="EM56" s="8">
        <f t="shared" si="139"/>
        <v>0.79200000000000004</v>
      </c>
      <c r="EN56" s="8">
        <f t="shared" si="139"/>
        <v>0.58399999999999996</v>
      </c>
      <c r="EO56" s="8">
        <f t="shared" si="139"/>
        <v>0.60799999999999998</v>
      </c>
      <c r="EP56" s="8">
        <f t="shared" si="139"/>
        <v>0.58399999999999996</v>
      </c>
      <c r="EQ56" s="8">
        <f t="shared" si="139"/>
        <v>0.58399999999999996</v>
      </c>
      <c r="ER56" s="8">
        <f t="shared" si="139"/>
        <v>1</v>
      </c>
      <c r="ES56" s="8">
        <f t="shared" si="139"/>
        <v>0.84</v>
      </c>
      <c r="ET56" s="8">
        <f t="shared" si="139"/>
        <v>0.98399999999999999</v>
      </c>
      <c r="EU56" s="8">
        <f t="shared" si="139"/>
        <v>0.35199999999999998</v>
      </c>
      <c r="EV56" s="8">
        <f t="shared" si="139"/>
        <v>1</v>
      </c>
      <c r="EW56" s="8">
        <f t="shared" si="139"/>
        <v>1</v>
      </c>
      <c r="EX56" s="8">
        <f t="shared" si="139"/>
        <v>1</v>
      </c>
      <c r="EY56" s="8">
        <f t="shared" si="139"/>
        <v>0.56000000000000005</v>
      </c>
    </row>
    <row r="57" spans="1:163" x14ac:dyDescent="0.2">
      <c r="F57" s="9"/>
    </row>
    <row r="58" spans="1:163" x14ac:dyDescent="0.2">
      <c r="D58" t="s">
        <v>313</v>
      </c>
      <c r="E58" t="s">
        <v>314</v>
      </c>
    </row>
    <row r="59" spans="1:163" x14ac:dyDescent="0.2">
      <c r="D59" t="s">
        <v>297</v>
      </c>
      <c r="E59" s="9">
        <f>AVERAGE(F56,H56,J56,L56,N56,P56)</f>
        <v>0.73333333333333328</v>
      </c>
      <c r="F59" t="str">
        <f>IF(E59&gt;0.899,$FI$4,IF(E59&gt;0.499,$FI$5,$FI$6))</f>
        <v>Conf_CR</v>
      </c>
    </row>
    <row r="60" spans="1:163" x14ac:dyDescent="0.2">
      <c r="D60" t="s">
        <v>298</v>
      </c>
      <c r="E60" s="9">
        <f>AVERAGE(R56,T56,V56,X56,Z56,AB56,AD56)</f>
        <v>0.72685714285714276</v>
      </c>
      <c r="F60" t="str">
        <f t="shared" ref="F60:F74" si="140">IF(E60&gt;0.899,$FI$4,IF(E60&gt;0.499,$FI$5,$FI$6))</f>
        <v>Conf_CR</v>
      </c>
      <c r="J60" s="11" t="s">
        <v>191</v>
      </c>
      <c r="K60" s="11" t="s">
        <v>193</v>
      </c>
      <c r="L60" s="11" t="s">
        <v>194</v>
      </c>
      <c r="M60" s="11" t="s">
        <v>197</v>
      </c>
      <c r="N60" s="11" t="s">
        <v>192</v>
      </c>
      <c r="O60" s="11" t="s">
        <v>190</v>
      </c>
      <c r="P60" s="11" t="s">
        <v>196</v>
      </c>
      <c r="Q60" s="11" t="s">
        <v>195</v>
      </c>
    </row>
    <row r="61" spans="1:163" x14ac:dyDescent="0.2">
      <c r="D61" t="s">
        <v>299</v>
      </c>
      <c r="E61" s="9">
        <f>AVERAGE(AF56,AP56,AR56,AT56,AW56)</f>
        <v>0.67360000000000009</v>
      </c>
      <c r="F61" t="str">
        <f t="shared" si="140"/>
        <v>Conf_CR</v>
      </c>
      <c r="I61" t="s">
        <v>144</v>
      </c>
      <c r="J61" s="12">
        <f>COUNTIFS($C:$C,J$60,$FD:$FD,$I$61)/5</f>
        <v>0</v>
      </c>
      <c r="K61" s="12">
        <f t="shared" ref="K61:Q61" si="141">COUNTIFS($C:$C,K$60,$FD:$FD,$I$61)/5</f>
        <v>0</v>
      </c>
      <c r="L61" s="12">
        <f t="shared" si="141"/>
        <v>0</v>
      </c>
      <c r="M61" s="12">
        <f t="shared" si="141"/>
        <v>0</v>
      </c>
      <c r="N61" s="12">
        <f t="shared" si="141"/>
        <v>0</v>
      </c>
      <c r="O61" s="12">
        <f t="shared" si="141"/>
        <v>0</v>
      </c>
      <c r="P61" s="12">
        <f t="shared" si="141"/>
        <v>0</v>
      </c>
      <c r="Q61" s="12">
        <f t="shared" si="141"/>
        <v>0</v>
      </c>
    </row>
    <row r="62" spans="1:163" x14ac:dyDescent="0.2">
      <c r="D62" t="s">
        <v>300</v>
      </c>
      <c r="E62" s="9">
        <f>AVERAGE(AY56,BA56,BC56,BE56)</f>
        <v>0.69799999999999995</v>
      </c>
      <c r="F62" t="str">
        <f t="shared" si="140"/>
        <v>Conf_CR</v>
      </c>
      <c r="I62" t="s">
        <v>145</v>
      </c>
      <c r="J62" s="12">
        <f>COUNTIFS($C:$C,J$60,$FD:$FD,$I$62)/5</f>
        <v>1</v>
      </c>
      <c r="K62" s="12">
        <f t="shared" ref="K62:Q62" si="142">COUNTIFS($C:$C,K$60,$FD:$FD,$I$62)/5</f>
        <v>0.8</v>
      </c>
      <c r="L62" s="12">
        <f>COUNTIFS($C:$C,L$60,$FD:$FD,$I$62)/10</f>
        <v>1</v>
      </c>
      <c r="M62" s="12">
        <f t="shared" si="142"/>
        <v>1</v>
      </c>
      <c r="N62" s="12">
        <f t="shared" si="142"/>
        <v>1</v>
      </c>
      <c r="O62" s="12">
        <f t="shared" si="142"/>
        <v>0</v>
      </c>
      <c r="P62" s="12">
        <f t="shared" si="142"/>
        <v>1</v>
      </c>
      <c r="Q62" s="12">
        <f t="shared" si="142"/>
        <v>0</v>
      </c>
    </row>
    <row r="63" spans="1:163" x14ac:dyDescent="0.2">
      <c r="D63" t="s">
        <v>301</v>
      </c>
      <c r="E63" s="9">
        <f>AVERAGE(BG56,BI56,BK56,BM56)</f>
        <v>0.77600000000000002</v>
      </c>
      <c r="F63" t="str">
        <f t="shared" si="140"/>
        <v>Conf_CR</v>
      </c>
      <c r="I63" t="s">
        <v>147</v>
      </c>
      <c r="J63" s="12">
        <f>COUNTIFS($C:$C,J$60,$FD:$FD,$I$63)/5</f>
        <v>0</v>
      </c>
      <c r="K63" s="12">
        <f t="shared" ref="K63:Q63" si="143">COUNTIFS($C:$C,K$60,$FD:$FD,$I$63)/5</f>
        <v>0.2</v>
      </c>
      <c r="L63" s="12">
        <f t="shared" si="143"/>
        <v>0</v>
      </c>
      <c r="M63" s="12">
        <f t="shared" si="143"/>
        <v>0</v>
      </c>
      <c r="N63" s="12">
        <f t="shared" si="143"/>
        <v>0</v>
      </c>
      <c r="O63" s="12">
        <f>COUNTIFS($C:$C,O$60,$FD:$FD,$I$63)/10</f>
        <v>1</v>
      </c>
      <c r="P63" s="12">
        <f t="shared" si="143"/>
        <v>0</v>
      </c>
      <c r="Q63" s="12">
        <f t="shared" si="143"/>
        <v>1</v>
      </c>
    </row>
    <row r="64" spans="1:163" x14ac:dyDescent="0.2">
      <c r="D64" t="s">
        <v>302</v>
      </c>
      <c r="E64" s="9">
        <f>AVERAGE(BO56,BQ56,BS56,BU56)</f>
        <v>0.64</v>
      </c>
      <c r="F64" t="str">
        <f t="shared" si="140"/>
        <v>Conf_CR</v>
      </c>
    </row>
    <row r="65" spans="4:6" x14ac:dyDescent="0.2">
      <c r="D65" t="s">
        <v>303</v>
      </c>
      <c r="E65" s="9">
        <f>AVERAGE(BW56,BY56,CA56)</f>
        <v>0.80799999999999994</v>
      </c>
      <c r="F65" t="str">
        <f t="shared" si="140"/>
        <v>Conf_CR</v>
      </c>
    </row>
    <row r="66" spans="4:6" x14ac:dyDescent="0.2">
      <c r="D66" t="s">
        <v>304</v>
      </c>
      <c r="E66" s="9">
        <f>AVERAGE(CC56,CE56,CG56,CI56)</f>
        <v>0.64</v>
      </c>
      <c r="F66" t="str">
        <f t="shared" si="140"/>
        <v>Conf_CR</v>
      </c>
    </row>
    <row r="67" spans="4:6" x14ac:dyDescent="0.2">
      <c r="D67" t="s">
        <v>305</v>
      </c>
      <c r="E67" s="9">
        <f>AVERAGE(CK56,CM56)</f>
        <v>0.86799999999999999</v>
      </c>
      <c r="F67" t="str">
        <f t="shared" si="140"/>
        <v>Conf_CR</v>
      </c>
    </row>
    <row r="68" spans="4:6" x14ac:dyDescent="0.2">
      <c r="D68" t="s">
        <v>306</v>
      </c>
      <c r="E68" s="9">
        <f>AVERAGE(CO56,CQ56,CS56,CU56,CW56,CY56,DA56)</f>
        <v>0.63085714285714289</v>
      </c>
      <c r="F68" t="str">
        <f t="shared" si="140"/>
        <v>Conf_CR</v>
      </c>
    </row>
    <row r="69" spans="4:6" x14ac:dyDescent="0.2">
      <c r="D69" t="s">
        <v>307</v>
      </c>
      <c r="E69" s="9">
        <f>AVERAGE(DC56,DE56,DG56,DI56,DK56,DM56)</f>
        <v>0.57199999999999995</v>
      </c>
      <c r="F69" t="str">
        <f t="shared" si="140"/>
        <v>Conf_CR</v>
      </c>
    </row>
    <row r="70" spans="4:6" x14ac:dyDescent="0.2">
      <c r="D70" t="s">
        <v>308</v>
      </c>
      <c r="E70" s="9">
        <f>AVERAGE(DO56,DQ56,DS56,DU56,DW56,DY56)</f>
        <v>0.55599999999999994</v>
      </c>
      <c r="F70" t="str">
        <f t="shared" si="140"/>
        <v>Conf_CR</v>
      </c>
    </row>
    <row r="71" spans="4:6" x14ac:dyDescent="0.2">
      <c r="D71" t="s">
        <v>309</v>
      </c>
      <c r="E71" s="9">
        <f>AVERAGE(EA56,EC56)</f>
        <v>0.72</v>
      </c>
      <c r="F71" t="str">
        <f t="shared" si="140"/>
        <v>Conf_CR</v>
      </c>
    </row>
    <row r="72" spans="4:6" x14ac:dyDescent="0.2">
      <c r="D72" t="s">
        <v>310</v>
      </c>
      <c r="E72" s="9">
        <f>AVERAGE(EE56,EG56,EI56,EK56,EM56,EO56,EQ56)</f>
        <v>0.67085714285714282</v>
      </c>
      <c r="F72" t="str">
        <f t="shared" si="140"/>
        <v>Conf_CR</v>
      </c>
    </row>
    <row r="73" spans="4:6" x14ac:dyDescent="0.2">
      <c r="D73" t="s">
        <v>311</v>
      </c>
      <c r="E73" s="9">
        <f>AVERAGE(ES56,EU56)</f>
        <v>0.59599999999999997</v>
      </c>
      <c r="F73" t="str">
        <f t="shared" si="140"/>
        <v>Conf_CR</v>
      </c>
    </row>
    <row r="74" spans="4:6" x14ac:dyDescent="0.2">
      <c r="D74" t="s">
        <v>312</v>
      </c>
      <c r="E74" s="9">
        <f>AVERAGE(EW56,EY56)</f>
        <v>0.78</v>
      </c>
      <c r="F74" t="str">
        <f t="shared" si="140"/>
        <v>Conf_CR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EZ63"/>
  <sheetViews>
    <sheetView topLeftCell="EI1" workbookViewId="0">
      <pane ySplit="1" topLeftCell="A2" activePane="bottomLeft" state="frozen"/>
      <selection pane="bottomLeft" activeCell="F1" sqref="F1:EZ1"/>
    </sheetView>
  </sheetViews>
  <sheetFormatPr baseColWidth="10" defaultColWidth="8.83203125" defaultRowHeight="15" x14ac:dyDescent="0.2"/>
  <cols>
    <col min="1" max="1" width="3.5" customWidth="1"/>
    <col min="2" max="2" width="22.83203125" customWidth="1"/>
    <col min="3" max="4" width="17.1640625" customWidth="1"/>
    <col min="5" max="5" width="12.83203125" customWidth="1"/>
    <col min="7" max="7" width="9.5" customWidth="1"/>
    <col min="93" max="156" width="10.5" customWidth="1"/>
  </cols>
  <sheetData>
    <row r="1" spans="1:156" x14ac:dyDescent="0.2">
      <c r="A1" t="s">
        <v>296</v>
      </c>
      <c r="B1" t="s">
        <v>1</v>
      </c>
      <c r="C1" t="s">
        <v>2</v>
      </c>
      <c r="D1" t="s">
        <v>198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316</v>
      </c>
      <c r="CR1" t="s">
        <v>317</v>
      </c>
      <c r="CS1" t="s">
        <v>318</v>
      </c>
      <c r="CT1" t="s">
        <v>319</v>
      </c>
      <c r="CU1" t="s">
        <v>320</v>
      </c>
      <c r="CV1" t="s">
        <v>321</v>
      </c>
      <c r="CW1" t="s">
        <v>322</v>
      </c>
      <c r="CX1" t="s">
        <v>323</v>
      </c>
      <c r="CY1" t="s">
        <v>324</v>
      </c>
      <c r="CZ1" t="s">
        <v>325</v>
      </c>
      <c r="DA1" t="s">
        <v>326</v>
      </c>
      <c r="DB1" t="s">
        <v>327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</row>
    <row r="2" spans="1:156" x14ac:dyDescent="0.2">
      <c r="A2">
        <v>2</v>
      </c>
      <c r="B2" t="s">
        <v>245</v>
      </c>
      <c r="C2" s="7" t="s">
        <v>191</v>
      </c>
      <c r="D2" t="s">
        <v>187</v>
      </c>
      <c r="E2" s="1">
        <v>44094</v>
      </c>
      <c r="F2" t="s">
        <v>143</v>
      </c>
      <c r="G2" t="s">
        <v>147</v>
      </c>
      <c r="H2" t="s">
        <v>143</v>
      </c>
      <c r="I2" t="s">
        <v>145</v>
      </c>
      <c r="J2" t="s">
        <v>143</v>
      </c>
      <c r="K2" t="s">
        <v>145</v>
      </c>
      <c r="L2" t="s">
        <v>143</v>
      </c>
      <c r="M2" t="s">
        <v>144</v>
      </c>
      <c r="N2" t="s">
        <v>143</v>
      </c>
      <c r="O2" t="s">
        <v>144</v>
      </c>
      <c r="P2" t="s">
        <v>143</v>
      </c>
      <c r="Q2" t="s">
        <v>145</v>
      </c>
      <c r="R2" t="s">
        <v>143</v>
      </c>
      <c r="S2" t="s">
        <v>144</v>
      </c>
      <c r="T2" t="s">
        <v>143</v>
      </c>
      <c r="U2" t="s">
        <v>144</v>
      </c>
      <c r="V2" t="s">
        <v>143</v>
      </c>
      <c r="W2" t="s">
        <v>144</v>
      </c>
      <c r="X2" t="s">
        <v>143</v>
      </c>
      <c r="Y2" t="s">
        <v>144</v>
      </c>
      <c r="Z2" t="s">
        <v>143</v>
      </c>
      <c r="AA2" t="s">
        <v>144</v>
      </c>
      <c r="AB2" t="s">
        <v>143</v>
      </c>
      <c r="AC2" t="s">
        <v>144</v>
      </c>
      <c r="AD2" t="s">
        <v>143</v>
      </c>
      <c r="AE2" t="s">
        <v>144</v>
      </c>
      <c r="AF2" t="s">
        <v>143</v>
      </c>
      <c r="AG2" t="s">
        <v>144</v>
      </c>
      <c r="AP2" t="s">
        <v>143</v>
      </c>
      <c r="AQ2" t="s">
        <v>144</v>
      </c>
      <c r="AR2" t="s">
        <v>146</v>
      </c>
      <c r="AS2" t="s">
        <v>144</v>
      </c>
      <c r="AT2" t="s">
        <v>146</v>
      </c>
      <c r="AU2" t="s">
        <v>144</v>
      </c>
      <c r="AW2" t="s">
        <v>146</v>
      </c>
      <c r="AX2" t="s">
        <v>144</v>
      </c>
      <c r="AY2" t="s">
        <v>143</v>
      </c>
      <c r="AZ2" t="s">
        <v>144</v>
      </c>
      <c r="BA2" t="s">
        <v>143</v>
      </c>
      <c r="BB2" t="s">
        <v>144</v>
      </c>
      <c r="BC2" t="s">
        <v>143</v>
      </c>
      <c r="BD2" t="s">
        <v>144</v>
      </c>
      <c r="BE2" t="s">
        <v>143</v>
      </c>
      <c r="BF2" t="s">
        <v>144</v>
      </c>
      <c r="BG2" t="s">
        <v>143</v>
      </c>
      <c r="BH2" t="s">
        <v>144</v>
      </c>
      <c r="BI2" t="s">
        <v>143</v>
      </c>
      <c r="BJ2" t="s">
        <v>144</v>
      </c>
      <c r="BK2" t="s">
        <v>143</v>
      </c>
      <c r="BL2" t="s">
        <v>144</v>
      </c>
      <c r="BM2" t="s">
        <v>143</v>
      </c>
      <c r="BN2" t="s">
        <v>144</v>
      </c>
      <c r="BO2" t="s">
        <v>143</v>
      </c>
      <c r="BP2" t="s">
        <v>144</v>
      </c>
      <c r="BQ2" t="s">
        <v>143</v>
      </c>
      <c r="BR2" t="s">
        <v>144</v>
      </c>
      <c r="BS2" t="s">
        <v>146</v>
      </c>
      <c r="BT2" t="s">
        <v>144</v>
      </c>
      <c r="BU2" t="s">
        <v>143</v>
      </c>
      <c r="BV2" t="s">
        <v>144</v>
      </c>
      <c r="BW2" t="s">
        <v>143</v>
      </c>
      <c r="BX2" t="s">
        <v>144</v>
      </c>
      <c r="BY2" t="s">
        <v>143</v>
      </c>
      <c r="BZ2" t="s">
        <v>144</v>
      </c>
      <c r="CA2" t="s">
        <v>146</v>
      </c>
      <c r="CB2" t="s">
        <v>144</v>
      </c>
      <c r="CC2" t="s">
        <v>143</v>
      </c>
      <c r="CD2" t="s">
        <v>144</v>
      </c>
      <c r="CE2" t="s">
        <v>143</v>
      </c>
      <c r="CF2" t="s">
        <v>144</v>
      </c>
      <c r="CG2" t="s">
        <v>143</v>
      </c>
      <c r="CH2" t="s">
        <v>145</v>
      </c>
      <c r="CI2" t="s">
        <v>143</v>
      </c>
      <c r="CJ2" t="s">
        <v>144</v>
      </c>
      <c r="CK2" t="s">
        <v>143</v>
      </c>
      <c r="CL2" t="s">
        <v>144</v>
      </c>
      <c r="CM2" t="s">
        <v>143</v>
      </c>
      <c r="CN2" t="s">
        <v>144</v>
      </c>
      <c r="CO2" t="s">
        <v>143</v>
      </c>
      <c r="CP2" t="s">
        <v>144</v>
      </c>
      <c r="CQ2" t="s">
        <v>143</v>
      </c>
      <c r="CR2" t="s">
        <v>144</v>
      </c>
      <c r="CS2" t="s">
        <v>143</v>
      </c>
      <c r="CT2" t="s">
        <v>144</v>
      </c>
      <c r="CU2" t="s">
        <v>143</v>
      </c>
      <c r="CV2" t="s">
        <v>145</v>
      </c>
      <c r="CW2" t="s">
        <v>143</v>
      </c>
      <c r="CX2" t="s">
        <v>144</v>
      </c>
      <c r="CY2" t="s">
        <v>143</v>
      </c>
      <c r="CZ2" t="s">
        <v>144</v>
      </c>
      <c r="DA2" t="s">
        <v>143</v>
      </c>
      <c r="DB2" t="s">
        <v>145</v>
      </c>
      <c r="DC2" t="s">
        <v>143</v>
      </c>
      <c r="DD2" t="s">
        <v>144</v>
      </c>
      <c r="DE2" t="s">
        <v>143</v>
      </c>
      <c r="DF2" t="s">
        <v>145</v>
      </c>
      <c r="DG2" t="s">
        <v>143</v>
      </c>
      <c r="DH2" t="s">
        <v>144</v>
      </c>
      <c r="DI2" t="s">
        <v>143</v>
      </c>
      <c r="DJ2" t="s">
        <v>144</v>
      </c>
      <c r="DK2" t="s">
        <v>143</v>
      </c>
      <c r="DL2" t="s">
        <v>144</v>
      </c>
      <c r="DM2" t="s">
        <v>143</v>
      </c>
      <c r="DN2" t="s">
        <v>144</v>
      </c>
      <c r="DO2" t="s">
        <v>143</v>
      </c>
      <c r="DP2" t="s">
        <v>147</v>
      </c>
      <c r="DQ2" t="s">
        <v>146</v>
      </c>
      <c r="DR2" t="s">
        <v>147</v>
      </c>
      <c r="DS2" t="s">
        <v>146</v>
      </c>
      <c r="DT2" t="s">
        <v>147</v>
      </c>
      <c r="DU2" t="s">
        <v>146</v>
      </c>
      <c r="DV2" t="s">
        <v>147</v>
      </c>
      <c r="DW2" t="s">
        <v>146</v>
      </c>
      <c r="DX2" t="s">
        <v>147</v>
      </c>
      <c r="DY2" t="s">
        <v>146</v>
      </c>
      <c r="DZ2" t="s">
        <v>147</v>
      </c>
      <c r="EA2" t="s">
        <v>143</v>
      </c>
      <c r="EB2" t="s">
        <v>144</v>
      </c>
      <c r="EC2" t="s">
        <v>143</v>
      </c>
      <c r="ED2" t="s">
        <v>144</v>
      </c>
      <c r="EE2" t="s">
        <v>143</v>
      </c>
      <c r="EF2" t="s">
        <v>144</v>
      </c>
      <c r="EG2" t="s">
        <v>143</v>
      </c>
      <c r="EH2" t="s">
        <v>144</v>
      </c>
      <c r="EI2" t="s">
        <v>143</v>
      </c>
      <c r="EJ2" t="s">
        <v>144</v>
      </c>
      <c r="EK2" t="s">
        <v>143</v>
      </c>
      <c r="EL2" t="s">
        <v>144</v>
      </c>
      <c r="EM2" t="s">
        <v>143</v>
      </c>
      <c r="EN2" t="s">
        <v>144</v>
      </c>
      <c r="EO2" t="s">
        <v>143</v>
      </c>
      <c r="EP2" t="s">
        <v>144</v>
      </c>
      <c r="EQ2" t="s">
        <v>143</v>
      </c>
      <c r="ER2" t="s">
        <v>144</v>
      </c>
      <c r="ES2" t="s">
        <v>143</v>
      </c>
      <c r="ET2" t="s">
        <v>144</v>
      </c>
      <c r="EU2" t="s">
        <v>143</v>
      </c>
      <c r="EV2" t="s">
        <v>147</v>
      </c>
      <c r="EW2" t="s">
        <v>143</v>
      </c>
      <c r="EX2" t="s">
        <v>144</v>
      </c>
      <c r="EY2" t="s">
        <v>143</v>
      </c>
      <c r="EZ2" t="s">
        <v>145</v>
      </c>
    </row>
    <row r="3" spans="1:156" x14ac:dyDescent="0.2">
      <c r="A3">
        <v>4</v>
      </c>
      <c r="B3" t="s">
        <v>246</v>
      </c>
      <c r="C3" s="7" t="s">
        <v>191</v>
      </c>
      <c r="D3" t="s">
        <v>187</v>
      </c>
      <c r="E3" s="1">
        <v>43889</v>
      </c>
      <c r="F3" t="s">
        <v>143</v>
      </c>
      <c r="G3" t="s">
        <v>147</v>
      </c>
      <c r="H3" t="s">
        <v>143</v>
      </c>
      <c r="I3" t="s">
        <v>145</v>
      </c>
      <c r="J3" t="s">
        <v>143</v>
      </c>
      <c r="K3" t="s">
        <v>145</v>
      </c>
      <c r="L3" t="s">
        <v>143</v>
      </c>
      <c r="M3" t="s">
        <v>144</v>
      </c>
      <c r="N3" t="s">
        <v>143</v>
      </c>
      <c r="O3" t="s">
        <v>144</v>
      </c>
      <c r="P3" t="s">
        <v>143</v>
      </c>
      <c r="Q3" t="s">
        <v>145</v>
      </c>
      <c r="R3" t="s">
        <v>143</v>
      </c>
      <c r="S3" t="s">
        <v>144</v>
      </c>
      <c r="T3" t="s">
        <v>143</v>
      </c>
      <c r="U3" t="s">
        <v>144</v>
      </c>
      <c r="V3" t="s">
        <v>143</v>
      </c>
      <c r="W3" t="s">
        <v>144</v>
      </c>
      <c r="X3" t="s">
        <v>143</v>
      </c>
      <c r="Y3" t="s">
        <v>144</v>
      </c>
      <c r="Z3" t="s">
        <v>143</v>
      </c>
      <c r="AA3" t="s">
        <v>144</v>
      </c>
      <c r="AB3" t="s">
        <v>143</v>
      </c>
      <c r="AC3" t="s">
        <v>144</v>
      </c>
      <c r="AD3" t="s">
        <v>143</v>
      </c>
      <c r="AE3" t="s">
        <v>144</v>
      </c>
      <c r="AF3" t="s">
        <v>143</v>
      </c>
      <c r="AG3" t="s">
        <v>144</v>
      </c>
      <c r="AP3" t="s">
        <v>143</v>
      </c>
      <c r="AQ3" t="s">
        <v>144</v>
      </c>
      <c r="AR3" t="s">
        <v>146</v>
      </c>
      <c r="AS3" t="s">
        <v>144</v>
      </c>
      <c r="AT3" t="s">
        <v>146</v>
      </c>
      <c r="AU3" t="s">
        <v>144</v>
      </c>
      <c r="AW3" t="s">
        <v>146</v>
      </c>
      <c r="AX3" t="s">
        <v>144</v>
      </c>
      <c r="AY3" t="s">
        <v>143</v>
      </c>
      <c r="AZ3" t="s">
        <v>144</v>
      </c>
      <c r="BA3" t="s">
        <v>143</v>
      </c>
      <c r="BB3" t="s">
        <v>144</v>
      </c>
      <c r="BC3" t="s">
        <v>143</v>
      </c>
      <c r="BD3" t="s">
        <v>144</v>
      </c>
      <c r="BE3" t="s">
        <v>143</v>
      </c>
      <c r="BF3" t="s">
        <v>144</v>
      </c>
      <c r="BG3" t="s">
        <v>143</v>
      </c>
      <c r="BH3" t="s">
        <v>144</v>
      </c>
      <c r="BI3" t="s">
        <v>143</v>
      </c>
      <c r="BJ3" t="s">
        <v>144</v>
      </c>
      <c r="BK3" t="s">
        <v>143</v>
      </c>
      <c r="BL3" t="s">
        <v>144</v>
      </c>
      <c r="BM3" t="s">
        <v>143</v>
      </c>
      <c r="BN3" t="s">
        <v>144</v>
      </c>
      <c r="BO3" t="s">
        <v>143</v>
      </c>
      <c r="BP3" t="s">
        <v>144</v>
      </c>
      <c r="BQ3" t="s">
        <v>143</v>
      </c>
      <c r="BR3" t="s">
        <v>144</v>
      </c>
      <c r="BS3" t="s">
        <v>146</v>
      </c>
      <c r="BT3" t="s">
        <v>144</v>
      </c>
      <c r="BU3" t="s">
        <v>143</v>
      </c>
      <c r="BV3" t="s">
        <v>144</v>
      </c>
      <c r="BW3" t="s">
        <v>143</v>
      </c>
      <c r="BX3" t="s">
        <v>144</v>
      </c>
      <c r="BY3" t="s">
        <v>143</v>
      </c>
      <c r="BZ3" t="s">
        <v>144</v>
      </c>
      <c r="CA3" t="s">
        <v>146</v>
      </c>
      <c r="CB3" t="s">
        <v>144</v>
      </c>
      <c r="CC3" t="s">
        <v>143</v>
      </c>
      <c r="CD3" t="s">
        <v>144</v>
      </c>
      <c r="CE3" t="s">
        <v>143</v>
      </c>
      <c r="CF3" t="s">
        <v>144</v>
      </c>
      <c r="CG3" t="s">
        <v>143</v>
      </c>
      <c r="CH3" t="s">
        <v>144</v>
      </c>
      <c r="CI3" t="s">
        <v>143</v>
      </c>
      <c r="CJ3" t="s">
        <v>144</v>
      </c>
      <c r="CK3" t="s">
        <v>143</v>
      </c>
      <c r="CL3" t="s">
        <v>144</v>
      </c>
      <c r="CM3" t="s">
        <v>143</v>
      </c>
      <c r="CN3" t="s">
        <v>144</v>
      </c>
      <c r="CO3" t="s">
        <v>143</v>
      </c>
      <c r="CP3" t="s">
        <v>144</v>
      </c>
      <c r="CQ3" t="s">
        <v>143</v>
      </c>
      <c r="CR3" t="s">
        <v>144</v>
      </c>
      <c r="CS3" t="s">
        <v>143</v>
      </c>
      <c r="CT3" t="s">
        <v>144</v>
      </c>
      <c r="CU3" t="s">
        <v>143</v>
      </c>
      <c r="CV3" t="s">
        <v>145</v>
      </c>
      <c r="CW3" t="s">
        <v>143</v>
      </c>
      <c r="CX3" t="s">
        <v>144</v>
      </c>
      <c r="CY3" t="s">
        <v>143</v>
      </c>
      <c r="CZ3" t="s">
        <v>144</v>
      </c>
      <c r="DA3" t="s">
        <v>143</v>
      </c>
      <c r="DB3" t="s">
        <v>145</v>
      </c>
      <c r="DC3" t="s">
        <v>143</v>
      </c>
      <c r="DD3" t="s">
        <v>144</v>
      </c>
      <c r="DE3" t="s">
        <v>143</v>
      </c>
      <c r="DF3" t="s">
        <v>145</v>
      </c>
      <c r="DG3" t="s">
        <v>143</v>
      </c>
      <c r="DH3" t="s">
        <v>144</v>
      </c>
      <c r="DI3" t="s">
        <v>143</v>
      </c>
      <c r="DJ3" t="s">
        <v>144</v>
      </c>
      <c r="DK3" t="s">
        <v>143</v>
      </c>
      <c r="DL3" t="s">
        <v>144</v>
      </c>
      <c r="DM3" t="s">
        <v>143</v>
      </c>
      <c r="DN3" t="s">
        <v>144</v>
      </c>
      <c r="DO3" t="s">
        <v>143</v>
      </c>
      <c r="DP3" t="s">
        <v>144</v>
      </c>
      <c r="DQ3" t="s">
        <v>146</v>
      </c>
      <c r="DR3" t="s">
        <v>147</v>
      </c>
      <c r="DS3" t="s">
        <v>146</v>
      </c>
      <c r="DT3" t="s">
        <v>147</v>
      </c>
      <c r="DU3" t="s">
        <v>146</v>
      </c>
      <c r="DV3" t="s">
        <v>147</v>
      </c>
      <c r="DW3" t="s">
        <v>146</v>
      </c>
      <c r="DX3" t="s">
        <v>147</v>
      </c>
      <c r="DY3" t="s">
        <v>146</v>
      </c>
      <c r="DZ3" t="s">
        <v>147</v>
      </c>
      <c r="EA3" t="s">
        <v>143</v>
      </c>
      <c r="EB3" t="s">
        <v>144</v>
      </c>
      <c r="EC3" t="s">
        <v>143</v>
      </c>
      <c r="ED3" t="s">
        <v>144</v>
      </c>
      <c r="EE3" t="s">
        <v>143</v>
      </c>
      <c r="EF3" t="s">
        <v>144</v>
      </c>
      <c r="EG3" t="s">
        <v>143</v>
      </c>
      <c r="EH3" t="s">
        <v>144</v>
      </c>
      <c r="EI3" t="s">
        <v>143</v>
      </c>
      <c r="EJ3" t="s">
        <v>144</v>
      </c>
      <c r="EK3" t="s">
        <v>143</v>
      </c>
      <c r="EL3" t="s">
        <v>144</v>
      </c>
      <c r="EM3" t="s">
        <v>143</v>
      </c>
      <c r="EN3" t="s">
        <v>144</v>
      </c>
      <c r="EO3" t="s">
        <v>143</v>
      </c>
      <c r="EP3" t="s">
        <v>144</v>
      </c>
      <c r="EQ3" t="s">
        <v>143</v>
      </c>
      <c r="ER3" t="s">
        <v>144</v>
      </c>
      <c r="ES3" t="s">
        <v>143</v>
      </c>
      <c r="ET3" t="s">
        <v>144</v>
      </c>
      <c r="EU3" t="s">
        <v>143</v>
      </c>
      <c r="EV3" t="s">
        <v>147</v>
      </c>
      <c r="EW3" t="s">
        <v>143</v>
      </c>
      <c r="EX3" t="s">
        <v>144</v>
      </c>
      <c r="EY3" t="s">
        <v>143</v>
      </c>
      <c r="EZ3" t="s">
        <v>145</v>
      </c>
    </row>
    <row r="4" spans="1:156" x14ac:dyDescent="0.2">
      <c r="A4">
        <v>6</v>
      </c>
      <c r="B4" t="s">
        <v>247</v>
      </c>
      <c r="C4" s="7" t="s">
        <v>191</v>
      </c>
      <c r="D4" t="s">
        <v>187</v>
      </c>
      <c r="E4" s="1">
        <v>43889</v>
      </c>
      <c r="F4" t="s">
        <v>143</v>
      </c>
      <c r="G4" t="s">
        <v>147</v>
      </c>
      <c r="H4" t="s">
        <v>143</v>
      </c>
      <c r="I4" t="s">
        <v>145</v>
      </c>
      <c r="J4" t="s">
        <v>143</v>
      </c>
      <c r="K4" t="s">
        <v>145</v>
      </c>
      <c r="L4" t="s">
        <v>143</v>
      </c>
      <c r="M4" t="s">
        <v>144</v>
      </c>
      <c r="N4" t="s">
        <v>143</v>
      </c>
      <c r="O4" t="s">
        <v>144</v>
      </c>
      <c r="P4" t="s">
        <v>143</v>
      </c>
      <c r="Q4" t="s">
        <v>145</v>
      </c>
      <c r="R4" t="s">
        <v>143</v>
      </c>
      <c r="S4" t="s">
        <v>144</v>
      </c>
      <c r="T4" t="s">
        <v>143</v>
      </c>
      <c r="U4" t="s">
        <v>144</v>
      </c>
      <c r="V4" t="s">
        <v>143</v>
      </c>
      <c r="W4" t="s">
        <v>144</v>
      </c>
      <c r="X4" t="s">
        <v>143</v>
      </c>
      <c r="Y4" t="s">
        <v>144</v>
      </c>
      <c r="Z4" t="s">
        <v>143</v>
      </c>
      <c r="AA4" t="s">
        <v>144</v>
      </c>
      <c r="AB4" t="s">
        <v>143</v>
      </c>
      <c r="AC4" t="s">
        <v>144</v>
      </c>
      <c r="AD4" t="s">
        <v>143</v>
      </c>
      <c r="AE4" t="s">
        <v>144</v>
      </c>
      <c r="AF4" t="s">
        <v>143</v>
      </c>
      <c r="AG4" t="s">
        <v>144</v>
      </c>
      <c r="AP4" t="s">
        <v>143</v>
      </c>
      <c r="AQ4" t="s">
        <v>144</v>
      </c>
      <c r="AR4" t="s">
        <v>146</v>
      </c>
      <c r="AS4" t="s">
        <v>144</v>
      </c>
      <c r="AT4" t="s">
        <v>146</v>
      </c>
      <c r="AU4" t="s">
        <v>144</v>
      </c>
      <c r="AW4" t="s">
        <v>146</v>
      </c>
      <c r="AX4" t="s">
        <v>144</v>
      </c>
      <c r="AY4" t="s">
        <v>143</v>
      </c>
      <c r="AZ4" t="s">
        <v>144</v>
      </c>
      <c r="BA4" t="s">
        <v>143</v>
      </c>
      <c r="BB4" t="s">
        <v>144</v>
      </c>
      <c r="BC4" t="s">
        <v>143</v>
      </c>
      <c r="BD4" t="s">
        <v>144</v>
      </c>
      <c r="BE4" t="s">
        <v>143</v>
      </c>
      <c r="BF4" t="s">
        <v>144</v>
      </c>
      <c r="BG4" t="s">
        <v>143</v>
      </c>
      <c r="BH4" t="s">
        <v>144</v>
      </c>
      <c r="BI4" t="s">
        <v>143</v>
      </c>
      <c r="BJ4" t="s">
        <v>144</v>
      </c>
      <c r="BK4" t="s">
        <v>143</v>
      </c>
      <c r="BL4" t="s">
        <v>144</v>
      </c>
      <c r="BM4" t="s">
        <v>143</v>
      </c>
      <c r="BN4" t="s">
        <v>144</v>
      </c>
      <c r="BO4" t="s">
        <v>143</v>
      </c>
      <c r="BP4" t="s">
        <v>144</v>
      </c>
      <c r="BQ4" t="s">
        <v>143</v>
      </c>
      <c r="BR4" t="s">
        <v>144</v>
      </c>
      <c r="BS4" t="s">
        <v>146</v>
      </c>
      <c r="BT4" t="s">
        <v>144</v>
      </c>
      <c r="BU4" t="s">
        <v>143</v>
      </c>
      <c r="BV4" t="s">
        <v>144</v>
      </c>
      <c r="BW4" t="s">
        <v>143</v>
      </c>
      <c r="BX4" t="s">
        <v>144</v>
      </c>
      <c r="BY4" t="s">
        <v>143</v>
      </c>
      <c r="BZ4" t="s">
        <v>144</v>
      </c>
      <c r="CA4" t="s">
        <v>146</v>
      </c>
      <c r="CB4" t="s">
        <v>147</v>
      </c>
      <c r="CC4" t="s">
        <v>143</v>
      </c>
      <c r="CD4" t="s">
        <v>144</v>
      </c>
      <c r="CE4" t="s">
        <v>143</v>
      </c>
      <c r="CF4" t="s">
        <v>144</v>
      </c>
      <c r="CG4" t="s">
        <v>143</v>
      </c>
      <c r="CH4" t="s">
        <v>144</v>
      </c>
      <c r="CI4" t="s">
        <v>143</v>
      </c>
      <c r="CJ4" t="s">
        <v>144</v>
      </c>
      <c r="CK4" t="s">
        <v>143</v>
      </c>
      <c r="CL4" t="s">
        <v>144</v>
      </c>
      <c r="CM4" t="s">
        <v>143</v>
      </c>
      <c r="CN4" t="s">
        <v>144</v>
      </c>
      <c r="CO4" t="s">
        <v>143</v>
      </c>
      <c r="CP4" t="s">
        <v>144</v>
      </c>
      <c r="CQ4" t="s">
        <v>143</v>
      </c>
      <c r="CR4" t="s">
        <v>144</v>
      </c>
      <c r="CS4" t="s">
        <v>143</v>
      </c>
      <c r="CT4" t="s">
        <v>144</v>
      </c>
      <c r="CU4" t="s">
        <v>143</v>
      </c>
      <c r="CV4" t="s">
        <v>145</v>
      </c>
      <c r="CW4" t="s">
        <v>143</v>
      </c>
      <c r="CX4" t="s">
        <v>144</v>
      </c>
      <c r="CY4" t="s">
        <v>143</v>
      </c>
      <c r="CZ4" t="s">
        <v>144</v>
      </c>
      <c r="DA4" t="s">
        <v>143</v>
      </c>
      <c r="DB4" t="s">
        <v>145</v>
      </c>
      <c r="DC4" t="s">
        <v>143</v>
      </c>
      <c r="DD4" t="s">
        <v>144</v>
      </c>
      <c r="DE4" t="s">
        <v>143</v>
      </c>
      <c r="DF4" t="s">
        <v>145</v>
      </c>
      <c r="DG4" t="s">
        <v>143</v>
      </c>
      <c r="DH4" t="s">
        <v>144</v>
      </c>
      <c r="DI4" t="s">
        <v>143</v>
      </c>
      <c r="DJ4" t="s">
        <v>144</v>
      </c>
      <c r="DK4" t="s">
        <v>143</v>
      </c>
      <c r="DL4" t="s">
        <v>144</v>
      </c>
      <c r="DM4" t="s">
        <v>143</v>
      </c>
      <c r="DN4" t="s">
        <v>144</v>
      </c>
      <c r="DO4" t="s">
        <v>143</v>
      </c>
      <c r="DP4" t="s">
        <v>144</v>
      </c>
      <c r="DQ4" t="s">
        <v>146</v>
      </c>
      <c r="DR4" t="s">
        <v>147</v>
      </c>
      <c r="DS4" t="s">
        <v>146</v>
      </c>
      <c r="DT4" t="s">
        <v>147</v>
      </c>
      <c r="DU4" t="s">
        <v>146</v>
      </c>
      <c r="DV4" t="s">
        <v>147</v>
      </c>
      <c r="DW4" t="s">
        <v>146</v>
      </c>
      <c r="DX4" t="s">
        <v>147</v>
      </c>
      <c r="DY4" t="s">
        <v>146</v>
      </c>
      <c r="DZ4" t="s">
        <v>147</v>
      </c>
      <c r="EA4" t="s">
        <v>143</v>
      </c>
      <c r="EB4" t="s">
        <v>144</v>
      </c>
      <c r="EC4" t="s">
        <v>143</v>
      </c>
      <c r="ED4" t="s">
        <v>144</v>
      </c>
      <c r="EE4" t="s">
        <v>143</v>
      </c>
      <c r="EF4" t="s">
        <v>144</v>
      </c>
      <c r="EG4" t="s">
        <v>143</v>
      </c>
      <c r="EH4" t="s">
        <v>144</v>
      </c>
      <c r="EI4" t="s">
        <v>143</v>
      </c>
      <c r="EJ4" t="s">
        <v>144</v>
      </c>
      <c r="EK4" t="s">
        <v>143</v>
      </c>
      <c r="EL4" t="s">
        <v>144</v>
      </c>
      <c r="EM4" t="s">
        <v>143</v>
      </c>
      <c r="EN4" t="s">
        <v>144</v>
      </c>
      <c r="EO4" t="s">
        <v>143</v>
      </c>
      <c r="EP4" t="s">
        <v>144</v>
      </c>
      <c r="EQ4" t="s">
        <v>143</v>
      </c>
      <c r="ER4" t="s">
        <v>144</v>
      </c>
      <c r="ES4" t="s">
        <v>143</v>
      </c>
      <c r="ET4" t="s">
        <v>144</v>
      </c>
      <c r="EU4" t="s">
        <v>143</v>
      </c>
      <c r="EV4" t="s">
        <v>147</v>
      </c>
      <c r="EW4" t="s">
        <v>143</v>
      </c>
      <c r="EX4" t="s">
        <v>144</v>
      </c>
      <c r="EY4" t="s">
        <v>143</v>
      </c>
      <c r="EZ4" t="s">
        <v>145</v>
      </c>
    </row>
    <row r="5" spans="1:156" x14ac:dyDescent="0.2">
      <c r="A5">
        <v>25</v>
      </c>
      <c r="B5" t="s">
        <v>248</v>
      </c>
      <c r="C5" s="4" t="s">
        <v>191</v>
      </c>
      <c r="D5" t="s">
        <v>187</v>
      </c>
      <c r="E5" s="1">
        <v>43834</v>
      </c>
      <c r="F5" t="s">
        <v>143</v>
      </c>
      <c r="G5" t="s">
        <v>147</v>
      </c>
      <c r="H5" t="s">
        <v>143</v>
      </c>
      <c r="I5" t="s">
        <v>145</v>
      </c>
      <c r="J5" t="s">
        <v>143</v>
      </c>
      <c r="K5" t="s">
        <v>145</v>
      </c>
      <c r="L5" t="s">
        <v>143</v>
      </c>
      <c r="M5" t="s">
        <v>144</v>
      </c>
      <c r="N5" t="s">
        <v>143</v>
      </c>
      <c r="O5" t="s">
        <v>144</v>
      </c>
      <c r="P5" t="s">
        <v>143</v>
      </c>
      <c r="Q5" t="s">
        <v>145</v>
      </c>
      <c r="R5" t="s">
        <v>143</v>
      </c>
      <c r="S5" t="s">
        <v>144</v>
      </c>
      <c r="T5" t="s">
        <v>143</v>
      </c>
      <c r="U5" t="s">
        <v>144</v>
      </c>
      <c r="V5" t="s">
        <v>143</v>
      </c>
      <c r="W5" t="s">
        <v>144</v>
      </c>
      <c r="X5" t="s">
        <v>143</v>
      </c>
      <c r="Y5" t="s">
        <v>144</v>
      </c>
      <c r="Z5" t="s">
        <v>143</v>
      </c>
      <c r="AA5" t="s">
        <v>144</v>
      </c>
      <c r="AB5" t="s">
        <v>143</v>
      </c>
      <c r="AC5" t="s">
        <v>144</v>
      </c>
      <c r="AD5" t="s">
        <v>143</v>
      </c>
      <c r="AE5" t="s">
        <v>144</v>
      </c>
      <c r="AF5" t="s">
        <v>143</v>
      </c>
      <c r="AG5" t="s">
        <v>144</v>
      </c>
      <c r="AP5" t="s">
        <v>143</v>
      </c>
      <c r="AQ5" t="s">
        <v>144</v>
      </c>
      <c r="AR5" t="s">
        <v>146</v>
      </c>
      <c r="AS5" t="s">
        <v>144</v>
      </c>
      <c r="AT5" t="s">
        <v>146</v>
      </c>
      <c r="AU5" t="s">
        <v>144</v>
      </c>
      <c r="AW5" t="s">
        <v>146</v>
      </c>
      <c r="AX5" t="s">
        <v>144</v>
      </c>
      <c r="AY5" t="s">
        <v>143</v>
      </c>
      <c r="AZ5" t="s">
        <v>144</v>
      </c>
      <c r="BA5" t="s">
        <v>143</v>
      </c>
      <c r="BB5" t="s">
        <v>144</v>
      </c>
      <c r="BC5" t="s">
        <v>143</v>
      </c>
      <c r="BD5" t="s">
        <v>144</v>
      </c>
      <c r="BE5" t="s">
        <v>143</v>
      </c>
      <c r="BF5" t="s">
        <v>144</v>
      </c>
      <c r="BG5" t="s">
        <v>143</v>
      </c>
      <c r="BH5" t="s">
        <v>144</v>
      </c>
      <c r="BI5" t="s">
        <v>143</v>
      </c>
      <c r="BJ5" t="s">
        <v>144</v>
      </c>
      <c r="BK5" t="s">
        <v>143</v>
      </c>
      <c r="BL5" t="s">
        <v>144</v>
      </c>
      <c r="BM5" t="s">
        <v>143</v>
      </c>
      <c r="BN5" t="s">
        <v>144</v>
      </c>
      <c r="BO5" t="s">
        <v>143</v>
      </c>
      <c r="BP5" t="s">
        <v>144</v>
      </c>
      <c r="BQ5" t="s">
        <v>143</v>
      </c>
      <c r="BR5" t="s">
        <v>144</v>
      </c>
      <c r="BS5" t="s">
        <v>146</v>
      </c>
      <c r="BT5" t="s">
        <v>147</v>
      </c>
      <c r="BU5" t="s">
        <v>143</v>
      </c>
      <c r="BV5" t="s">
        <v>144</v>
      </c>
      <c r="BW5" t="s">
        <v>143</v>
      </c>
      <c r="BX5" t="s">
        <v>144</v>
      </c>
      <c r="BY5" t="s">
        <v>143</v>
      </c>
      <c r="BZ5" t="s">
        <v>144</v>
      </c>
      <c r="CA5" t="s">
        <v>146</v>
      </c>
      <c r="CB5" t="s">
        <v>147</v>
      </c>
      <c r="CC5" t="s">
        <v>143</v>
      </c>
      <c r="CD5" t="s">
        <v>144</v>
      </c>
      <c r="CE5" t="s">
        <v>143</v>
      </c>
      <c r="CF5" t="s">
        <v>145</v>
      </c>
      <c r="CG5" t="s">
        <v>143</v>
      </c>
      <c r="CH5" t="s">
        <v>145</v>
      </c>
      <c r="CI5" t="s">
        <v>143</v>
      </c>
      <c r="CJ5" t="s">
        <v>144</v>
      </c>
      <c r="CK5" t="s">
        <v>143</v>
      </c>
      <c r="CL5" t="s">
        <v>144</v>
      </c>
      <c r="CM5" t="s">
        <v>143</v>
      </c>
      <c r="CN5" t="s">
        <v>144</v>
      </c>
      <c r="CO5" t="s">
        <v>143</v>
      </c>
      <c r="CP5" t="s">
        <v>144</v>
      </c>
      <c r="CQ5" t="s">
        <v>143</v>
      </c>
      <c r="CR5" t="s">
        <v>144</v>
      </c>
      <c r="CS5" t="s">
        <v>143</v>
      </c>
      <c r="CT5" t="s">
        <v>144</v>
      </c>
      <c r="CU5" t="s">
        <v>143</v>
      </c>
      <c r="CV5" t="s">
        <v>145</v>
      </c>
      <c r="CW5" t="s">
        <v>143</v>
      </c>
      <c r="CX5" t="s">
        <v>144</v>
      </c>
      <c r="CY5" t="s">
        <v>143</v>
      </c>
      <c r="CZ5" t="s">
        <v>144</v>
      </c>
      <c r="DA5" t="s">
        <v>143</v>
      </c>
      <c r="DB5" t="s">
        <v>145</v>
      </c>
      <c r="DC5" t="s">
        <v>143</v>
      </c>
      <c r="DD5" t="s">
        <v>144</v>
      </c>
      <c r="DE5" t="s">
        <v>143</v>
      </c>
      <c r="DF5" t="s">
        <v>145</v>
      </c>
      <c r="DG5" t="s">
        <v>143</v>
      </c>
      <c r="DH5" t="s">
        <v>144</v>
      </c>
      <c r="DI5" t="s">
        <v>143</v>
      </c>
      <c r="DJ5" t="s">
        <v>144</v>
      </c>
      <c r="DK5" t="s">
        <v>143</v>
      </c>
      <c r="DL5" t="s">
        <v>144</v>
      </c>
      <c r="DM5" t="s">
        <v>143</v>
      </c>
      <c r="DN5" t="s">
        <v>144</v>
      </c>
      <c r="DO5" t="s">
        <v>143</v>
      </c>
      <c r="DP5" t="s">
        <v>144</v>
      </c>
      <c r="DQ5" t="s">
        <v>143</v>
      </c>
      <c r="DR5" t="s">
        <v>144</v>
      </c>
      <c r="DS5" t="s">
        <v>143</v>
      </c>
      <c r="DT5" t="s">
        <v>144</v>
      </c>
      <c r="DU5" t="s">
        <v>143</v>
      </c>
      <c r="DV5" t="s">
        <v>144</v>
      </c>
      <c r="DW5" t="s">
        <v>143</v>
      </c>
      <c r="DX5" t="s">
        <v>144</v>
      </c>
      <c r="DY5" t="s">
        <v>143</v>
      </c>
      <c r="DZ5" t="s">
        <v>144</v>
      </c>
      <c r="EA5" t="s">
        <v>143</v>
      </c>
      <c r="EB5" t="s">
        <v>144</v>
      </c>
      <c r="EC5" t="s">
        <v>143</v>
      </c>
      <c r="ED5" t="s">
        <v>144</v>
      </c>
      <c r="EE5" t="s">
        <v>143</v>
      </c>
      <c r="EF5" t="s">
        <v>144</v>
      </c>
      <c r="EG5" t="s">
        <v>143</v>
      </c>
      <c r="EH5" t="s">
        <v>144</v>
      </c>
      <c r="EI5" t="s">
        <v>143</v>
      </c>
      <c r="EJ5" t="s">
        <v>144</v>
      </c>
      <c r="EK5" t="s">
        <v>143</v>
      </c>
      <c r="EL5" t="s">
        <v>144</v>
      </c>
      <c r="EM5" t="s">
        <v>143</v>
      </c>
      <c r="EN5" t="s">
        <v>144</v>
      </c>
      <c r="EO5" t="s">
        <v>143</v>
      </c>
      <c r="EP5" t="s">
        <v>144</v>
      </c>
      <c r="EQ5" t="s">
        <v>143</v>
      </c>
      <c r="ER5" t="s">
        <v>144</v>
      </c>
      <c r="ES5" t="s">
        <v>143</v>
      </c>
      <c r="ET5" t="s">
        <v>144</v>
      </c>
      <c r="EU5" t="s">
        <v>143</v>
      </c>
      <c r="EV5" t="s">
        <v>147</v>
      </c>
      <c r="EW5" t="s">
        <v>143</v>
      </c>
      <c r="EX5" t="s">
        <v>144</v>
      </c>
      <c r="EY5" t="s">
        <v>143</v>
      </c>
      <c r="EZ5" t="s">
        <v>145</v>
      </c>
    </row>
    <row r="6" spans="1:156" x14ac:dyDescent="0.2">
      <c r="A6">
        <v>27</v>
      </c>
      <c r="B6" t="s">
        <v>249</v>
      </c>
      <c r="C6" s="4" t="s">
        <v>191</v>
      </c>
      <c r="D6" t="s">
        <v>187</v>
      </c>
      <c r="E6" s="1">
        <v>43987</v>
      </c>
      <c r="F6" t="s">
        <v>143</v>
      </c>
      <c r="G6" t="s">
        <v>147</v>
      </c>
      <c r="H6" t="s">
        <v>143</v>
      </c>
      <c r="I6" t="s">
        <v>145</v>
      </c>
      <c r="J6" t="s">
        <v>143</v>
      </c>
      <c r="K6" t="s">
        <v>145</v>
      </c>
      <c r="L6" t="s">
        <v>143</v>
      </c>
      <c r="M6" t="s">
        <v>144</v>
      </c>
      <c r="N6" t="s">
        <v>143</v>
      </c>
      <c r="O6" t="s">
        <v>144</v>
      </c>
      <c r="P6" t="s">
        <v>143</v>
      </c>
      <c r="Q6" t="s">
        <v>145</v>
      </c>
      <c r="R6" t="s">
        <v>143</v>
      </c>
      <c r="S6" t="s">
        <v>144</v>
      </c>
      <c r="T6" t="s">
        <v>143</v>
      </c>
      <c r="U6" t="s">
        <v>144</v>
      </c>
      <c r="V6" t="s">
        <v>143</v>
      </c>
      <c r="W6" t="s">
        <v>144</v>
      </c>
      <c r="X6" t="s">
        <v>143</v>
      </c>
      <c r="Y6" t="s">
        <v>144</v>
      </c>
      <c r="Z6" t="s">
        <v>143</v>
      </c>
      <c r="AA6" t="s">
        <v>144</v>
      </c>
      <c r="AB6" t="s">
        <v>143</v>
      </c>
      <c r="AC6" t="s">
        <v>144</v>
      </c>
      <c r="AD6" t="s">
        <v>143</v>
      </c>
      <c r="AE6" t="s">
        <v>144</v>
      </c>
      <c r="AF6" t="s">
        <v>143</v>
      </c>
      <c r="AG6" t="s">
        <v>144</v>
      </c>
      <c r="AP6" t="s">
        <v>143</v>
      </c>
      <c r="AQ6" t="s">
        <v>144</v>
      </c>
      <c r="AR6" t="s">
        <v>146</v>
      </c>
      <c r="AS6" t="s">
        <v>144</v>
      </c>
      <c r="AT6" t="s">
        <v>146</v>
      </c>
      <c r="AU6" t="s">
        <v>144</v>
      </c>
      <c r="AW6" t="s">
        <v>146</v>
      </c>
      <c r="AX6" t="s">
        <v>144</v>
      </c>
      <c r="AY6" t="s">
        <v>143</v>
      </c>
      <c r="AZ6" t="s">
        <v>144</v>
      </c>
      <c r="BA6" t="s">
        <v>143</v>
      </c>
      <c r="BB6" t="s">
        <v>144</v>
      </c>
      <c r="BC6" t="s">
        <v>143</v>
      </c>
      <c r="BD6" t="s">
        <v>144</v>
      </c>
      <c r="BE6" t="s">
        <v>143</v>
      </c>
      <c r="BF6" t="s">
        <v>144</v>
      </c>
      <c r="BG6" t="s">
        <v>143</v>
      </c>
      <c r="BH6" t="s">
        <v>144</v>
      </c>
      <c r="BI6" t="s">
        <v>143</v>
      </c>
      <c r="BJ6" t="s">
        <v>144</v>
      </c>
      <c r="BK6" t="s">
        <v>143</v>
      </c>
      <c r="BL6" t="s">
        <v>144</v>
      </c>
      <c r="BM6" t="s">
        <v>143</v>
      </c>
      <c r="BN6" t="s">
        <v>144</v>
      </c>
      <c r="BO6" t="s">
        <v>143</v>
      </c>
      <c r="BP6" t="s">
        <v>144</v>
      </c>
      <c r="BQ6" t="s">
        <v>143</v>
      </c>
      <c r="BR6" t="s">
        <v>144</v>
      </c>
      <c r="BS6" t="s">
        <v>146</v>
      </c>
      <c r="BT6" t="s">
        <v>147</v>
      </c>
      <c r="BU6" t="s">
        <v>143</v>
      </c>
      <c r="BV6" t="s">
        <v>144</v>
      </c>
      <c r="BW6" t="s">
        <v>143</v>
      </c>
      <c r="BX6" t="s">
        <v>144</v>
      </c>
      <c r="BY6" t="s">
        <v>143</v>
      </c>
      <c r="BZ6" t="s">
        <v>144</v>
      </c>
      <c r="CA6" t="s">
        <v>146</v>
      </c>
      <c r="CB6" t="s">
        <v>147</v>
      </c>
      <c r="CC6" t="s">
        <v>143</v>
      </c>
      <c r="CD6" t="s">
        <v>144</v>
      </c>
      <c r="CE6" t="s">
        <v>143</v>
      </c>
      <c r="CF6" t="s">
        <v>145</v>
      </c>
      <c r="CG6" t="s">
        <v>143</v>
      </c>
      <c r="CH6" t="s">
        <v>145</v>
      </c>
      <c r="CI6" t="s">
        <v>143</v>
      </c>
      <c r="CJ6" t="s">
        <v>144</v>
      </c>
      <c r="CK6" t="s">
        <v>143</v>
      </c>
      <c r="CL6" t="s">
        <v>144</v>
      </c>
      <c r="CM6" t="s">
        <v>143</v>
      </c>
      <c r="CN6" t="s">
        <v>144</v>
      </c>
      <c r="CO6" t="s">
        <v>143</v>
      </c>
      <c r="CP6" t="s">
        <v>144</v>
      </c>
      <c r="CQ6" t="s">
        <v>143</v>
      </c>
      <c r="CR6" t="s">
        <v>144</v>
      </c>
      <c r="CS6" t="s">
        <v>143</v>
      </c>
      <c r="CT6" t="s">
        <v>144</v>
      </c>
      <c r="CU6" t="s">
        <v>143</v>
      </c>
      <c r="CV6" t="s">
        <v>145</v>
      </c>
      <c r="CW6" t="s">
        <v>143</v>
      </c>
      <c r="CX6" t="s">
        <v>144</v>
      </c>
      <c r="CY6" t="s">
        <v>143</v>
      </c>
      <c r="CZ6" t="s">
        <v>144</v>
      </c>
      <c r="DA6" t="s">
        <v>143</v>
      </c>
      <c r="DB6" t="s">
        <v>145</v>
      </c>
      <c r="DC6" t="s">
        <v>143</v>
      </c>
      <c r="DD6" t="s">
        <v>144</v>
      </c>
      <c r="DE6" t="s">
        <v>143</v>
      </c>
      <c r="DF6" t="s">
        <v>145</v>
      </c>
      <c r="DG6" t="s">
        <v>143</v>
      </c>
      <c r="DH6" t="s">
        <v>144</v>
      </c>
      <c r="DI6" t="s">
        <v>143</v>
      </c>
      <c r="DJ6" t="s">
        <v>144</v>
      </c>
      <c r="DK6" t="s">
        <v>143</v>
      </c>
      <c r="DL6" t="s">
        <v>144</v>
      </c>
      <c r="DM6" t="s">
        <v>143</v>
      </c>
      <c r="DN6" t="s">
        <v>144</v>
      </c>
      <c r="DO6" t="s">
        <v>143</v>
      </c>
      <c r="DP6" t="s">
        <v>144</v>
      </c>
      <c r="DQ6" t="s">
        <v>143</v>
      </c>
      <c r="DR6" t="s">
        <v>144</v>
      </c>
      <c r="DS6" t="s">
        <v>143</v>
      </c>
      <c r="DT6" t="s">
        <v>144</v>
      </c>
      <c r="DU6" t="s">
        <v>143</v>
      </c>
      <c r="DV6" t="s">
        <v>144</v>
      </c>
      <c r="DW6" t="s">
        <v>143</v>
      </c>
      <c r="DX6" t="s">
        <v>144</v>
      </c>
      <c r="DY6" t="s">
        <v>143</v>
      </c>
      <c r="DZ6" t="s">
        <v>144</v>
      </c>
      <c r="EA6" t="s">
        <v>143</v>
      </c>
      <c r="EB6" t="s">
        <v>144</v>
      </c>
      <c r="EC6" t="s">
        <v>143</v>
      </c>
      <c r="ED6" t="s">
        <v>144</v>
      </c>
      <c r="EE6" t="s">
        <v>143</v>
      </c>
      <c r="EF6" t="s">
        <v>144</v>
      </c>
      <c r="EG6" t="s">
        <v>143</v>
      </c>
      <c r="EH6" t="s">
        <v>144</v>
      </c>
      <c r="EI6" t="s">
        <v>143</v>
      </c>
      <c r="EJ6" t="s">
        <v>144</v>
      </c>
      <c r="EK6" t="s">
        <v>143</v>
      </c>
      <c r="EL6" t="s">
        <v>144</v>
      </c>
      <c r="EM6" t="s">
        <v>143</v>
      </c>
      <c r="EN6" t="s">
        <v>144</v>
      </c>
      <c r="EO6" t="s">
        <v>143</v>
      </c>
      <c r="EP6" t="s">
        <v>144</v>
      </c>
      <c r="EQ6" t="s">
        <v>143</v>
      </c>
      <c r="ER6" t="s">
        <v>144</v>
      </c>
      <c r="ES6" t="s">
        <v>143</v>
      </c>
      <c r="ET6" t="s">
        <v>144</v>
      </c>
      <c r="EU6" t="s">
        <v>143</v>
      </c>
      <c r="EV6" t="s">
        <v>147</v>
      </c>
      <c r="EW6" t="s">
        <v>143</v>
      </c>
      <c r="EX6" t="s">
        <v>144</v>
      </c>
      <c r="EY6" t="s">
        <v>143</v>
      </c>
      <c r="EZ6" t="s">
        <v>145</v>
      </c>
    </row>
    <row r="7" spans="1:156" x14ac:dyDescent="0.2">
      <c r="A7">
        <v>7</v>
      </c>
      <c r="B7" t="s">
        <v>250</v>
      </c>
      <c r="C7" s="7" t="s">
        <v>193</v>
      </c>
      <c r="D7" t="s">
        <v>188</v>
      </c>
      <c r="E7" s="1">
        <v>43188</v>
      </c>
      <c r="F7" t="s">
        <v>143</v>
      </c>
      <c r="G7" t="s">
        <v>144</v>
      </c>
      <c r="H7" t="s">
        <v>143</v>
      </c>
      <c r="I7" t="s">
        <v>144</v>
      </c>
      <c r="J7" t="s">
        <v>143</v>
      </c>
      <c r="K7" t="s">
        <v>144</v>
      </c>
      <c r="L7" t="s">
        <v>143</v>
      </c>
      <c r="M7" t="s">
        <v>144</v>
      </c>
      <c r="N7" t="s">
        <v>143</v>
      </c>
      <c r="O7" t="s">
        <v>144</v>
      </c>
      <c r="P7" t="s">
        <v>143</v>
      </c>
      <c r="Q7" t="s">
        <v>147</v>
      </c>
      <c r="R7" t="s">
        <v>143</v>
      </c>
      <c r="S7" t="s">
        <v>144</v>
      </c>
      <c r="T7" t="s">
        <v>143</v>
      </c>
      <c r="U7" t="s">
        <v>144</v>
      </c>
      <c r="V7" t="s">
        <v>143</v>
      </c>
      <c r="W7" t="s">
        <v>144</v>
      </c>
      <c r="X7" t="s">
        <v>143</v>
      </c>
      <c r="Y7" t="s">
        <v>144</v>
      </c>
      <c r="Z7" t="s">
        <v>143</v>
      </c>
      <c r="AA7" t="s">
        <v>144</v>
      </c>
      <c r="AB7" t="s">
        <v>143</v>
      </c>
      <c r="AC7" t="s">
        <v>144</v>
      </c>
      <c r="AD7" t="s">
        <v>143</v>
      </c>
      <c r="AE7" t="s">
        <v>145</v>
      </c>
      <c r="AF7" t="s">
        <v>143</v>
      </c>
      <c r="AG7" t="s">
        <v>144</v>
      </c>
      <c r="AP7" t="s">
        <v>143</v>
      </c>
      <c r="AQ7" t="s">
        <v>145</v>
      </c>
      <c r="AR7" t="s">
        <v>146</v>
      </c>
      <c r="AS7" t="s">
        <v>147</v>
      </c>
      <c r="AT7" t="s">
        <v>146</v>
      </c>
      <c r="AU7" t="s">
        <v>144</v>
      </c>
      <c r="AW7" t="s">
        <v>146</v>
      </c>
      <c r="AX7" t="s">
        <v>144</v>
      </c>
      <c r="AY7" t="s">
        <v>143</v>
      </c>
      <c r="AZ7" t="s">
        <v>144</v>
      </c>
      <c r="BA7" t="s">
        <v>143</v>
      </c>
      <c r="BB7" t="s">
        <v>144</v>
      </c>
      <c r="BC7" t="s">
        <v>146</v>
      </c>
      <c r="BD7" t="s">
        <v>147</v>
      </c>
      <c r="BE7" t="s">
        <v>146</v>
      </c>
      <c r="BF7" t="s">
        <v>147</v>
      </c>
      <c r="BG7" t="s">
        <v>143</v>
      </c>
      <c r="BH7" t="s">
        <v>144</v>
      </c>
      <c r="BI7" t="s">
        <v>143</v>
      </c>
      <c r="BJ7" t="s">
        <v>145</v>
      </c>
      <c r="BK7" t="s">
        <v>146</v>
      </c>
      <c r="BL7" t="s">
        <v>147</v>
      </c>
      <c r="BM7" t="s">
        <v>146</v>
      </c>
      <c r="BN7" t="s">
        <v>147</v>
      </c>
      <c r="BO7" t="s">
        <v>143</v>
      </c>
      <c r="BP7" t="s">
        <v>144</v>
      </c>
      <c r="BQ7" t="s">
        <v>146</v>
      </c>
      <c r="BR7" t="s">
        <v>147</v>
      </c>
      <c r="BS7" t="s">
        <v>146</v>
      </c>
      <c r="BT7" t="s">
        <v>145</v>
      </c>
      <c r="BU7" t="s">
        <v>146</v>
      </c>
      <c r="BV7" t="s">
        <v>147</v>
      </c>
      <c r="BW7" t="s">
        <v>143</v>
      </c>
      <c r="BX7" t="s">
        <v>144</v>
      </c>
      <c r="BY7" t="s">
        <v>143</v>
      </c>
      <c r="BZ7" t="s">
        <v>144</v>
      </c>
      <c r="CA7" t="s">
        <v>143</v>
      </c>
      <c r="CB7" t="s">
        <v>144</v>
      </c>
      <c r="CC7" t="s">
        <v>143</v>
      </c>
      <c r="CD7" t="s">
        <v>144</v>
      </c>
      <c r="CE7" t="s">
        <v>143</v>
      </c>
      <c r="CF7" t="s">
        <v>145</v>
      </c>
      <c r="CG7" t="s">
        <v>146</v>
      </c>
      <c r="CH7" t="s">
        <v>147</v>
      </c>
      <c r="CI7" t="s">
        <v>143</v>
      </c>
      <c r="CJ7" t="s">
        <v>145</v>
      </c>
      <c r="CK7" t="s">
        <v>143</v>
      </c>
      <c r="CL7" t="s">
        <v>144</v>
      </c>
      <c r="CM7" t="s">
        <v>143</v>
      </c>
      <c r="CN7" t="s">
        <v>145</v>
      </c>
      <c r="CO7" t="s">
        <v>143</v>
      </c>
      <c r="CP7" t="s">
        <v>144</v>
      </c>
      <c r="CQ7" t="s">
        <v>146</v>
      </c>
      <c r="CR7" t="s">
        <v>147</v>
      </c>
      <c r="CS7" t="s">
        <v>143</v>
      </c>
      <c r="CT7" t="s">
        <v>145</v>
      </c>
      <c r="CU7" t="s">
        <v>146</v>
      </c>
      <c r="CV7" t="s">
        <v>147</v>
      </c>
      <c r="CW7" t="s">
        <v>143</v>
      </c>
      <c r="CX7" t="s">
        <v>147</v>
      </c>
      <c r="CY7" t="s">
        <v>143</v>
      </c>
      <c r="CZ7" t="s">
        <v>145</v>
      </c>
      <c r="DA7" t="s">
        <v>146</v>
      </c>
      <c r="DB7" t="s">
        <v>147</v>
      </c>
      <c r="DC7" t="s">
        <v>143</v>
      </c>
      <c r="DD7" t="s">
        <v>144</v>
      </c>
      <c r="DE7" t="s">
        <v>143</v>
      </c>
      <c r="DF7" t="s">
        <v>147</v>
      </c>
      <c r="DG7" t="s">
        <v>143</v>
      </c>
      <c r="DH7" t="s">
        <v>145</v>
      </c>
      <c r="DI7" t="s">
        <v>146</v>
      </c>
      <c r="DJ7" t="s">
        <v>147</v>
      </c>
      <c r="DK7" t="s">
        <v>143</v>
      </c>
      <c r="DL7" t="s">
        <v>145</v>
      </c>
      <c r="DM7" t="s">
        <v>143</v>
      </c>
      <c r="DN7" t="s">
        <v>145</v>
      </c>
      <c r="DO7" t="s">
        <v>143</v>
      </c>
      <c r="DP7" t="s">
        <v>147</v>
      </c>
      <c r="DQ7" t="s">
        <v>146</v>
      </c>
      <c r="DR7" t="s">
        <v>147</v>
      </c>
      <c r="DS7" t="s">
        <v>146</v>
      </c>
      <c r="DT7" t="s">
        <v>147</v>
      </c>
      <c r="DU7" t="s">
        <v>146</v>
      </c>
      <c r="DV7" t="s">
        <v>147</v>
      </c>
      <c r="DW7" t="s">
        <v>146</v>
      </c>
      <c r="DX7" t="s">
        <v>147</v>
      </c>
      <c r="DY7" t="s">
        <v>146</v>
      </c>
      <c r="DZ7" t="s">
        <v>147</v>
      </c>
      <c r="EA7" t="s">
        <v>143</v>
      </c>
      <c r="EB7" t="s">
        <v>147</v>
      </c>
      <c r="EC7" t="s">
        <v>146</v>
      </c>
      <c r="ED7" t="s">
        <v>147</v>
      </c>
      <c r="EE7" t="s">
        <v>143</v>
      </c>
      <c r="EF7" t="s">
        <v>147</v>
      </c>
      <c r="EG7" t="s">
        <v>143</v>
      </c>
      <c r="EH7" t="s">
        <v>145</v>
      </c>
      <c r="EI7" t="s">
        <v>143</v>
      </c>
      <c r="EJ7" t="s">
        <v>145</v>
      </c>
      <c r="EK7" t="s">
        <v>143</v>
      </c>
      <c r="EL7" t="s">
        <v>147</v>
      </c>
      <c r="EM7" t="s">
        <v>143</v>
      </c>
      <c r="EN7" t="s">
        <v>145</v>
      </c>
      <c r="EO7" t="s">
        <v>146</v>
      </c>
      <c r="EP7" t="s">
        <v>147</v>
      </c>
      <c r="EQ7" t="s">
        <v>146</v>
      </c>
      <c r="ER7" t="s">
        <v>147</v>
      </c>
      <c r="ES7" t="s">
        <v>143</v>
      </c>
      <c r="ET7" t="s">
        <v>147</v>
      </c>
      <c r="EU7" t="s">
        <v>146</v>
      </c>
      <c r="EV7" t="s">
        <v>147</v>
      </c>
      <c r="EW7" t="s">
        <v>143</v>
      </c>
      <c r="EX7" t="s">
        <v>144</v>
      </c>
      <c r="EY7" t="s">
        <v>143</v>
      </c>
      <c r="EZ7" t="s">
        <v>145</v>
      </c>
    </row>
    <row r="8" spans="1:156" x14ac:dyDescent="0.2">
      <c r="A8">
        <v>9</v>
      </c>
      <c r="B8" t="s">
        <v>251</v>
      </c>
      <c r="C8" s="7" t="s">
        <v>193</v>
      </c>
      <c r="D8" t="s">
        <v>188</v>
      </c>
      <c r="E8" s="1">
        <v>43950</v>
      </c>
      <c r="F8" t="s">
        <v>143</v>
      </c>
      <c r="G8" t="s">
        <v>144</v>
      </c>
      <c r="H8" t="s">
        <v>143</v>
      </c>
      <c r="I8" t="s">
        <v>144</v>
      </c>
      <c r="J8" t="s">
        <v>143</v>
      </c>
      <c r="K8" t="s">
        <v>144</v>
      </c>
      <c r="L8" t="s">
        <v>143</v>
      </c>
      <c r="M8" t="s">
        <v>144</v>
      </c>
      <c r="N8" t="s">
        <v>143</v>
      </c>
      <c r="O8" t="s">
        <v>144</v>
      </c>
      <c r="P8" t="s">
        <v>143</v>
      </c>
      <c r="Q8" t="s">
        <v>147</v>
      </c>
      <c r="R8" t="s">
        <v>143</v>
      </c>
      <c r="S8" t="s">
        <v>144</v>
      </c>
      <c r="T8" t="s">
        <v>146</v>
      </c>
      <c r="U8" t="s">
        <v>147</v>
      </c>
      <c r="V8" t="s">
        <v>143</v>
      </c>
      <c r="W8" t="s">
        <v>144</v>
      </c>
      <c r="X8" t="s">
        <v>143</v>
      </c>
      <c r="Y8" t="s">
        <v>144</v>
      </c>
      <c r="Z8" t="s">
        <v>143</v>
      </c>
      <c r="AA8" t="s">
        <v>144</v>
      </c>
      <c r="AB8" t="s">
        <v>146</v>
      </c>
      <c r="AC8" t="s">
        <v>147</v>
      </c>
      <c r="AD8" t="s">
        <v>146</v>
      </c>
      <c r="AE8" t="s">
        <v>145</v>
      </c>
      <c r="AF8" t="s">
        <v>143</v>
      </c>
      <c r="AG8" t="s">
        <v>144</v>
      </c>
      <c r="AP8" t="s">
        <v>143</v>
      </c>
      <c r="AQ8" t="s">
        <v>145</v>
      </c>
      <c r="AR8" t="s">
        <v>146</v>
      </c>
      <c r="AS8" t="s">
        <v>147</v>
      </c>
      <c r="AT8" t="s">
        <v>143</v>
      </c>
      <c r="AU8" t="s">
        <v>144</v>
      </c>
      <c r="AW8" t="s">
        <v>143</v>
      </c>
      <c r="AX8" t="s">
        <v>144</v>
      </c>
      <c r="AY8" t="s">
        <v>143</v>
      </c>
      <c r="AZ8" t="s">
        <v>144</v>
      </c>
      <c r="BA8" t="s">
        <v>143</v>
      </c>
      <c r="BB8" t="s">
        <v>144</v>
      </c>
      <c r="BC8" t="s">
        <v>146</v>
      </c>
      <c r="BD8" t="s">
        <v>147</v>
      </c>
      <c r="BE8" t="s">
        <v>146</v>
      </c>
      <c r="BF8" t="s">
        <v>147</v>
      </c>
      <c r="BG8" t="s">
        <v>143</v>
      </c>
      <c r="BH8" t="s">
        <v>144</v>
      </c>
      <c r="BI8" t="s">
        <v>143</v>
      </c>
      <c r="BJ8" t="s">
        <v>147</v>
      </c>
      <c r="BK8" t="s">
        <v>143</v>
      </c>
      <c r="BL8" t="s">
        <v>147</v>
      </c>
      <c r="BM8" t="s">
        <v>146</v>
      </c>
      <c r="BN8" t="s">
        <v>147</v>
      </c>
      <c r="BO8" t="s">
        <v>143</v>
      </c>
      <c r="BP8" t="s">
        <v>144</v>
      </c>
      <c r="BQ8" t="s">
        <v>146</v>
      </c>
      <c r="BR8" t="s">
        <v>147</v>
      </c>
      <c r="BS8" t="s">
        <v>146</v>
      </c>
      <c r="BT8" t="s">
        <v>145</v>
      </c>
      <c r="BU8" t="s">
        <v>146</v>
      </c>
      <c r="BV8" t="s">
        <v>147</v>
      </c>
      <c r="BW8" t="s">
        <v>143</v>
      </c>
      <c r="BX8" t="s">
        <v>144</v>
      </c>
      <c r="BY8" t="s">
        <v>143</v>
      </c>
      <c r="BZ8" t="s">
        <v>144</v>
      </c>
      <c r="CA8" t="s">
        <v>143</v>
      </c>
      <c r="CB8" t="s">
        <v>145</v>
      </c>
      <c r="CC8" t="s">
        <v>143</v>
      </c>
      <c r="CD8" t="s">
        <v>144</v>
      </c>
      <c r="CE8" t="s">
        <v>143</v>
      </c>
      <c r="CF8" t="s">
        <v>145</v>
      </c>
      <c r="CG8" t="s">
        <v>146</v>
      </c>
      <c r="CH8" t="s">
        <v>147</v>
      </c>
      <c r="CI8" t="s">
        <v>143</v>
      </c>
      <c r="CJ8" t="s">
        <v>145</v>
      </c>
      <c r="CK8" t="s">
        <v>143</v>
      </c>
      <c r="CL8" t="s">
        <v>144</v>
      </c>
      <c r="CM8" t="s">
        <v>143</v>
      </c>
      <c r="CN8" t="s">
        <v>145</v>
      </c>
      <c r="CO8" t="s">
        <v>143</v>
      </c>
      <c r="CP8" t="s">
        <v>144</v>
      </c>
      <c r="CQ8" t="s">
        <v>146</v>
      </c>
      <c r="CR8" t="s">
        <v>147</v>
      </c>
      <c r="CS8" t="s">
        <v>146</v>
      </c>
      <c r="CT8" t="s">
        <v>147</v>
      </c>
      <c r="CU8" t="s">
        <v>146</v>
      </c>
      <c r="CV8" t="s">
        <v>147</v>
      </c>
      <c r="CW8" t="s">
        <v>146</v>
      </c>
      <c r="CX8" t="s">
        <v>147</v>
      </c>
      <c r="CY8" t="s">
        <v>143</v>
      </c>
      <c r="CZ8" t="s">
        <v>145</v>
      </c>
      <c r="DA8" t="s">
        <v>143</v>
      </c>
      <c r="DB8" t="s">
        <v>145</v>
      </c>
      <c r="DC8" t="s">
        <v>143</v>
      </c>
      <c r="DD8" t="s">
        <v>144</v>
      </c>
      <c r="DE8" t="s">
        <v>146</v>
      </c>
      <c r="DF8" t="s">
        <v>147</v>
      </c>
      <c r="DG8" t="s">
        <v>143</v>
      </c>
      <c r="DH8" t="s">
        <v>144</v>
      </c>
      <c r="DI8" t="s">
        <v>146</v>
      </c>
      <c r="DJ8" t="s">
        <v>147</v>
      </c>
      <c r="DK8" t="s">
        <v>146</v>
      </c>
      <c r="DL8" t="s">
        <v>147</v>
      </c>
      <c r="DM8" t="s">
        <v>143</v>
      </c>
      <c r="DN8" t="s">
        <v>145</v>
      </c>
      <c r="DO8" t="s">
        <v>143</v>
      </c>
      <c r="DP8" t="s">
        <v>147</v>
      </c>
      <c r="DQ8" t="s">
        <v>146</v>
      </c>
      <c r="DR8" t="s">
        <v>147</v>
      </c>
      <c r="DS8" t="s">
        <v>146</v>
      </c>
      <c r="DT8" t="s">
        <v>147</v>
      </c>
      <c r="DU8" t="s">
        <v>146</v>
      </c>
      <c r="DV8" t="s">
        <v>147</v>
      </c>
      <c r="DW8" t="s">
        <v>146</v>
      </c>
      <c r="DX8" t="s">
        <v>147</v>
      </c>
      <c r="DY8" t="s">
        <v>146</v>
      </c>
      <c r="DZ8" t="s">
        <v>147</v>
      </c>
      <c r="EA8" t="s">
        <v>143</v>
      </c>
      <c r="EB8" t="s">
        <v>147</v>
      </c>
      <c r="EC8" t="s">
        <v>146</v>
      </c>
      <c r="ED8" t="s">
        <v>147</v>
      </c>
      <c r="EE8" t="s">
        <v>143</v>
      </c>
      <c r="EF8" t="s">
        <v>147</v>
      </c>
      <c r="EG8" t="s">
        <v>143</v>
      </c>
      <c r="EH8" t="s">
        <v>145</v>
      </c>
      <c r="EI8" t="s">
        <v>143</v>
      </c>
      <c r="EJ8" t="s">
        <v>145</v>
      </c>
      <c r="EK8" t="s">
        <v>143</v>
      </c>
      <c r="EL8" t="s">
        <v>145</v>
      </c>
      <c r="EM8" t="s">
        <v>143</v>
      </c>
      <c r="EN8" t="s">
        <v>147</v>
      </c>
      <c r="EO8" t="s">
        <v>146</v>
      </c>
      <c r="EP8" t="s">
        <v>147</v>
      </c>
      <c r="EQ8" t="s">
        <v>146</v>
      </c>
      <c r="ER8" t="s">
        <v>147</v>
      </c>
      <c r="ES8" t="s">
        <v>143</v>
      </c>
      <c r="ET8" t="s">
        <v>147</v>
      </c>
      <c r="EU8" t="s">
        <v>143</v>
      </c>
      <c r="EV8" t="s">
        <v>147</v>
      </c>
      <c r="EW8" t="s">
        <v>143</v>
      </c>
      <c r="EX8" t="s">
        <v>144</v>
      </c>
      <c r="EY8" t="s">
        <v>143</v>
      </c>
      <c r="EZ8" t="s">
        <v>145</v>
      </c>
    </row>
    <row r="9" spans="1:156" x14ac:dyDescent="0.2">
      <c r="A9">
        <v>19</v>
      </c>
      <c r="B9" t="s">
        <v>252</v>
      </c>
      <c r="C9" s="4" t="s">
        <v>193</v>
      </c>
      <c r="D9" t="s">
        <v>188</v>
      </c>
      <c r="E9" s="1">
        <v>43950</v>
      </c>
      <c r="F9" t="s">
        <v>143</v>
      </c>
      <c r="G9" t="s">
        <v>144</v>
      </c>
      <c r="H9" t="s">
        <v>143</v>
      </c>
      <c r="I9" t="s">
        <v>144</v>
      </c>
      <c r="J9" t="s">
        <v>143</v>
      </c>
      <c r="K9" t="s">
        <v>144</v>
      </c>
      <c r="L9" t="s">
        <v>143</v>
      </c>
      <c r="M9" t="s">
        <v>144</v>
      </c>
      <c r="N9" t="s">
        <v>143</v>
      </c>
      <c r="O9" t="s">
        <v>144</v>
      </c>
      <c r="P9" t="s">
        <v>143</v>
      </c>
      <c r="Q9" t="s">
        <v>147</v>
      </c>
      <c r="R9" t="s">
        <v>143</v>
      </c>
      <c r="S9" t="s">
        <v>144</v>
      </c>
      <c r="T9" t="s">
        <v>146</v>
      </c>
      <c r="U9" t="s">
        <v>147</v>
      </c>
      <c r="V9" t="s">
        <v>146</v>
      </c>
      <c r="W9" t="s">
        <v>147</v>
      </c>
      <c r="X9" t="s">
        <v>146</v>
      </c>
      <c r="Y9" t="s">
        <v>147</v>
      </c>
      <c r="Z9" t="s">
        <v>146</v>
      </c>
      <c r="AA9" t="s">
        <v>147</v>
      </c>
      <c r="AB9" t="s">
        <v>146</v>
      </c>
      <c r="AC9" t="s">
        <v>147</v>
      </c>
      <c r="AD9" t="s">
        <v>143</v>
      </c>
      <c r="AE9" t="s">
        <v>145</v>
      </c>
      <c r="AF9" t="s">
        <v>143</v>
      </c>
      <c r="AG9" t="s">
        <v>144</v>
      </c>
      <c r="AP9" t="s">
        <v>143</v>
      </c>
      <c r="AQ9" t="s">
        <v>145</v>
      </c>
      <c r="AR9" t="s">
        <v>146</v>
      </c>
      <c r="AS9" t="s">
        <v>147</v>
      </c>
      <c r="AT9" t="s">
        <v>146</v>
      </c>
      <c r="AU9" t="s">
        <v>145</v>
      </c>
      <c r="AW9" t="s">
        <v>146</v>
      </c>
      <c r="AX9" t="s">
        <v>145</v>
      </c>
      <c r="AY9" t="s">
        <v>143</v>
      </c>
      <c r="AZ9" t="s">
        <v>144</v>
      </c>
      <c r="BA9" t="s">
        <v>143</v>
      </c>
      <c r="BB9" t="s">
        <v>144</v>
      </c>
      <c r="BC9" t="s">
        <v>146</v>
      </c>
      <c r="BD9" t="s">
        <v>147</v>
      </c>
      <c r="BE9" t="s">
        <v>146</v>
      </c>
      <c r="BF9" t="s">
        <v>147</v>
      </c>
      <c r="BG9" t="s">
        <v>143</v>
      </c>
      <c r="BH9" t="s">
        <v>144</v>
      </c>
      <c r="BI9" t="s">
        <v>143</v>
      </c>
      <c r="BJ9" t="s">
        <v>147</v>
      </c>
      <c r="BK9" t="s">
        <v>143</v>
      </c>
      <c r="BL9" t="s">
        <v>147</v>
      </c>
      <c r="BM9" t="s">
        <v>146</v>
      </c>
      <c r="BN9" t="s">
        <v>147</v>
      </c>
      <c r="BO9" t="s">
        <v>143</v>
      </c>
      <c r="BP9" t="s">
        <v>144</v>
      </c>
      <c r="BQ9" t="s">
        <v>146</v>
      </c>
      <c r="BR9" t="s">
        <v>147</v>
      </c>
      <c r="BS9" t="s">
        <v>143</v>
      </c>
      <c r="BT9" t="s">
        <v>145</v>
      </c>
      <c r="BU9" t="s">
        <v>146</v>
      </c>
      <c r="BV9" t="s">
        <v>147</v>
      </c>
      <c r="BW9" t="s">
        <v>143</v>
      </c>
      <c r="BX9" t="s">
        <v>144</v>
      </c>
      <c r="BY9" t="s">
        <v>143</v>
      </c>
      <c r="BZ9" t="s">
        <v>144</v>
      </c>
      <c r="CA9" t="s">
        <v>143</v>
      </c>
      <c r="CB9" t="s">
        <v>144</v>
      </c>
      <c r="CC9" t="s">
        <v>143</v>
      </c>
      <c r="CD9" t="s">
        <v>144</v>
      </c>
      <c r="CE9" t="s">
        <v>143</v>
      </c>
      <c r="CF9" t="s">
        <v>145</v>
      </c>
      <c r="CG9" t="s">
        <v>146</v>
      </c>
      <c r="CH9" t="s">
        <v>147</v>
      </c>
      <c r="CI9" t="s">
        <v>143</v>
      </c>
      <c r="CJ9" t="s">
        <v>145</v>
      </c>
      <c r="CK9" t="s">
        <v>143</v>
      </c>
      <c r="CL9" t="s">
        <v>144</v>
      </c>
      <c r="CM9" t="s">
        <v>143</v>
      </c>
      <c r="CN9" t="s">
        <v>145</v>
      </c>
      <c r="CO9" t="s">
        <v>143</v>
      </c>
      <c r="CP9" t="s">
        <v>144</v>
      </c>
      <c r="CQ9" t="s">
        <v>143</v>
      </c>
      <c r="CR9" t="s">
        <v>145</v>
      </c>
      <c r="CS9" t="s">
        <v>143</v>
      </c>
      <c r="CT9" t="s">
        <v>147</v>
      </c>
      <c r="CU9" t="s">
        <v>146</v>
      </c>
      <c r="CV9" t="s">
        <v>147</v>
      </c>
      <c r="CW9" t="s">
        <v>146</v>
      </c>
      <c r="CX9" t="s">
        <v>147</v>
      </c>
      <c r="CY9" t="s">
        <v>143</v>
      </c>
      <c r="CZ9" t="s">
        <v>145</v>
      </c>
      <c r="DA9" t="s">
        <v>143</v>
      </c>
      <c r="DB9" t="s">
        <v>144</v>
      </c>
      <c r="DC9" t="s">
        <v>143</v>
      </c>
      <c r="DD9" t="s">
        <v>144</v>
      </c>
      <c r="DE9" t="s">
        <v>143</v>
      </c>
      <c r="DF9" t="s">
        <v>147</v>
      </c>
      <c r="DG9" t="s">
        <v>143</v>
      </c>
      <c r="DH9" t="s">
        <v>144</v>
      </c>
      <c r="DI9" t="s">
        <v>143</v>
      </c>
      <c r="DJ9" t="s">
        <v>144</v>
      </c>
      <c r="DK9" t="s">
        <v>143</v>
      </c>
      <c r="DL9" t="s">
        <v>145</v>
      </c>
      <c r="DM9" t="s">
        <v>143</v>
      </c>
      <c r="DN9" t="s">
        <v>147</v>
      </c>
      <c r="DO9" t="s">
        <v>143</v>
      </c>
      <c r="DP9" t="s">
        <v>147</v>
      </c>
      <c r="DQ9" t="s">
        <v>146</v>
      </c>
      <c r="DR9" t="s">
        <v>147</v>
      </c>
      <c r="DS9" t="s">
        <v>146</v>
      </c>
      <c r="DT9" t="s">
        <v>147</v>
      </c>
      <c r="DU9" t="s">
        <v>146</v>
      </c>
      <c r="DV9" t="s">
        <v>147</v>
      </c>
      <c r="DW9" t="s">
        <v>146</v>
      </c>
      <c r="DX9" t="s">
        <v>147</v>
      </c>
      <c r="DY9" t="s">
        <v>146</v>
      </c>
      <c r="DZ9" t="s">
        <v>147</v>
      </c>
      <c r="EA9" t="s">
        <v>143</v>
      </c>
      <c r="EB9" t="s">
        <v>147</v>
      </c>
      <c r="EC9" t="s">
        <v>146</v>
      </c>
      <c r="ED9" t="s">
        <v>147</v>
      </c>
      <c r="EE9" t="s">
        <v>143</v>
      </c>
      <c r="EF9" t="s">
        <v>147</v>
      </c>
      <c r="EG9" t="s">
        <v>143</v>
      </c>
      <c r="EH9" t="s">
        <v>147</v>
      </c>
      <c r="EI9" t="s">
        <v>143</v>
      </c>
      <c r="EJ9" t="s">
        <v>147</v>
      </c>
      <c r="EK9" t="s">
        <v>143</v>
      </c>
      <c r="EL9" t="s">
        <v>147</v>
      </c>
      <c r="EM9" t="s">
        <v>143</v>
      </c>
      <c r="EN9" t="s">
        <v>147</v>
      </c>
      <c r="EO9" t="s">
        <v>146</v>
      </c>
      <c r="EP9" t="s">
        <v>145</v>
      </c>
      <c r="EQ9" t="s">
        <v>146</v>
      </c>
      <c r="ER9" t="s">
        <v>147</v>
      </c>
      <c r="ES9" t="s">
        <v>143</v>
      </c>
      <c r="ET9" t="s">
        <v>147</v>
      </c>
      <c r="EU9" t="s">
        <v>143</v>
      </c>
      <c r="EV9" t="s">
        <v>147</v>
      </c>
      <c r="EW9" t="s">
        <v>143</v>
      </c>
      <c r="EX9" t="s">
        <v>144</v>
      </c>
      <c r="EY9" t="s">
        <v>143</v>
      </c>
      <c r="EZ9" t="s">
        <v>145</v>
      </c>
    </row>
    <row r="10" spans="1:156" x14ac:dyDescent="0.2">
      <c r="A10">
        <v>21</v>
      </c>
      <c r="B10" t="s">
        <v>253</v>
      </c>
      <c r="C10" s="4" t="s">
        <v>193</v>
      </c>
      <c r="D10" t="s">
        <v>188</v>
      </c>
      <c r="E10" s="1">
        <v>43950</v>
      </c>
      <c r="F10" t="s">
        <v>143</v>
      </c>
      <c r="G10" t="s">
        <v>144</v>
      </c>
      <c r="H10" t="s">
        <v>143</v>
      </c>
      <c r="I10" t="s">
        <v>144</v>
      </c>
      <c r="J10" t="s">
        <v>143</v>
      </c>
      <c r="K10" t="s">
        <v>144</v>
      </c>
      <c r="L10" t="s">
        <v>143</v>
      </c>
      <c r="M10" t="s">
        <v>144</v>
      </c>
      <c r="N10" t="s">
        <v>143</v>
      </c>
      <c r="O10" t="s">
        <v>144</v>
      </c>
      <c r="P10" t="s">
        <v>143</v>
      </c>
      <c r="Q10" t="s">
        <v>147</v>
      </c>
      <c r="R10" t="s">
        <v>143</v>
      </c>
      <c r="S10" t="s">
        <v>144</v>
      </c>
      <c r="T10" t="s">
        <v>143</v>
      </c>
      <c r="U10" t="s">
        <v>144</v>
      </c>
      <c r="V10" t="s">
        <v>143</v>
      </c>
      <c r="W10" t="s">
        <v>144</v>
      </c>
      <c r="X10" t="s">
        <v>143</v>
      </c>
      <c r="Y10" t="s">
        <v>144</v>
      </c>
      <c r="Z10" t="s">
        <v>143</v>
      </c>
      <c r="AA10" t="s">
        <v>144</v>
      </c>
      <c r="AB10" t="s">
        <v>143</v>
      </c>
      <c r="AC10" t="s">
        <v>144</v>
      </c>
      <c r="AD10" t="s">
        <v>146</v>
      </c>
      <c r="AE10" t="s">
        <v>147</v>
      </c>
      <c r="AF10" t="s">
        <v>143</v>
      </c>
      <c r="AG10" t="s">
        <v>144</v>
      </c>
      <c r="AP10" t="s">
        <v>143</v>
      </c>
      <c r="AQ10" t="s">
        <v>144</v>
      </c>
      <c r="AR10" t="s">
        <v>143</v>
      </c>
      <c r="AS10" t="s">
        <v>145</v>
      </c>
      <c r="AT10" t="s">
        <v>143</v>
      </c>
      <c r="AU10" t="s">
        <v>145</v>
      </c>
      <c r="AW10" t="s">
        <v>143</v>
      </c>
      <c r="AX10" t="s">
        <v>145</v>
      </c>
      <c r="AY10" t="s">
        <v>143</v>
      </c>
      <c r="AZ10" t="s">
        <v>144</v>
      </c>
      <c r="BA10" t="s">
        <v>143</v>
      </c>
      <c r="BB10" t="s">
        <v>144</v>
      </c>
      <c r="BC10" t="s">
        <v>146</v>
      </c>
      <c r="BD10" t="s">
        <v>147</v>
      </c>
      <c r="BE10" t="s">
        <v>146</v>
      </c>
      <c r="BF10" t="s">
        <v>147</v>
      </c>
      <c r="BG10" t="s">
        <v>143</v>
      </c>
      <c r="BH10" t="s">
        <v>144</v>
      </c>
      <c r="BI10" t="s">
        <v>143</v>
      </c>
      <c r="BJ10" t="s">
        <v>147</v>
      </c>
      <c r="BK10" t="s">
        <v>143</v>
      </c>
      <c r="BL10" t="s">
        <v>147</v>
      </c>
      <c r="BM10" t="s">
        <v>146</v>
      </c>
      <c r="BN10" t="s">
        <v>147</v>
      </c>
      <c r="BO10" t="s">
        <v>143</v>
      </c>
      <c r="BP10" t="s">
        <v>144</v>
      </c>
      <c r="BQ10" t="s">
        <v>146</v>
      </c>
      <c r="BR10" t="s">
        <v>147</v>
      </c>
      <c r="BS10" t="s">
        <v>143</v>
      </c>
      <c r="BT10" t="s">
        <v>145</v>
      </c>
      <c r="BU10" t="s">
        <v>146</v>
      </c>
      <c r="BV10" t="s">
        <v>147</v>
      </c>
      <c r="BW10" t="s">
        <v>143</v>
      </c>
      <c r="BX10" t="s">
        <v>144</v>
      </c>
      <c r="BY10" t="s">
        <v>143</v>
      </c>
      <c r="BZ10" t="s">
        <v>144</v>
      </c>
      <c r="CA10" t="s">
        <v>143</v>
      </c>
      <c r="CB10" t="s">
        <v>144</v>
      </c>
      <c r="CC10" t="s">
        <v>143</v>
      </c>
      <c r="CD10" t="s">
        <v>144</v>
      </c>
      <c r="CE10" t="s">
        <v>143</v>
      </c>
      <c r="CF10" t="s">
        <v>144</v>
      </c>
      <c r="CG10" t="s">
        <v>146</v>
      </c>
      <c r="CH10" t="s">
        <v>145</v>
      </c>
      <c r="CI10" t="s">
        <v>143</v>
      </c>
      <c r="CJ10" t="s">
        <v>145</v>
      </c>
      <c r="CK10" t="s">
        <v>143</v>
      </c>
      <c r="CL10" t="s">
        <v>144</v>
      </c>
      <c r="CM10" t="s">
        <v>143</v>
      </c>
      <c r="CN10" t="s">
        <v>145</v>
      </c>
      <c r="CO10" t="s">
        <v>143</v>
      </c>
      <c r="CP10" t="s">
        <v>144</v>
      </c>
      <c r="CQ10" t="s">
        <v>146</v>
      </c>
      <c r="CR10" t="s">
        <v>147</v>
      </c>
      <c r="CS10" t="s">
        <v>143</v>
      </c>
      <c r="CT10" t="s">
        <v>145</v>
      </c>
      <c r="CU10" t="s">
        <v>146</v>
      </c>
      <c r="CV10" t="s">
        <v>147</v>
      </c>
      <c r="CW10" t="s">
        <v>143</v>
      </c>
      <c r="CX10" t="s">
        <v>147</v>
      </c>
      <c r="CY10" t="s">
        <v>143</v>
      </c>
      <c r="CZ10" t="s">
        <v>145</v>
      </c>
      <c r="DA10" t="s">
        <v>146</v>
      </c>
      <c r="DB10" t="s">
        <v>147</v>
      </c>
      <c r="DC10" t="s">
        <v>143</v>
      </c>
      <c r="DD10" t="s">
        <v>144</v>
      </c>
      <c r="DE10" t="s">
        <v>146</v>
      </c>
      <c r="DF10" t="s">
        <v>147</v>
      </c>
      <c r="DG10" t="s">
        <v>143</v>
      </c>
      <c r="DH10" t="s">
        <v>144</v>
      </c>
      <c r="DI10" t="s">
        <v>143</v>
      </c>
      <c r="DJ10" t="s">
        <v>144</v>
      </c>
      <c r="DK10" t="s">
        <v>146</v>
      </c>
      <c r="DL10" t="s">
        <v>145</v>
      </c>
      <c r="DM10" t="s">
        <v>143</v>
      </c>
      <c r="DN10" t="s">
        <v>145</v>
      </c>
      <c r="DO10" t="s">
        <v>143</v>
      </c>
      <c r="DP10" t="s">
        <v>147</v>
      </c>
      <c r="DQ10" t="s">
        <v>146</v>
      </c>
      <c r="DR10" t="s">
        <v>147</v>
      </c>
      <c r="DS10" t="s">
        <v>146</v>
      </c>
      <c r="DT10" t="s">
        <v>147</v>
      </c>
      <c r="DU10" t="s">
        <v>146</v>
      </c>
      <c r="DV10" t="s">
        <v>147</v>
      </c>
      <c r="DW10" t="s">
        <v>146</v>
      </c>
      <c r="DX10" t="s">
        <v>147</v>
      </c>
      <c r="DY10" t="s">
        <v>146</v>
      </c>
      <c r="DZ10" t="s">
        <v>147</v>
      </c>
      <c r="EA10" t="s">
        <v>143</v>
      </c>
      <c r="EB10" t="s">
        <v>147</v>
      </c>
      <c r="EC10" t="s">
        <v>146</v>
      </c>
      <c r="ED10" t="s">
        <v>147</v>
      </c>
      <c r="EE10" t="s">
        <v>143</v>
      </c>
      <c r="EF10" t="s">
        <v>147</v>
      </c>
      <c r="EG10" t="s">
        <v>143</v>
      </c>
      <c r="EH10" t="s">
        <v>147</v>
      </c>
      <c r="EI10" t="s">
        <v>143</v>
      </c>
      <c r="EJ10" t="s">
        <v>147</v>
      </c>
      <c r="EK10" t="s">
        <v>143</v>
      </c>
      <c r="EL10" t="s">
        <v>147</v>
      </c>
      <c r="EM10" t="s">
        <v>143</v>
      </c>
      <c r="EN10" t="s">
        <v>147</v>
      </c>
      <c r="EO10" t="s">
        <v>146</v>
      </c>
      <c r="EP10" t="s">
        <v>145</v>
      </c>
      <c r="EQ10" t="s">
        <v>146</v>
      </c>
      <c r="ER10" t="s">
        <v>147</v>
      </c>
      <c r="ES10" t="s">
        <v>143</v>
      </c>
      <c r="ET10" t="s">
        <v>147</v>
      </c>
      <c r="EU10" t="s">
        <v>143</v>
      </c>
      <c r="EV10" t="s">
        <v>147</v>
      </c>
      <c r="EW10" t="s">
        <v>143</v>
      </c>
      <c r="EX10" t="s">
        <v>144</v>
      </c>
      <c r="EY10" t="s">
        <v>143</v>
      </c>
      <c r="EZ10" t="s">
        <v>145</v>
      </c>
    </row>
    <row r="11" spans="1:156" x14ac:dyDescent="0.2">
      <c r="A11">
        <v>28</v>
      </c>
      <c r="B11" t="s">
        <v>254</v>
      </c>
      <c r="C11" s="4" t="s">
        <v>193</v>
      </c>
      <c r="D11" t="s">
        <v>188</v>
      </c>
      <c r="E11" s="1">
        <v>43843</v>
      </c>
      <c r="F11" t="s">
        <v>143</v>
      </c>
      <c r="G11" t="s">
        <v>144</v>
      </c>
      <c r="H11" t="s">
        <v>143</v>
      </c>
      <c r="I11" t="s">
        <v>144</v>
      </c>
      <c r="J11" t="s">
        <v>143</v>
      </c>
      <c r="K11" t="s">
        <v>144</v>
      </c>
      <c r="L11" t="s">
        <v>143</v>
      </c>
      <c r="M11" t="s">
        <v>144</v>
      </c>
      <c r="N11" t="s">
        <v>143</v>
      </c>
      <c r="O11" t="s">
        <v>144</v>
      </c>
      <c r="P11" t="s">
        <v>143</v>
      </c>
      <c r="Q11" t="s">
        <v>147</v>
      </c>
      <c r="R11" t="s">
        <v>143</v>
      </c>
      <c r="S11" t="s">
        <v>144</v>
      </c>
      <c r="T11" t="s">
        <v>143</v>
      </c>
      <c r="U11" t="s">
        <v>144</v>
      </c>
      <c r="V11" t="s">
        <v>143</v>
      </c>
      <c r="W11" t="s">
        <v>144</v>
      </c>
      <c r="X11" t="s">
        <v>143</v>
      </c>
      <c r="Y11" t="s">
        <v>144</v>
      </c>
      <c r="Z11" t="s">
        <v>143</v>
      </c>
      <c r="AA11" t="s">
        <v>144</v>
      </c>
      <c r="AB11" t="s">
        <v>143</v>
      </c>
      <c r="AC11" t="s">
        <v>144</v>
      </c>
      <c r="AD11" t="s">
        <v>146</v>
      </c>
      <c r="AE11" t="s">
        <v>147</v>
      </c>
      <c r="AF11" t="s">
        <v>143</v>
      </c>
      <c r="AG11" t="s">
        <v>144</v>
      </c>
      <c r="AP11" t="s">
        <v>143</v>
      </c>
      <c r="AQ11" t="s">
        <v>144</v>
      </c>
      <c r="AR11" t="s">
        <v>143</v>
      </c>
      <c r="AS11" t="s">
        <v>145</v>
      </c>
      <c r="AT11" t="s">
        <v>143</v>
      </c>
      <c r="AU11" t="s">
        <v>145</v>
      </c>
      <c r="AW11" t="s">
        <v>143</v>
      </c>
      <c r="AX11" t="s">
        <v>145</v>
      </c>
      <c r="AY11" t="s">
        <v>143</v>
      </c>
      <c r="AZ11" t="s">
        <v>144</v>
      </c>
      <c r="BA11" t="s">
        <v>143</v>
      </c>
      <c r="BB11" t="s">
        <v>144</v>
      </c>
      <c r="BC11" t="s">
        <v>146</v>
      </c>
      <c r="BD11" t="s">
        <v>147</v>
      </c>
      <c r="BE11" t="s">
        <v>146</v>
      </c>
      <c r="BF11" t="s">
        <v>147</v>
      </c>
      <c r="BG11" t="s">
        <v>143</v>
      </c>
      <c r="BH11" t="s">
        <v>144</v>
      </c>
      <c r="BI11" t="s">
        <v>143</v>
      </c>
      <c r="BJ11" t="s">
        <v>147</v>
      </c>
      <c r="BK11" t="s">
        <v>143</v>
      </c>
      <c r="BL11" t="s">
        <v>147</v>
      </c>
      <c r="BM11" t="s">
        <v>146</v>
      </c>
      <c r="BN11" t="s">
        <v>147</v>
      </c>
      <c r="BO11" t="s">
        <v>143</v>
      </c>
      <c r="BP11" t="s">
        <v>144</v>
      </c>
      <c r="BQ11" t="s">
        <v>146</v>
      </c>
      <c r="BR11" t="s">
        <v>147</v>
      </c>
      <c r="BS11" t="s">
        <v>143</v>
      </c>
      <c r="BT11" t="s">
        <v>145</v>
      </c>
      <c r="BU11" t="s">
        <v>146</v>
      </c>
      <c r="BV11" t="s">
        <v>147</v>
      </c>
      <c r="BW11" t="s">
        <v>143</v>
      </c>
      <c r="BX11" t="s">
        <v>144</v>
      </c>
      <c r="BY11" t="s">
        <v>143</v>
      </c>
      <c r="BZ11" t="s">
        <v>144</v>
      </c>
      <c r="CA11" t="s">
        <v>143</v>
      </c>
      <c r="CB11" t="s">
        <v>144</v>
      </c>
      <c r="CC11" t="s">
        <v>143</v>
      </c>
      <c r="CD11" t="s">
        <v>144</v>
      </c>
      <c r="CE11" t="s">
        <v>143</v>
      </c>
      <c r="CF11" t="s">
        <v>144</v>
      </c>
      <c r="CG11" t="s">
        <v>146</v>
      </c>
      <c r="CH11" t="s">
        <v>145</v>
      </c>
      <c r="CI11" t="s">
        <v>143</v>
      </c>
      <c r="CJ11" t="s">
        <v>145</v>
      </c>
      <c r="CK11" t="s">
        <v>143</v>
      </c>
      <c r="CL11" t="s">
        <v>144</v>
      </c>
      <c r="CM11" t="s">
        <v>143</v>
      </c>
      <c r="CN11" t="s">
        <v>145</v>
      </c>
      <c r="CO11" t="s">
        <v>143</v>
      </c>
      <c r="CP11" t="s">
        <v>144</v>
      </c>
      <c r="CQ11" t="s">
        <v>146</v>
      </c>
      <c r="CR11" t="s">
        <v>147</v>
      </c>
      <c r="CS11" t="s">
        <v>143</v>
      </c>
      <c r="CT11" t="s">
        <v>145</v>
      </c>
      <c r="CU11" t="s">
        <v>146</v>
      </c>
      <c r="CV11" t="s">
        <v>147</v>
      </c>
      <c r="CW11" t="s">
        <v>143</v>
      </c>
      <c r="CX11" t="s">
        <v>147</v>
      </c>
      <c r="CY11" t="s">
        <v>143</v>
      </c>
      <c r="CZ11" t="s">
        <v>145</v>
      </c>
      <c r="DA11" t="s">
        <v>146</v>
      </c>
      <c r="DB11" t="s">
        <v>147</v>
      </c>
      <c r="DC11" t="s">
        <v>143</v>
      </c>
      <c r="DD11" t="s">
        <v>144</v>
      </c>
      <c r="DE11" t="s">
        <v>146</v>
      </c>
      <c r="DF11" t="s">
        <v>147</v>
      </c>
      <c r="DG11" t="s">
        <v>143</v>
      </c>
      <c r="DH11" t="s">
        <v>144</v>
      </c>
      <c r="DI11" t="s">
        <v>143</v>
      </c>
      <c r="DJ11" t="s">
        <v>144</v>
      </c>
      <c r="DK11" t="s">
        <v>146</v>
      </c>
      <c r="DL11" t="s">
        <v>145</v>
      </c>
      <c r="DM11" t="s">
        <v>143</v>
      </c>
      <c r="DN11" t="s">
        <v>145</v>
      </c>
      <c r="DO11" t="s">
        <v>143</v>
      </c>
      <c r="DP11" t="s">
        <v>147</v>
      </c>
      <c r="DQ11" t="s">
        <v>146</v>
      </c>
      <c r="DR11" t="s">
        <v>147</v>
      </c>
      <c r="DS11" t="s">
        <v>146</v>
      </c>
      <c r="DT11" t="s">
        <v>147</v>
      </c>
      <c r="DU11" t="s">
        <v>146</v>
      </c>
      <c r="DV11" t="s">
        <v>147</v>
      </c>
      <c r="DW11" t="s">
        <v>146</v>
      </c>
      <c r="DX11" t="s">
        <v>147</v>
      </c>
      <c r="DY11" t="s">
        <v>146</v>
      </c>
      <c r="DZ11" t="s">
        <v>147</v>
      </c>
      <c r="EA11" t="s">
        <v>143</v>
      </c>
      <c r="EB11" t="s">
        <v>147</v>
      </c>
      <c r="EC11" t="s">
        <v>146</v>
      </c>
      <c r="ED11" t="s">
        <v>147</v>
      </c>
      <c r="EE11" t="s">
        <v>143</v>
      </c>
      <c r="EF11" t="s">
        <v>147</v>
      </c>
      <c r="EG11" t="s">
        <v>143</v>
      </c>
      <c r="EH11" t="s">
        <v>147</v>
      </c>
      <c r="EI11" t="s">
        <v>143</v>
      </c>
      <c r="EJ11" t="s">
        <v>147</v>
      </c>
      <c r="EK11" t="s">
        <v>143</v>
      </c>
      <c r="EL11" t="s">
        <v>147</v>
      </c>
      <c r="EM11" t="s">
        <v>143</v>
      </c>
      <c r="EN11" t="s">
        <v>147</v>
      </c>
      <c r="EO11" t="s">
        <v>146</v>
      </c>
      <c r="EP11" t="s">
        <v>145</v>
      </c>
      <c r="EQ11" t="s">
        <v>146</v>
      </c>
      <c r="ER11" t="s">
        <v>147</v>
      </c>
      <c r="ES11" t="s">
        <v>143</v>
      </c>
      <c r="ET11" t="s">
        <v>147</v>
      </c>
      <c r="EU11" t="s">
        <v>143</v>
      </c>
      <c r="EV11" t="s">
        <v>147</v>
      </c>
      <c r="EW11" t="s">
        <v>143</v>
      </c>
      <c r="EX11" t="s">
        <v>144</v>
      </c>
      <c r="EY11" t="s">
        <v>143</v>
      </c>
      <c r="EZ11" t="s">
        <v>145</v>
      </c>
    </row>
    <row r="12" spans="1:156" x14ac:dyDescent="0.2">
      <c r="A12">
        <v>11</v>
      </c>
      <c r="B12" t="s">
        <v>255</v>
      </c>
      <c r="C12" s="4" t="s">
        <v>194</v>
      </c>
      <c r="D12" t="s">
        <v>188</v>
      </c>
      <c r="E12" s="1">
        <v>43551</v>
      </c>
      <c r="F12" t="s">
        <v>143</v>
      </c>
      <c r="G12" t="s">
        <v>144</v>
      </c>
      <c r="H12" t="s">
        <v>143</v>
      </c>
      <c r="I12" t="s">
        <v>147</v>
      </c>
      <c r="J12" t="s">
        <v>146</v>
      </c>
      <c r="K12" t="s">
        <v>147</v>
      </c>
      <c r="L12" t="s">
        <v>143</v>
      </c>
      <c r="M12" t="s">
        <v>144</v>
      </c>
      <c r="N12" t="s">
        <v>143</v>
      </c>
      <c r="O12" t="s">
        <v>144</v>
      </c>
      <c r="P12" t="s">
        <v>143</v>
      </c>
      <c r="Q12" t="s">
        <v>144</v>
      </c>
      <c r="R12" t="s">
        <v>143</v>
      </c>
      <c r="S12" t="s">
        <v>144</v>
      </c>
      <c r="T12" t="s">
        <v>143</v>
      </c>
      <c r="U12" t="s">
        <v>144</v>
      </c>
      <c r="V12" t="s">
        <v>143</v>
      </c>
      <c r="W12" t="s">
        <v>144</v>
      </c>
      <c r="X12" t="s">
        <v>143</v>
      </c>
      <c r="Y12" t="s">
        <v>144</v>
      </c>
      <c r="Z12" t="s">
        <v>143</v>
      </c>
      <c r="AA12" t="s">
        <v>144</v>
      </c>
      <c r="AB12" t="s">
        <v>143</v>
      </c>
      <c r="AC12" t="s">
        <v>144</v>
      </c>
      <c r="AD12" t="s">
        <v>143</v>
      </c>
      <c r="AE12" t="s">
        <v>144</v>
      </c>
      <c r="AF12" t="s">
        <v>143</v>
      </c>
      <c r="AG12" t="s">
        <v>144</v>
      </c>
      <c r="AP12" t="s">
        <v>143</v>
      </c>
      <c r="AQ12" t="s">
        <v>145</v>
      </c>
      <c r="AR12" t="s">
        <v>146</v>
      </c>
      <c r="AS12" t="s">
        <v>147</v>
      </c>
      <c r="AT12" t="s">
        <v>143</v>
      </c>
      <c r="AU12" t="s">
        <v>145</v>
      </c>
      <c r="AW12" t="s">
        <v>143</v>
      </c>
      <c r="AX12" t="s">
        <v>147</v>
      </c>
      <c r="AY12" t="s">
        <v>143</v>
      </c>
      <c r="AZ12" t="s">
        <v>144</v>
      </c>
      <c r="BA12" t="s">
        <v>143</v>
      </c>
      <c r="BB12" t="s">
        <v>144</v>
      </c>
      <c r="BC12" t="s">
        <v>143</v>
      </c>
      <c r="BD12" t="s">
        <v>147</v>
      </c>
      <c r="BE12" t="s">
        <v>143</v>
      </c>
      <c r="BF12" t="s">
        <v>145</v>
      </c>
      <c r="BG12" t="s">
        <v>143</v>
      </c>
      <c r="BH12" t="s">
        <v>144</v>
      </c>
      <c r="BI12" t="s">
        <v>143</v>
      </c>
      <c r="BJ12" t="s">
        <v>144</v>
      </c>
      <c r="BK12" t="s">
        <v>143</v>
      </c>
      <c r="BL12" t="s">
        <v>144</v>
      </c>
      <c r="BM12" t="s">
        <v>143</v>
      </c>
      <c r="BN12" t="s">
        <v>144</v>
      </c>
      <c r="BO12" t="s">
        <v>143</v>
      </c>
      <c r="BP12" t="s">
        <v>144</v>
      </c>
      <c r="BQ12" t="s">
        <v>143</v>
      </c>
      <c r="BR12" t="s">
        <v>145</v>
      </c>
      <c r="BS12" t="s">
        <v>143</v>
      </c>
      <c r="BT12" t="s">
        <v>145</v>
      </c>
      <c r="BU12" t="s">
        <v>143</v>
      </c>
      <c r="BV12" t="s">
        <v>145</v>
      </c>
      <c r="BW12" t="s">
        <v>143</v>
      </c>
      <c r="BX12" t="s">
        <v>144</v>
      </c>
      <c r="BY12" t="s">
        <v>143</v>
      </c>
      <c r="BZ12" t="s">
        <v>144</v>
      </c>
      <c r="CA12" t="s">
        <v>143</v>
      </c>
      <c r="CB12" t="s">
        <v>144</v>
      </c>
      <c r="CC12" t="s">
        <v>143</v>
      </c>
      <c r="CD12" t="s">
        <v>144</v>
      </c>
      <c r="CE12" t="s">
        <v>143</v>
      </c>
      <c r="CF12" t="s">
        <v>145</v>
      </c>
      <c r="CG12" t="s">
        <v>143</v>
      </c>
      <c r="CH12" t="s">
        <v>145</v>
      </c>
      <c r="CI12" t="s">
        <v>143</v>
      </c>
      <c r="CJ12" t="s">
        <v>145</v>
      </c>
      <c r="CK12" t="s">
        <v>143</v>
      </c>
      <c r="CL12" t="s">
        <v>144</v>
      </c>
      <c r="CM12" t="s">
        <v>143</v>
      </c>
      <c r="CN12" t="s">
        <v>144</v>
      </c>
      <c r="CO12" t="s">
        <v>143</v>
      </c>
      <c r="CP12" t="s">
        <v>144</v>
      </c>
      <c r="CQ12" t="s">
        <v>143</v>
      </c>
      <c r="CR12" t="s">
        <v>145</v>
      </c>
      <c r="CS12" t="s">
        <v>143</v>
      </c>
      <c r="CT12" t="s">
        <v>144</v>
      </c>
      <c r="CU12" t="s">
        <v>143</v>
      </c>
      <c r="CV12" t="s">
        <v>144</v>
      </c>
      <c r="CW12" t="s">
        <v>143</v>
      </c>
      <c r="CX12" t="s">
        <v>144</v>
      </c>
      <c r="CY12" t="s">
        <v>143</v>
      </c>
      <c r="CZ12" t="s">
        <v>144</v>
      </c>
      <c r="DA12" t="s">
        <v>143</v>
      </c>
      <c r="DB12" t="s">
        <v>145</v>
      </c>
      <c r="DC12" t="s">
        <v>143</v>
      </c>
      <c r="DD12" t="s">
        <v>144</v>
      </c>
      <c r="DE12" t="s">
        <v>146</v>
      </c>
      <c r="DF12" t="s">
        <v>147</v>
      </c>
      <c r="DG12" t="s">
        <v>143</v>
      </c>
      <c r="DH12" t="s">
        <v>144</v>
      </c>
      <c r="DI12" t="s">
        <v>146</v>
      </c>
      <c r="DJ12" t="s">
        <v>147</v>
      </c>
      <c r="DK12" t="s">
        <v>146</v>
      </c>
      <c r="DL12" t="s">
        <v>147</v>
      </c>
      <c r="DM12" t="s">
        <v>143</v>
      </c>
      <c r="DN12" t="s">
        <v>145</v>
      </c>
      <c r="DO12" t="s">
        <v>143</v>
      </c>
      <c r="DP12" t="s">
        <v>144</v>
      </c>
      <c r="DQ12" t="s">
        <v>143</v>
      </c>
      <c r="DR12" t="s">
        <v>145</v>
      </c>
      <c r="DS12" t="s">
        <v>143</v>
      </c>
      <c r="DT12" t="s">
        <v>145</v>
      </c>
      <c r="DU12" t="s">
        <v>143</v>
      </c>
      <c r="DV12" t="s">
        <v>145</v>
      </c>
      <c r="DW12" t="s">
        <v>143</v>
      </c>
      <c r="DX12" t="s">
        <v>145</v>
      </c>
      <c r="DY12" t="s">
        <v>143</v>
      </c>
      <c r="DZ12" t="s">
        <v>145</v>
      </c>
      <c r="EA12" t="s">
        <v>143</v>
      </c>
      <c r="EB12" t="s">
        <v>144</v>
      </c>
      <c r="EC12" t="s">
        <v>143</v>
      </c>
      <c r="ED12" t="s">
        <v>145</v>
      </c>
      <c r="EE12" t="s">
        <v>143</v>
      </c>
      <c r="EF12" t="s">
        <v>144</v>
      </c>
      <c r="EG12" t="s">
        <v>146</v>
      </c>
      <c r="EH12" t="s">
        <v>147</v>
      </c>
      <c r="EI12" t="s">
        <v>146</v>
      </c>
      <c r="EJ12" t="s">
        <v>147</v>
      </c>
      <c r="EK12" t="s">
        <v>146</v>
      </c>
      <c r="EL12" t="s">
        <v>147</v>
      </c>
      <c r="EM12" t="s">
        <v>146</v>
      </c>
      <c r="EN12" t="s">
        <v>147</v>
      </c>
      <c r="EO12" t="s">
        <v>146</v>
      </c>
      <c r="EP12" t="s">
        <v>147</v>
      </c>
      <c r="EQ12" t="s">
        <v>146</v>
      </c>
      <c r="ER12" t="s">
        <v>147</v>
      </c>
      <c r="ES12" t="s">
        <v>143</v>
      </c>
      <c r="ET12" t="s">
        <v>144</v>
      </c>
      <c r="EU12" t="s">
        <v>143</v>
      </c>
      <c r="EV12" t="s">
        <v>145</v>
      </c>
      <c r="EW12" t="s">
        <v>143</v>
      </c>
      <c r="EX12" t="s">
        <v>144</v>
      </c>
      <c r="EY12" t="s">
        <v>143</v>
      </c>
      <c r="EZ12" t="s">
        <v>145</v>
      </c>
    </row>
    <row r="13" spans="1:156" x14ac:dyDescent="0.2">
      <c r="A13">
        <v>12</v>
      </c>
      <c r="B13" t="s">
        <v>256</v>
      </c>
      <c r="C13" s="4" t="s">
        <v>194</v>
      </c>
      <c r="D13" t="s">
        <v>188</v>
      </c>
      <c r="E13" s="1">
        <v>43493</v>
      </c>
      <c r="F13" t="s">
        <v>143</v>
      </c>
      <c r="G13" t="s">
        <v>144</v>
      </c>
      <c r="H13" t="s">
        <v>143</v>
      </c>
      <c r="I13" t="s">
        <v>147</v>
      </c>
      <c r="J13" t="s">
        <v>146</v>
      </c>
      <c r="K13" t="s">
        <v>147</v>
      </c>
      <c r="L13" t="s">
        <v>143</v>
      </c>
      <c r="M13" t="s">
        <v>145</v>
      </c>
      <c r="N13" t="s">
        <v>143</v>
      </c>
      <c r="O13" t="s">
        <v>144</v>
      </c>
      <c r="P13" t="s">
        <v>143</v>
      </c>
      <c r="Q13" t="s">
        <v>144</v>
      </c>
      <c r="R13" t="s">
        <v>143</v>
      </c>
      <c r="S13" t="s">
        <v>144</v>
      </c>
      <c r="T13" t="s">
        <v>143</v>
      </c>
      <c r="U13" t="s">
        <v>144</v>
      </c>
      <c r="V13" t="s">
        <v>143</v>
      </c>
      <c r="W13" t="s">
        <v>144</v>
      </c>
      <c r="X13" t="s">
        <v>146</v>
      </c>
      <c r="Y13" t="s">
        <v>147</v>
      </c>
      <c r="Z13" t="s">
        <v>143</v>
      </c>
      <c r="AA13" t="s">
        <v>144</v>
      </c>
      <c r="AB13" t="s">
        <v>143</v>
      </c>
      <c r="AC13" t="s">
        <v>144</v>
      </c>
      <c r="AD13" t="s">
        <v>143</v>
      </c>
      <c r="AE13" t="s">
        <v>147</v>
      </c>
      <c r="AF13" t="s">
        <v>143</v>
      </c>
      <c r="AG13" t="s">
        <v>144</v>
      </c>
      <c r="AP13" t="s">
        <v>143</v>
      </c>
      <c r="AQ13" t="s">
        <v>145</v>
      </c>
      <c r="AR13" t="s">
        <v>146</v>
      </c>
      <c r="AS13" t="s">
        <v>147</v>
      </c>
      <c r="AT13" t="s">
        <v>143</v>
      </c>
      <c r="AU13" t="s">
        <v>145</v>
      </c>
      <c r="AW13" t="s">
        <v>143</v>
      </c>
      <c r="AX13" t="s">
        <v>145</v>
      </c>
      <c r="AY13" t="s">
        <v>143</v>
      </c>
      <c r="AZ13" t="s">
        <v>144</v>
      </c>
      <c r="BA13" t="s">
        <v>143</v>
      </c>
      <c r="BB13" t="s">
        <v>144</v>
      </c>
      <c r="BC13" t="s">
        <v>143</v>
      </c>
      <c r="BD13" t="s">
        <v>147</v>
      </c>
      <c r="BE13" t="s">
        <v>143</v>
      </c>
      <c r="BF13" t="s">
        <v>145</v>
      </c>
      <c r="BG13" t="s">
        <v>143</v>
      </c>
      <c r="BH13" t="s">
        <v>144</v>
      </c>
      <c r="BI13" t="s">
        <v>143</v>
      </c>
      <c r="BJ13" t="s">
        <v>144</v>
      </c>
      <c r="BK13" t="s">
        <v>143</v>
      </c>
      <c r="BL13" t="s">
        <v>144</v>
      </c>
      <c r="BM13" t="s">
        <v>143</v>
      </c>
      <c r="BN13" t="s">
        <v>144</v>
      </c>
      <c r="BO13" t="s">
        <v>143</v>
      </c>
      <c r="BP13" t="s">
        <v>144</v>
      </c>
      <c r="BQ13" t="s">
        <v>143</v>
      </c>
      <c r="BR13" t="s">
        <v>144</v>
      </c>
      <c r="BS13" t="s">
        <v>143</v>
      </c>
      <c r="BT13" t="s">
        <v>144</v>
      </c>
      <c r="BU13" t="s">
        <v>143</v>
      </c>
      <c r="BV13" t="s">
        <v>145</v>
      </c>
      <c r="BW13" t="s">
        <v>143</v>
      </c>
      <c r="BX13" t="s">
        <v>144</v>
      </c>
      <c r="BY13" t="s">
        <v>143</v>
      </c>
      <c r="BZ13" t="s">
        <v>144</v>
      </c>
      <c r="CA13" t="s">
        <v>143</v>
      </c>
      <c r="CB13" t="s">
        <v>144</v>
      </c>
      <c r="CC13" t="s">
        <v>143</v>
      </c>
      <c r="CD13" t="s">
        <v>144</v>
      </c>
      <c r="CE13" t="s">
        <v>143</v>
      </c>
      <c r="CF13" t="s">
        <v>145</v>
      </c>
      <c r="CG13" t="s">
        <v>143</v>
      </c>
      <c r="CH13" t="s">
        <v>145</v>
      </c>
      <c r="CI13" t="s">
        <v>143</v>
      </c>
      <c r="CJ13" t="s">
        <v>145</v>
      </c>
      <c r="CK13" t="s">
        <v>143</v>
      </c>
      <c r="CL13" t="s">
        <v>144</v>
      </c>
      <c r="CM13" t="s">
        <v>143</v>
      </c>
      <c r="CN13" t="s">
        <v>144</v>
      </c>
      <c r="CO13" t="s">
        <v>143</v>
      </c>
      <c r="CP13" t="s">
        <v>144</v>
      </c>
      <c r="CQ13" t="s">
        <v>143</v>
      </c>
      <c r="CR13" t="s">
        <v>145</v>
      </c>
      <c r="CS13" t="s">
        <v>143</v>
      </c>
      <c r="CT13" t="s">
        <v>145</v>
      </c>
      <c r="CU13" t="s">
        <v>143</v>
      </c>
      <c r="CV13" t="s">
        <v>145</v>
      </c>
      <c r="CW13" t="s">
        <v>143</v>
      </c>
      <c r="CX13" t="s">
        <v>144</v>
      </c>
      <c r="CY13" t="s">
        <v>143</v>
      </c>
      <c r="CZ13" t="s">
        <v>144</v>
      </c>
      <c r="DA13" t="s">
        <v>143</v>
      </c>
      <c r="DB13" t="s">
        <v>145</v>
      </c>
      <c r="DC13" t="s">
        <v>143</v>
      </c>
      <c r="DD13" t="s">
        <v>144</v>
      </c>
      <c r="DE13" t="s">
        <v>146</v>
      </c>
      <c r="DF13" t="s">
        <v>147</v>
      </c>
      <c r="DG13" t="s">
        <v>143</v>
      </c>
      <c r="DH13" t="s">
        <v>144</v>
      </c>
      <c r="DI13" t="s">
        <v>146</v>
      </c>
      <c r="DJ13" t="s">
        <v>147</v>
      </c>
      <c r="DK13" t="s">
        <v>146</v>
      </c>
      <c r="DL13" t="s">
        <v>147</v>
      </c>
      <c r="DM13" t="s">
        <v>143</v>
      </c>
      <c r="DN13" t="s">
        <v>145</v>
      </c>
      <c r="DO13" t="s">
        <v>143</v>
      </c>
      <c r="DP13" t="s">
        <v>144</v>
      </c>
      <c r="DQ13" t="s">
        <v>143</v>
      </c>
      <c r="DR13" t="s">
        <v>145</v>
      </c>
      <c r="DS13" t="s">
        <v>143</v>
      </c>
      <c r="DT13" t="s">
        <v>145</v>
      </c>
      <c r="DU13" t="s">
        <v>143</v>
      </c>
      <c r="DV13" t="s">
        <v>145</v>
      </c>
      <c r="DW13" t="s">
        <v>143</v>
      </c>
      <c r="DX13" t="s">
        <v>145</v>
      </c>
      <c r="DY13" t="s">
        <v>143</v>
      </c>
      <c r="DZ13" t="s">
        <v>145</v>
      </c>
      <c r="EA13" t="s">
        <v>143</v>
      </c>
      <c r="EB13" t="s">
        <v>144</v>
      </c>
      <c r="EC13" t="s">
        <v>143</v>
      </c>
      <c r="ED13" t="s">
        <v>145</v>
      </c>
      <c r="EE13" t="s">
        <v>143</v>
      </c>
      <c r="EF13" t="s">
        <v>144</v>
      </c>
      <c r="EG13" t="s">
        <v>146</v>
      </c>
      <c r="EH13" t="s">
        <v>147</v>
      </c>
      <c r="EI13" t="s">
        <v>146</v>
      </c>
      <c r="EJ13" t="s">
        <v>147</v>
      </c>
      <c r="EK13" t="s">
        <v>146</v>
      </c>
      <c r="EL13" t="s">
        <v>147</v>
      </c>
      <c r="EM13" t="s">
        <v>146</v>
      </c>
      <c r="EN13" t="s">
        <v>147</v>
      </c>
      <c r="EO13" t="s">
        <v>146</v>
      </c>
      <c r="EP13" t="s">
        <v>147</v>
      </c>
      <c r="EQ13" t="s">
        <v>146</v>
      </c>
      <c r="ER13" t="s">
        <v>147</v>
      </c>
      <c r="ES13" t="s">
        <v>143</v>
      </c>
      <c r="ET13" t="s">
        <v>144</v>
      </c>
      <c r="EU13" t="s">
        <v>143</v>
      </c>
      <c r="EV13" t="s">
        <v>145</v>
      </c>
      <c r="EW13" t="s">
        <v>143</v>
      </c>
      <c r="EX13" t="s">
        <v>144</v>
      </c>
      <c r="EY13" t="s">
        <v>143</v>
      </c>
      <c r="EZ13" t="s">
        <v>145</v>
      </c>
    </row>
    <row r="14" spans="1:156" x14ac:dyDescent="0.2">
      <c r="A14">
        <v>13</v>
      </c>
      <c r="B14" t="s">
        <v>257</v>
      </c>
      <c r="C14" s="4" t="s">
        <v>194</v>
      </c>
      <c r="D14" t="s">
        <v>188</v>
      </c>
      <c r="E14" s="1">
        <v>43236</v>
      </c>
      <c r="F14" t="s">
        <v>143</v>
      </c>
      <c r="G14" t="s">
        <v>144</v>
      </c>
      <c r="H14" t="s">
        <v>143</v>
      </c>
      <c r="I14" t="s">
        <v>147</v>
      </c>
      <c r="J14" t="s">
        <v>146</v>
      </c>
      <c r="K14" t="s">
        <v>144</v>
      </c>
      <c r="L14" t="s">
        <v>143</v>
      </c>
      <c r="M14" t="s">
        <v>145</v>
      </c>
      <c r="N14" t="s">
        <v>143</v>
      </c>
      <c r="O14" t="s">
        <v>144</v>
      </c>
      <c r="P14" t="s">
        <v>143</v>
      </c>
      <c r="Q14" t="s">
        <v>144</v>
      </c>
      <c r="R14" t="s">
        <v>143</v>
      </c>
      <c r="S14" t="s">
        <v>144</v>
      </c>
      <c r="T14" t="s">
        <v>146</v>
      </c>
      <c r="U14" t="s">
        <v>147</v>
      </c>
      <c r="V14" t="s">
        <v>146</v>
      </c>
      <c r="W14" t="s">
        <v>147</v>
      </c>
      <c r="X14" t="s">
        <v>146</v>
      </c>
      <c r="Y14" t="s">
        <v>147</v>
      </c>
      <c r="Z14" t="s">
        <v>146</v>
      </c>
      <c r="AA14" t="s">
        <v>147</v>
      </c>
      <c r="AB14" t="s">
        <v>146</v>
      </c>
      <c r="AC14" t="s">
        <v>147</v>
      </c>
      <c r="AD14" t="s">
        <v>143</v>
      </c>
      <c r="AE14" t="s">
        <v>144</v>
      </c>
      <c r="AF14" t="s">
        <v>143</v>
      </c>
      <c r="AG14" t="s">
        <v>144</v>
      </c>
      <c r="AP14" t="s">
        <v>143</v>
      </c>
      <c r="AQ14" t="s">
        <v>145</v>
      </c>
      <c r="AR14" t="s">
        <v>146</v>
      </c>
      <c r="AS14" t="s">
        <v>147</v>
      </c>
      <c r="AT14" t="s">
        <v>143</v>
      </c>
      <c r="AU14" t="s">
        <v>145</v>
      </c>
      <c r="AW14" t="s">
        <v>143</v>
      </c>
      <c r="AX14" t="s">
        <v>147</v>
      </c>
      <c r="AY14" t="s">
        <v>143</v>
      </c>
      <c r="AZ14" t="s">
        <v>144</v>
      </c>
      <c r="BA14" t="s">
        <v>143</v>
      </c>
      <c r="BB14" t="s">
        <v>144</v>
      </c>
      <c r="BC14" t="s">
        <v>143</v>
      </c>
      <c r="BD14" t="s">
        <v>147</v>
      </c>
      <c r="BE14" t="s">
        <v>143</v>
      </c>
      <c r="BF14" t="s">
        <v>145</v>
      </c>
      <c r="BG14" t="s">
        <v>143</v>
      </c>
      <c r="BH14" t="s">
        <v>144</v>
      </c>
      <c r="BI14" t="s">
        <v>143</v>
      </c>
      <c r="BJ14" t="s">
        <v>144</v>
      </c>
      <c r="BK14" t="s">
        <v>143</v>
      </c>
      <c r="BL14" t="s">
        <v>144</v>
      </c>
      <c r="BM14" t="s">
        <v>143</v>
      </c>
      <c r="BN14" t="s">
        <v>144</v>
      </c>
      <c r="BO14" t="s">
        <v>143</v>
      </c>
      <c r="BP14" t="s">
        <v>144</v>
      </c>
      <c r="BQ14" t="s">
        <v>143</v>
      </c>
      <c r="BR14" t="s">
        <v>145</v>
      </c>
      <c r="BS14" t="s">
        <v>143</v>
      </c>
      <c r="BT14" t="s">
        <v>145</v>
      </c>
      <c r="BU14" t="s">
        <v>143</v>
      </c>
      <c r="BV14" t="s">
        <v>145</v>
      </c>
      <c r="BW14" t="s">
        <v>143</v>
      </c>
      <c r="BX14" t="s">
        <v>144</v>
      </c>
      <c r="BY14" t="s">
        <v>143</v>
      </c>
      <c r="BZ14" t="s">
        <v>144</v>
      </c>
      <c r="CA14" t="s">
        <v>143</v>
      </c>
      <c r="CB14" t="s">
        <v>144</v>
      </c>
      <c r="CC14" t="s">
        <v>143</v>
      </c>
      <c r="CD14" t="s">
        <v>144</v>
      </c>
      <c r="CE14" t="s">
        <v>143</v>
      </c>
      <c r="CF14" t="s">
        <v>145</v>
      </c>
      <c r="CG14" t="s">
        <v>143</v>
      </c>
      <c r="CH14" t="s">
        <v>145</v>
      </c>
      <c r="CI14" t="s">
        <v>143</v>
      </c>
      <c r="CJ14" t="s">
        <v>145</v>
      </c>
      <c r="CK14" t="s">
        <v>143</v>
      </c>
      <c r="CL14" t="s">
        <v>144</v>
      </c>
      <c r="CM14" t="s">
        <v>143</v>
      </c>
      <c r="CN14" t="s">
        <v>144</v>
      </c>
      <c r="CO14" t="s">
        <v>143</v>
      </c>
      <c r="CP14" t="s">
        <v>144</v>
      </c>
      <c r="CQ14" t="s">
        <v>143</v>
      </c>
      <c r="CR14" t="s">
        <v>145</v>
      </c>
      <c r="CS14" t="s">
        <v>143</v>
      </c>
      <c r="CT14" t="s">
        <v>144</v>
      </c>
      <c r="CU14" t="s">
        <v>143</v>
      </c>
      <c r="CV14" t="s">
        <v>144</v>
      </c>
      <c r="CW14" t="s">
        <v>143</v>
      </c>
      <c r="CX14" t="s">
        <v>144</v>
      </c>
      <c r="CY14" t="s">
        <v>143</v>
      </c>
      <c r="CZ14" t="s">
        <v>144</v>
      </c>
      <c r="DA14" t="s">
        <v>143</v>
      </c>
      <c r="DB14" t="s">
        <v>145</v>
      </c>
      <c r="DC14" t="s">
        <v>143</v>
      </c>
      <c r="DD14" t="s">
        <v>144</v>
      </c>
      <c r="DE14" t="s">
        <v>146</v>
      </c>
      <c r="DF14" t="s">
        <v>147</v>
      </c>
      <c r="DG14" t="s">
        <v>143</v>
      </c>
      <c r="DH14" t="s">
        <v>144</v>
      </c>
      <c r="DI14" t="s">
        <v>146</v>
      </c>
      <c r="DJ14" t="s">
        <v>147</v>
      </c>
      <c r="DK14" t="s">
        <v>146</v>
      </c>
      <c r="DL14" t="s">
        <v>147</v>
      </c>
      <c r="DM14" t="s">
        <v>143</v>
      </c>
      <c r="DN14" t="s">
        <v>145</v>
      </c>
      <c r="DO14" t="s">
        <v>143</v>
      </c>
      <c r="DP14" t="s">
        <v>144</v>
      </c>
      <c r="DQ14" t="s">
        <v>143</v>
      </c>
      <c r="DR14" t="s">
        <v>145</v>
      </c>
      <c r="DS14" t="s">
        <v>143</v>
      </c>
      <c r="DT14" t="s">
        <v>145</v>
      </c>
      <c r="DU14" t="s">
        <v>143</v>
      </c>
      <c r="DV14" t="s">
        <v>145</v>
      </c>
      <c r="DW14" t="s">
        <v>143</v>
      </c>
      <c r="DX14" t="s">
        <v>145</v>
      </c>
      <c r="DY14" t="s">
        <v>143</v>
      </c>
      <c r="DZ14" t="s">
        <v>145</v>
      </c>
      <c r="EA14" t="s">
        <v>143</v>
      </c>
      <c r="EB14" t="s">
        <v>144</v>
      </c>
      <c r="EC14" t="s">
        <v>143</v>
      </c>
      <c r="ED14" t="s">
        <v>145</v>
      </c>
      <c r="EE14" t="s">
        <v>143</v>
      </c>
      <c r="EF14" t="s">
        <v>144</v>
      </c>
      <c r="EG14" t="s">
        <v>146</v>
      </c>
      <c r="EH14" t="s">
        <v>147</v>
      </c>
      <c r="EI14" t="s">
        <v>146</v>
      </c>
      <c r="EJ14" t="s">
        <v>147</v>
      </c>
      <c r="EK14" t="s">
        <v>146</v>
      </c>
      <c r="EL14" t="s">
        <v>147</v>
      </c>
      <c r="EM14" t="s">
        <v>146</v>
      </c>
      <c r="EN14" t="s">
        <v>147</v>
      </c>
      <c r="EO14" t="s">
        <v>146</v>
      </c>
      <c r="EP14" t="s">
        <v>147</v>
      </c>
      <c r="EQ14" t="s">
        <v>146</v>
      </c>
      <c r="ER14" t="s">
        <v>147</v>
      </c>
      <c r="ES14" t="s">
        <v>143</v>
      </c>
      <c r="ET14" t="s">
        <v>144</v>
      </c>
      <c r="EU14" t="s">
        <v>143</v>
      </c>
      <c r="EV14" t="s">
        <v>145</v>
      </c>
      <c r="EW14" t="s">
        <v>143</v>
      </c>
      <c r="EX14" t="s">
        <v>144</v>
      </c>
      <c r="EY14" t="s">
        <v>143</v>
      </c>
      <c r="EZ14" t="s">
        <v>145</v>
      </c>
    </row>
    <row r="15" spans="1:156" x14ac:dyDescent="0.2">
      <c r="A15">
        <v>14</v>
      </c>
      <c r="B15" t="s">
        <v>258</v>
      </c>
      <c r="C15" s="4" t="s">
        <v>194</v>
      </c>
      <c r="D15" t="s">
        <v>188</v>
      </c>
      <c r="E15" s="1">
        <v>43246</v>
      </c>
      <c r="F15" t="s">
        <v>143</v>
      </c>
      <c r="G15" t="s">
        <v>144</v>
      </c>
      <c r="H15" t="s">
        <v>143</v>
      </c>
      <c r="I15" t="s">
        <v>147</v>
      </c>
      <c r="J15" t="s">
        <v>146</v>
      </c>
      <c r="K15" t="s">
        <v>147</v>
      </c>
      <c r="L15" t="s">
        <v>143</v>
      </c>
      <c r="M15" t="s">
        <v>144</v>
      </c>
      <c r="N15" t="s">
        <v>143</v>
      </c>
      <c r="O15" t="s">
        <v>144</v>
      </c>
      <c r="P15" t="s">
        <v>143</v>
      </c>
      <c r="Q15" t="s">
        <v>144</v>
      </c>
      <c r="R15" t="s">
        <v>143</v>
      </c>
      <c r="S15" t="s">
        <v>144</v>
      </c>
      <c r="T15" t="s">
        <v>143</v>
      </c>
      <c r="U15" t="s">
        <v>144</v>
      </c>
      <c r="V15" t="s">
        <v>143</v>
      </c>
      <c r="W15" t="s">
        <v>144</v>
      </c>
      <c r="X15" t="s">
        <v>143</v>
      </c>
      <c r="Y15" t="s">
        <v>144</v>
      </c>
      <c r="Z15" t="s">
        <v>143</v>
      </c>
      <c r="AA15" t="s">
        <v>144</v>
      </c>
      <c r="AB15" t="s">
        <v>143</v>
      </c>
      <c r="AC15" t="s">
        <v>144</v>
      </c>
      <c r="AD15" t="s">
        <v>143</v>
      </c>
      <c r="AE15" t="s">
        <v>145</v>
      </c>
      <c r="AF15" t="s">
        <v>143</v>
      </c>
      <c r="AG15" t="s">
        <v>144</v>
      </c>
      <c r="AP15" t="s">
        <v>143</v>
      </c>
      <c r="AQ15" t="s">
        <v>145</v>
      </c>
      <c r="AR15" t="s">
        <v>146</v>
      </c>
      <c r="AS15" t="s">
        <v>147</v>
      </c>
      <c r="AT15" t="s">
        <v>143</v>
      </c>
      <c r="AU15" t="s">
        <v>145</v>
      </c>
      <c r="AW15" t="s">
        <v>143</v>
      </c>
      <c r="AX15" t="s">
        <v>147</v>
      </c>
      <c r="AY15" t="s">
        <v>143</v>
      </c>
      <c r="AZ15" t="s">
        <v>144</v>
      </c>
      <c r="BA15" t="s">
        <v>143</v>
      </c>
      <c r="BB15" t="s">
        <v>144</v>
      </c>
      <c r="BC15" t="s">
        <v>143</v>
      </c>
      <c r="BD15" t="s">
        <v>147</v>
      </c>
      <c r="BE15" t="s">
        <v>143</v>
      </c>
      <c r="BF15" t="s">
        <v>145</v>
      </c>
      <c r="BG15" t="s">
        <v>143</v>
      </c>
      <c r="BH15" t="s">
        <v>144</v>
      </c>
      <c r="BI15" t="s">
        <v>143</v>
      </c>
      <c r="BJ15" t="s">
        <v>144</v>
      </c>
      <c r="BK15" t="s">
        <v>143</v>
      </c>
      <c r="BL15" t="s">
        <v>144</v>
      </c>
      <c r="BM15" t="s">
        <v>143</v>
      </c>
      <c r="BN15" t="s">
        <v>144</v>
      </c>
      <c r="BO15" t="s">
        <v>143</v>
      </c>
      <c r="BP15" t="s">
        <v>144</v>
      </c>
      <c r="BQ15" t="s">
        <v>143</v>
      </c>
      <c r="BR15" t="s">
        <v>145</v>
      </c>
      <c r="BS15" t="s">
        <v>143</v>
      </c>
      <c r="BT15" t="s">
        <v>145</v>
      </c>
      <c r="BU15" t="s">
        <v>143</v>
      </c>
      <c r="BV15" t="s">
        <v>145</v>
      </c>
      <c r="BW15" t="s">
        <v>143</v>
      </c>
      <c r="BX15" t="s">
        <v>144</v>
      </c>
      <c r="BY15" t="s">
        <v>143</v>
      </c>
      <c r="BZ15" t="s">
        <v>144</v>
      </c>
      <c r="CA15" t="s">
        <v>143</v>
      </c>
      <c r="CB15" t="s">
        <v>144</v>
      </c>
      <c r="CC15" t="s">
        <v>143</v>
      </c>
      <c r="CD15" t="s">
        <v>144</v>
      </c>
      <c r="CE15" t="s">
        <v>143</v>
      </c>
      <c r="CF15" t="s">
        <v>145</v>
      </c>
      <c r="CG15" t="s">
        <v>143</v>
      </c>
      <c r="CH15" t="s">
        <v>145</v>
      </c>
      <c r="CI15" t="s">
        <v>143</v>
      </c>
      <c r="CJ15" t="s">
        <v>145</v>
      </c>
      <c r="CK15" t="s">
        <v>143</v>
      </c>
      <c r="CL15" t="s">
        <v>144</v>
      </c>
      <c r="CM15" t="s">
        <v>143</v>
      </c>
      <c r="CN15" t="s">
        <v>144</v>
      </c>
      <c r="CO15" t="s">
        <v>143</v>
      </c>
      <c r="CP15" t="s">
        <v>144</v>
      </c>
      <c r="CQ15" t="s">
        <v>143</v>
      </c>
      <c r="CR15" t="s">
        <v>145</v>
      </c>
      <c r="CS15" t="s">
        <v>143</v>
      </c>
      <c r="CT15" t="s">
        <v>144</v>
      </c>
      <c r="CU15" t="s">
        <v>143</v>
      </c>
      <c r="CV15" t="s">
        <v>144</v>
      </c>
      <c r="CW15" t="s">
        <v>143</v>
      </c>
      <c r="CX15" t="s">
        <v>144</v>
      </c>
      <c r="CY15" t="s">
        <v>143</v>
      </c>
      <c r="CZ15" t="s">
        <v>144</v>
      </c>
      <c r="DA15" t="s">
        <v>143</v>
      </c>
      <c r="DB15" t="s">
        <v>145</v>
      </c>
      <c r="DC15" t="s">
        <v>143</v>
      </c>
      <c r="DD15" t="s">
        <v>144</v>
      </c>
      <c r="DE15" t="s">
        <v>146</v>
      </c>
      <c r="DF15" t="s">
        <v>147</v>
      </c>
      <c r="DG15" t="s">
        <v>143</v>
      </c>
      <c r="DH15" t="s">
        <v>144</v>
      </c>
      <c r="DI15" t="s">
        <v>146</v>
      </c>
      <c r="DJ15" t="s">
        <v>147</v>
      </c>
      <c r="DK15" t="s">
        <v>146</v>
      </c>
      <c r="DL15" t="s">
        <v>147</v>
      </c>
      <c r="DM15" t="s">
        <v>143</v>
      </c>
      <c r="DN15" t="s">
        <v>145</v>
      </c>
      <c r="DO15" t="s">
        <v>143</v>
      </c>
      <c r="DP15" t="s">
        <v>144</v>
      </c>
      <c r="DQ15" t="s">
        <v>143</v>
      </c>
      <c r="DR15" t="s">
        <v>145</v>
      </c>
      <c r="DS15" t="s">
        <v>143</v>
      </c>
      <c r="DT15" t="s">
        <v>145</v>
      </c>
      <c r="DU15" t="s">
        <v>143</v>
      </c>
      <c r="DV15" t="s">
        <v>145</v>
      </c>
      <c r="DW15" t="s">
        <v>143</v>
      </c>
      <c r="DX15" t="s">
        <v>145</v>
      </c>
      <c r="DY15" t="s">
        <v>143</v>
      </c>
      <c r="DZ15" t="s">
        <v>145</v>
      </c>
      <c r="EA15" t="s">
        <v>143</v>
      </c>
      <c r="EB15" t="s">
        <v>144</v>
      </c>
      <c r="EC15" t="s">
        <v>143</v>
      </c>
      <c r="ED15" t="s">
        <v>145</v>
      </c>
      <c r="EE15" t="s">
        <v>143</v>
      </c>
      <c r="EF15" t="s">
        <v>144</v>
      </c>
      <c r="EG15" t="s">
        <v>146</v>
      </c>
      <c r="EH15" t="s">
        <v>147</v>
      </c>
      <c r="EI15" t="s">
        <v>146</v>
      </c>
      <c r="EJ15" t="s">
        <v>147</v>
      </c>
      <c r="EK15" t="s">
        <v>146</v>
      </c>
      <c r="EL15" t="s">
        <v>147</v>
      </c>
      <c r="EM15" t="s">
        <v>146</v>
      </c>
      <c r="EN15" t="s">
        <v>147</v>
      </c>
      <c r="EO15" t="s">
        <v>146</v>
      </c>
      <c r="EP15" t="s">
        <v>147</v>
      </c>
      <c r="EQ15" t="s">
        <v>146</v>
      </c>
      <c r="ER15" t="s">
        <v>147</v>
      </c>
      <c r="ES15" t="s">
        <v>143</v>
      </c>
      <c r="ET15" t="s">
        <v>144</v>
      </c>
      <c r="EU15" t="s">
        <v>143</v>
      </c>
      <c r="EV15" t="s">
        <v>145</v>
      </c>
      <c r="EW15" t="s">
        <v>143</v>
      </c>
      <c r="EX15" t="s">
        <v>144</v>
      </c>
      <c r="EY15" t="s">
        <v>143</v>
      </c>
      <c r="EZ15" t="s">
        <v>145</v>
      </c>
    </row>
    <row r="16" spans="1:156" x14ac:dyDescent="0.2">
      <c r="A16">
        <v>15</v>
      </c>
      <c r="B16" t="s">
        <v>260</v>
      </c>
      <c r="C16" s="4" t="s">
        <v>194</v>
      </c>
      <c r="D16" t="s">
        <v>187</v>
      </c>
      <c r="E16" s="1">
        <v>43101</v>
      </c>
      <c r="F16" t="s">
        <v>143</v>
      </c>
      <c r="G16" t="s">
        <v>144</v>
      </c>
      <c r="H16" t="s">
        <v>143</v>
      </c>
      <c r="I16" t="s">
        <v>147</v>
      </c>
      <c r="J16" t="s">
        <v>146</v>
      </c>
      <c r="K16" t="s">
        <v>147</v>
      </c>
      <c r="L16" t="s">
        <v>143</v>
      </c>
      <c r="M16" t="s">
        <v>144</v>
      </c>
      <c r="N16" t="s">
        <v>143</v>
      </c>
      <c r="O16" t="s">
        <v>144</v>
      </c>
      <c r="P16" t="s">
        <v>143</v>
      </c>
      <c r="Q16" t="s">
        <v>144</v>
      </c>
      <c r="R16" t="s">
        <v>143</v>
      </c>
      <c r="S16" t="s">
        <v>144</v>
      </c>
      <c r="T16" t="s">
        <v>143</v>
      </c>
      <c r="U16" t="s">
        <v>144</v>
      </c>
      <c r="V16" t="s">
        <v>143</v>
      </c>
      <c r="W16" t="s">
        <v>144</v>
      </c>
      <c r="X16" t="s">
        <v>143</v>
      </c>
      <c r="Y16" t="s">
        <v>144</v>
      </c>
      <c r="Z16" t="s">
        <v>143</v>
      </c>
      <c r="AA16" t="s">
        <v>144</v>
      </c>
      <c r="AB16" t="s">
        <v>143</v>
      </c>
      <c r="AC16" t="s">
        <v>144</v>
      </c>
      <c r="AD16" t="s">
        <v>143</v>
      </c>
      <c r="AE16" t="s">
        <v>144</v>
      </c>
      <c r="AF16" t="s">
        <v>143</v>
      </c>
      <c r="AG16" t="s">
        <v>144</v>
      </c>
      <c r="AP16" t="s">
        <v>143</v>
      </c>
      <c r="AQ16" t="s">
        <v>145</v>
      </c>
      <c r="AR16" t="s">
        <v>146</v>
      </c>
      <c r="AS16" t="s">
        <v>147</v>
      </c>
      <c r="AT16" t="s">
        <v>143</v>
      </c>
      <c r="AU16" t="s">
        <v>145</v>
      </c>
      <c r="AW16" t="s">
        <v>143</v>
      </c>
      <c r="AX16" t="s">
        <v>147</v>
      </c>
      <c r="AY16" t="s">
        <v>143</v>
      </c>
      <c r="AZ16" t="s">
        <v>144</v>
      </c>
      <c r="BA16" t="s">
        <v>143</v>
      </c>
      <c r="BB16" t="s">
        <v>144</v>
      </c>
      <c r="BC16" t="s">
        <v>143</v>
      </c>
      <c r="BD16" t="s">
        <v>147</v>
      </c>
      <c r="BE16" t="s">
        <v>143</v>
      </c>
      <c r="BF16" t="s">
        <v>145</v>
      </c>
      <c r="BG16" t="s">
        <v>143</v>
      </c>
      <c r="BH16" t="s">
        <v>144</v>
      </c>
      <c r="BI16" t="s">
        <v>143</v>
      </c>
      <c r="BJ16" t="s">
        <v>144</v>
      </c>
      <c r="BK16" t="s">
        <v>143</v>
      </c>
      <c r="BL16" t="s">
        <v>145</v>
      </c>
      <c r="BM16" t="s">
        <v>143</v>
      </c>
      <c r="BN16" t="s">
        <v>144</v>
      </c>
      <c r="BO16" t="s">
        <v>143</v>
      </c>
      <c r="BP16" t="s">
        <v>144</v>
      </c>
      <c r="BQ16" t="s">
        <v>143</v>
      </c>
      <c r="BR16" t="s">
        <v>147</v>
      </c>
      <c r="BS16" t="s">
        <v>143</v>
      </c>
      <c r="BT16" t="s">
        <v>147</v>
      </c>
      <c r="BU16" t="s">
        <v>143</v>
      </c>
      <c r="BV16" t="s">
        <v>145</v>
      </c>
      <c r="BW16" t="s">
        <v>143</v>
      </c>
      <c r="BX16" t="s">
        <v>144</v>
      </c>
      <c r="BY16" t="s">
        <v>143</v>
      </c>
      <c r="BZ16" t="s">
        <v>144</v>
      </c>
      <c r="CA16" t="s">
        <v>143</v>
      </c>
      <c r="CB16" t="s">
        <v>144</v>
      </c>
      <c r="CC16" t="s">
        <v>143</v>
      </c>
      <c r="CD16" t="s">
        <v>144</v>
      </c>
      <c r="CE16" t="s">
        <v>143</v>
      </c>
      <c r="CF16" t="s">
        <v>145</v>
      </c>
      <c r="CG16" t="s">
        <v>143</v>
      </c>
      <c r="CH16" t="s">
        <v>147</v>
      </c>
      <c r="CI16" t="s">
        <v>143</v>
      </c>
      <c r="CJ16" t="s">
        <v>145</v>
      </c>
      <c r="CK16" t="s">
        <v>143</v>
      </c>
      <c r="CL16" t="s">
        <v>144</v>
      </c>
      <c r="CM16" t="s">
        <v>143</v>
      </c>
      <c r="CN16" t="s">
        <v>144</v>
      </c>
      <c r="CO16" t="s">
        <v>143</v>
      </c>
      <c r="CP16" t="s">
        <v>144</v>
      </c>
      <c r="CQ16" t="s">
        <v>143</v>
      </c>
      <c r="CR16" t="s">
        <v>147</v>
      </c>
      <c r="CS16" t="s">
        <v>143</v>
      </c>
      <c r="CT16" t="s">
        <v>145</v>
      </c>
      <c r="CU16" t="s">
        <v>143</v>
      </c>
      <c r="CV16" t="s">
        <v>145</v>
      </c>
      <c r="CW16" t="s">
        <v>143</v>
      </c>
      <c r="CX16" t="s">
        <v>145</v>
      </c>
      <c r="CY16" t="s">
        <v>143</v>
      </c>
      <c r="CZ16" t="s">
        <v>145</v>
      </c>
      <c r="DA16" t="s">
        <v>143</v>
      </c>
      <c r="DB16" t="s">
        <v>145</v>
      </c>
      <c r="DC16" t="s">
        <v>143</v>
      </c>
      <c r="DD16" t="s">
        <v>144</v>
      </c>
      <c r="DE16" t="s">
        <v>146</v>
      </c>
      <c r="DF16" t="s">
        <v>147</v>
      </c>
      <c r="DG16" t="s">
        <v>143</v>
      </c>
      <c r="DH16" t="s">
        <v>144</v>
      </c>
      <c r="DI16" t="s">
        <v>146</v>
      </c>
      <c r="DJ16" t="s">
        <v>147</v>
      </c>
      <c r="DK16" t="s">
        <v>146</v>
      </c>
      <c r="DL16" t="s">
        <v>147</v>
      </c>
      <c r="DM16" t="s">
        <v>143</v>
      </c>
      <c r="DN16" t="s">
        <v>145</v>
      </c>
      <c r="DO16" t="s">
        <v>143</v>
      </c>
      <c r="DP16" t="s">
        <v>144</v>
      </c>
      <c r="DQ16" t="s">
        <v>143</v>
      </c>
      <c r="DR16" t="s">
        <v>145</v>
      </c>
      <c r="DS16" t="s">
        <v>143</v>
      </c>
      <c r="DT16" t="s">
        <v>145</v>
      </c>
      <c r="DU16" t="s">
        <v>143</v>
      </c>
      <c r="DV16" t="s">
        <v>145</v>
      </c>
      <c r="DW16" t="s">
        <v>143</v>
      </c>
      <c r="DX16" t="s">
        <v>145</v>
      </c>
      <c r="DY16" t="s">
        <v>143</v>
      </c>
      <c r="DZ16" t="s">
        <v>145</v>
      </c>
      <c r="EA16" t="s">
        <v>143</v>
      </c>
      <c r="EB16" t="s">
        <v>144</v>
      </c>
      <c r="EC16" t="s">
        <v>143</v>
      </c>
      <c r="ED16" t="s">
        <v>145</v>
      </c>
      <c r="EE16" t="s">
        <v>143</v>
      </c>
      <c r="EF16" t="s">
        <v>144</v>
      </c>
      <c r="EG16" t="s">
        <v>143</v>
      </c>
      <c r="EH16" t="s">
        <v>144</v>
      </c>
      <c r="EI16" t="s">
        <v>143</v>
      </c>
      <c r="EJ16" t="s">
        <v>144</v>
      </c>
      <c r="EK16" t="s">
        <v>143</v>
      </c>
      <c r="EL16" t="s">
        <v>144</v>
      </c>
      <c r="EM16" t="s">
        <v>143</v>
      </c>
      <c r="EN16" t="s">
        <v>144</v>
      </c>
      <c r="EO16" t="s">
        <v>143</v>
      </c>
      <c r="EP16" t="s">
        <v>144</v>
      </c>
      <c r="EQ16" t="s">
        <v>143</v>
      </c>
      <c r="ER16" t="s">
        <v>144</v>
      </c>
      <c r="ES16" t="s">
        <v>143</v>
      </c>
      <c r="ET16" t="s">
        <v>144</v>
      </c>
      <c r="EU16" t="s">
        <v>143</v>
      </c>
      <c r="EV16" t="s">
        <v>145</v>
      </c>
      <c r="EW16" t="s">
        <v>143</v>
      </c>
      <c r="EX16" t="s">
        <v>144</v>
      </c>
      <c r="EY16" t="s">
        <v>143</v>
      </c>
      <c r="EZ16" t="s">
        <v>145</v>
      </c>
    </row>
    <row r="17" spans="1:156" x14ac:dyDescent="0.2">
      <c r="A17">
        <v>16</v>
      </c>
      <c r="B17" t="s">
        <v>261</v>
      </c>
      <c r="C17" s="4" t="s">
        <v>194</v>
      </c>
      <c r="D17" t="s">
        <v>187</v>
      </c>
      <c r="E17" s="1">
        <v>43321</v>
      </c>
      <c r="F17" t="s">
        <v>143</v>
      </c>
      <c r="G17" t="s">
        <v>144</v>
      </c>
      <c r="H17" t="s">
        <v>143</v>
      </c>
      <c r="I17" t="s">
        <v>145</v>
      </c>
      <c r="J17" t="s">
        <v>146</v>
      </c>
      <c r="K17" t="s">
        <v>145</v>
      </c>
      <c r="L17" t="s">
        <v>143</v>
      </c>
      <c r="M17" t="s">
        <v>144</v>
      </c>
      <c r="N17" t="s">
        <v>143</v>
      </c>
      <c r="O17" t="s">
        <v>144</v>
      </c>
      <c r="P17" t="s">
        <v>143</v>
      </c>
      <c r="Q17" t="s">
        <v>144</v>
      </c>
      <c r="R17" t="s">
        <v>143</v>
      </c>
      <c r="S17" t="s">
        <v>144</v>
      </c>
      <c r="T17" t="s">
        <v>143</v>
      </c>
      <c r="U17" t="s">
        <v>144</v>
      </c>
      <c r="V17" t="s">
        <v>143</v>
      </c>
      <c r="W17" t="s">
        <v>144</v>
      </c>
      <c r="X17" t="s">
        <v>143</v>
      </c>
      <c r="Y17" t="s">
        <v>144</v>
      </c>
      <c r="Z17" t="s">
        <v>143</v>
      </c>
      <c r="AA17" t="s">
        <v>144</v>
      </c>
      <c r="AB17" t="s">
        <v>143</v>
      </c>
      <c r="AC17" t="s">
        <v>144</v>
      </c>
      <c r="AD17" t="s">
        <v>143</v>
      </c>
      <c r="AE17" t="s">
        <v>144</v>
      </c>
      <c r="AF17" t="s">
        <v>143</v>
      </c>
      <c r="AG17" t="s">
        <v>144</v>
      </c>
      <c r="AP17" t="s">
        <v>143</v>
      </c>
      <c r="AQ17" t="s">
        <v>145</v>
      </c>
      <c r="AR17" t="s">
        <v>146</v>
      </c>
      <c r="AS17" t="s">
        <v>145</v>
      </c>
      <c r="AT17" t="s">
        <v>143</v>
      </c>
      <c r="AU17" t="s">
        <v>145</v>
      </c>
      <c r="AW17" t="s">
        <v>143</v>
      </c>
      <c r="AX17" t="s">
        <v>145</v>
      </c>
      <c r="AY17" t="s">
        <v>143</v>
      </c>
      <c r="AZ17" t="s">
        <v>144</v>
      </c>
      <c r="BA17" t="s">
        <v>143</v>
      </c>
      <c r="BB17" t="s">
        <v>144</v>
      </c>
      <c r="BC17" t="s">
        <v>143</v>
      </c>
      <c r="BD17" t="s">
        <v>147</v>
      </c>
      <c r="BE17" t="s">
        <v>143</v>
      </c>
      <c r="BF17" t="s">
        <v>145</v>
      </c>
      <c r="BG17" t="s">
        <v>143</v>
      </c>
      <c r="BH17" t="s">
        <v>144</v>
      </c>
      <c r="BI17" t="s">
        <v>143</v>
      </c>
      <c r="BJ17" t="s">
        <v>144</v>
      </c>
      <c r="BK17" t="s">
        <v>143</v>
      </c>
      <c r="BL17" t="s">
        <v>144</v>
      </c>
      <c r="BM17" t="s">
        <v>143</v>
      </c>
      <c r="BN17" t="s">
        <v>144</v>
      </c>
      <c r="BO17" t="s">
        <v>143</v>
      </c>
      <c r="BP17" t="s">
        <v>144</v>
      </c>
      <c r="BQ17" t="s">
        <v>143</v>
      </c>
      <c r="BR17" t="s">
        <v>145</v>
      </c>
      <c r="BS17" t="s">
        <v>143</v>
      </c>
      <c r="BT17" t="s">
        <v>145</v>
      </c>
      <c r="BU17" t="s">
        <v>143</v>
      </c>
      <c r="BV17" t="s">
        <v>145</v>
      </c>
      <c r="BW17" t="s">
        <v>143</v>
      </c>
      <c r="BX17" t="s">
        <v>144</v>
      </c>
      <c r="BY17" t="s">
        <v>143</v>
      </c>
      <c r="BZ17" t="s">
        <v>144</v>
      </c>
      <c r="CA17" t="s">
        <v>143</v>
      </c>
      <c r="CB17" t="s">
        <v>144</v>
      </c>
      <c r="CC17" t="s">
        <v>143</v>
      </c>
      <c r="CD17" t="s">
        <v>144</v>
      </c>
      <c r="CE17" t="s">
        <v>143</v>
      </c>
      <c r="CF17" t="s">
        <v>145</v>
      </c>
      <c r="CG17" t="s">
        <v>143</v>
      </c>
      <c r="CH17" t="s">
        <v>145</v>
      </c>
      <c r="CI17" t="s">
        <v>143</v>
      </c>
      <c r="CJ17" t="s">
        <v>145</v>
      </c>
      <c r="CK17" t="s">
        <v>143</v>
      </c>
      <c r="CL17" t="s">
        <v>144</v>
      </c>
      <c r="CM17" t="s">
        <v>143</v>
      </c>
      <c r="CN17" t="s">
        <v>144</v>
      </c>
      <c r="CO17" t="s">
        <v>143</v>
      </c>
      <c r="CP17" t="s">
        <v>144</v>
      </c>
      <c r="CQ17" t="s">
        <v>143</v>
      </c>
      <c r="CR17" t="s">
        <v>145</v>
      </c>
      <c r="CS17" t="s">
        <v>143</v>
      </c>
      <c r="CT17" t="s">
        <v>144</v>
      </c>
      <c r="CU17" t="s">
        <v>143</v>
      </c>
      <c r="CV17" t="s">
        <v>144</v>
      </c>
      <c r="CW17" t="s">
        <v>143</v>
      </c>
      <c r="CX17" t="s">
        <v>144</v>
      </c>
      <c r="CY17" t="s">
        <v>143</v>
      </c>
      <c r="CZ17" t="s">
        <v>144</v>
      </c>
      <c r="DA17" t="s">
        <v>143</v>
      </c>
      <c r="DB17" t="s">
        <v>145</v>
      </c>
      <c r="DC17" t="s">
        <v>143</v>
      </c>
      <c r="DD17" t="s">
        <v>144</v>
      </c>
      <c r="DE17" t="s">
        <v>146</v>
      </c>
      <c r="DF17" t="s">
        <v>147</v>
      </c>
      <c r="DG17" t="s">
        <v>143</v>
      </c>
      <c r="DH17" t="s">
        <v>144</v>
      </c>
      <c r="DI17" t="s">
        <v>146</v>
      </c>
      <c r="DJ17" t="s">
        <v>147</v>
      </c>
      <c r="DK17" t="s">
        <v>146</v>
      </c>
      <c r="DL17" t="s">
        <v>147</v>
      </c>
      <c r="DM17" t="s">
        <v>143</v>
      </c>
      <c r="DN17" t="s">
        <v>145</v>
      </c>
      <c r="DO17" t="s">
        <v>143</v>
      </c>
      <c r="DP17" t="s">
        <v>144</v>
      </c>
      <c r="DQ17" t="s">
        <v>143</v>
      </c>
      <c r="DR17" t="s">
        <v>145</v>
      </c>
      <c r="DS17" t="s">
        <v>143</v>
      </c>
      <c r="DT17" t="s">
        <v>145</v>
      </c>
      <c r="DU17" t="s">
        <v>143</v>
      </c>
      <c r="DV17" t="s">
        <v>145</v>
      </c>
      <c r="DW17" t="s">
        <v>143</v>
      </c>
      <c r="DX17" t="s">
        <v>145</v>
      </c>
      <c r="DY17" t="s">
        <v>143</v>
      </c>
      <c r="DZ17" t="s">
        <v>145</v>
      </c>
      <c r="EA17" t="s">
        <v>143</v>
      </c>
      <c r="EB17" t="s">
        <v>144</v>
      </c>
      <c r="EC17" t="s">
        <v>143</v>
      </c>
      <c r="ED17" t="s">
        <v>145</v>
      </c>
      <c r="EE17" t="s">
        <v>143</v>
      </c>
      <c r="EF17" t="s">
        <v>144</v>
      </c>
      <c r="EG17" t="s">
        <v>143</v>
      </c>
      <c r="EH17" t="s">
        <v>144</v>
      </c>
      <c r="EI17" t="s">
        <v>143</v>
      </c>
      <c r="EJ17" t="s">
        <v>144</v>
      </c>
      <c r="EK17" t="s">
        <v>143</v>
      </c>
      <c r="EL17" t="s">
        <v>144</v>
      </c>
      <c r="EM17" t="s">
        <v>143</v>
      </c>
      <c r="EN17" t="s">
        <v>144</v>
      </c>
      <c r="EO17" t="s">
        <v>143</v>
      </c>
      <c r="EP17" t="s">
        <v>144</v>
      </c>
      <c r="EQ17" t="s">
        <v>143</v>
      </c>
      <c r="ER17" t="s">
        <v>144</v>
      </c>
      <c r="ES17" t="s">
        <v>143</v>
      </c>
      <c r="ET17" t="s">
        <v>144</v>
      </c>
      <c r="EU17" t="s">
        <v>143</v>
      </c>
      <c r="EV17" t="s">
        <v>145</v>
      </c>
      <c r="EW17" t="s">
        <v>143</v>
      </c>
      <c r="EX17" t="s">
        <v>144</v>
      </c>
      <c r="EY17" t="s">
        <v>143</v>
      </c>
      <c r="EZ17" t="s">
        <v>145</v>
      </c>
    </row>
    <row r="18" spans="1:156" x14ac:dyDescent="0.2">
      <c r="A18">
        <v>18</v>
      </c>
      <c r="B18" t="s">
        <v>262</v>
      </c>
      <c r="C18" s="4" t="s">
        <v>194</v>
      </c>
      <c r="D18" t="s">
        <v>187</v>
      </c>
      <c r="E18" s="1">
        <v>43236</v>
      </c>
      <c r="F18" t="s">
        <v>143</v>
      </c>
      <c r="G18" t="s">
        <v>144</v>
      </c>
      <c r="H18" t="s">
        <v>143</v>
      </c>
      <c r="I18" t="s">
        <v>147</v>
      </c>
      <c r="J18" t="s">
        <v>146</v>
      </c>
      <c r="K18" t="s">
        <v>147</v>
      </c>
      <c r="L18" t="s">
        <v>143</v>
      </c>
      <c r="M18" t="s">
        <v>144</v>
      </c>
      <c r="N18" t="s">
        <v>143</v>
      </c>
      <c r="O18" t="s">
        <v>144</v>
      </c>
      <c r="P18" t="s">
        <v>143</v>
      </c>
      <c r="Q18" t="s">
        <v>144</v>
      </c>
      <c r="R18" t="s">
        <v>143</v>
      </c>
      <c r="S18" t="s">
        <v>144</v>
      </c>
      <c r="T18" t="s">
        <v>143</v>
      </c>
      <c r="U18" t="s">
        <v>144</v>
      </c>
      <c r="V18" t="s">
        <v>143</v>
      </c>
      <c r="W18" t="s">
        <v>144</v>
      </c>
      <c r="X18" t="s">
        <v>143</v>
      </c>
      <c r="Y18" t="s">
        <v>144</v>
      </c>
      <c r="Z18" t="s">
        <v>143</v>
      </c>
      <c r="AA18" t="s">
        <v>144</v>
      </c>
      <c r="AB18" t="s">
        <v>143</v>
      </c>
      <c r="AC18" t="s">
        <v>144</v>
      </c>
      <c r="AD18" t="s">
        <v>143</v>
      </c>
      <c r="AE18" t="s">
        <v>145</v>
      </c>
      <c r="AF18" t="s">
        <v>143</v>
      </c>
      <c r="AG18" t="s">
        <v>144</v>
      </c>
      <c r="AP18" t="s">
        <v>143</v>
      </c>
      <c r="AQ18" t="s">
        <v>145</v>
      </c>
      <c r="AR18" t="s">
        <v>146</v>
      </c>
      <c r="AS18" t="s">
        <v>147</v>
      </c>
      <c r="AT18" t="s">
        <v>143</v>
      </c>
      <c r="AU18" t="s">
        <v>144</v>
      </c>
      <c r="AW18" t="s">
        <v>143</v>
      </c>
      <c r="AX18" t="s">
        <v>144</v>
      </c>
      <c r="AY18" t="s">
        <v>143</v>
      </c>
      <c r="AZ18" t="s">
        <v>144</v>
      </c>
      <c r="BA18" t="s">
        <v>143</v>
      </c>
      <c r="BB18" t="s">
        <v>144</v>
      </c>
      <c r="BC18" t="s">
        <v>143</v>
      </c>
      <c r="BD18" t="s">
        <v>147</v>
      </c>
      <c r="BE18" t="s">
        <v>143</v>
      </c>
      <c r="BF18" t="s">
        <v>147</v>
      </c>
      <c r="BG18" t="s">
        <v>143</v>
      </c>
      <c r="BH18" t="s">
        <v>144</v>
      </c>
      <c r="BI18" t="s">
        <v>143</v>
      </c>
      <c r="BJ18" t="s">
        <v>144</v>
      </c>
      <c r="BK18" t="s">
        <v>143</v>
      </c>
      <c r="BL18" t="s">
        <v>144</v>
      </c>
      <c r="BM18" t="s">
        <v>143</v>
      </c>
      <c r="BN18" t="s">
        <v>144</v>
      </c>
      <c r="BO18" t="s">
        <v>143</v>
      </c>
      <c r="BP18" t="s">
        <v>144</v>
      </c>
      <c r="BQ18" t="s">
        <v>143</v>
      </c>
      <c r="BR18" t="s">
        <v>145</v>
      </c>
      <c r="BS18" t="s">
        <v>143</v>
      </c>
      <c r="BT18" t="s">
        <v>147</v>
      </c>
      <c r="BU18" t="s">
        <v>143</v>
      </c>
      <c r="BV18" t="s">
        <v>145</v>
      </c>
      <c r="BW18" t="s">
        <v>143</v>
      </c>
      <c r="BX18" t="s">
        <v>144</v>
      </c>
      <c r="BY18" t="s">
        <v>143</v>
      </c>
      <c r="BZ18" t="s">
        <v>144</v>
      </c>
      <c r="CA18" t="s">
        <v>143</v>
      </c>
      <c r="CB18" t="s">
        <v>144</v>
      </c>
      <c r="CC18" t="s">
        <v>143</v>
      </c>
      <c r="CD18" t="s">
        <v>144</v>
      </c>
      <c r="CE18" t="s">
        <v>143</v>
      </c>
      <c r="CF18" t="s">
        <v>145</v>
      </c>
      <c r="CG18" t="s">
        <v>143</v>
      </c>
      <c r="CH18" t="s">
        <v>147</v>
      </c>
      <c r="CI18" t="s">
        <v>143</v>
      </c>
      <c r="CJ18" t="s">
        <v>145</v>
      </c>
      <c r="CK18" t="s">
        <v>143</v>
      </c>
      <c r="CL18" t="s">
        <v>144</v>
      </c>
      <c r="CM18" t="s">
        <v>143</v>
      </c>
      <c r="CN18" t="s">
        <v>144</v>
      </c>
      <c r="CO18" t="s">
        <v>143</v>
      </c>
      <c r="CP18" t="s">
        <v>144</v>
      </c>
      <c r="CQ18" t="s">
        <v>143</v>
      </c>
      <c r="CR18" t="s">
        <v>145</v>
      </c>
      <c r="CS18" t="s">
        <v>143</v>
      </c>
      <c r="CT18" t="s">
        <v>145</v>
      </c>
      <c r="CU18" t="s">
        <v>143</v>
      </c>
      <c r="CV18" t="s">
        <v>145</v>
      </c>
      <c r="CW18" t="s">
        <v>143</v>
      </c>
      <c r="CX18" t="s">
        <v>145</v>
      </c>
      <c r="CY18" t="s">
        <v>143</v>
      </c>
      <c r="CZ18" t="s">
        <v>145</v>
      </c>
      <c r="DA18" t="s">
        <v>143</v>
      </c>
      <c r="DB18" t="s">
        <v>145</v>
      </c>
      <c r="DC18" t="s">
        <v>143</v>
      </c>
      <c r="DD18" t="s">
        <v>144</v>
      </c>
      <c r="DE18" t="s">
        <v>146</v>
      </c>
      <c r="DF18" t="s">
        <v>147</v>
      </c>
      <c r="DG18" t="s">
        <v>143</v>
      </c>
      <c r="DH18" t="s">
        <v>144</v>
      </c>
      <c r="DI18" t="s">
        <v>146</v>
      </c>
      <c r="DJ18" t="s">
        <v>147</v>
      </c>
      <c r="DK18" t="s">
        <v>146</v>
      </c>
      <c r="DL18" t="s">
        <v>147</v>
      </c>
      <c r="DM18" t="s">
        <v>146</v>
      </c>
      <c r="DN18" t="s">
        <v>147</v>
      </c>
      <c r="DO18" t="s">
        <v>143</v>
      </c>
      <c r="DP18" t="s">
        <v>144</v>
      </c>
      <c r="DQ18" t="s">
        <v>143</v>
      </c>
      <c r="DR18" t="s">
        <v>145</v>
      </c>
      <c r="DS18" t="s">
        <v>143</v>
      </c>
      <c r="DT18" t="s">
        <v>145</v>
      </c>
      <c r="DU18" t="s">
        <v>143</v>
      </c>
      <c r="DV18" t="s">
        <v>144</v>
      </c>
      <c r="DW18" t="s">
        <v>143</v>
      </c>
      <c r="DX18" t="s">
        <v>144</v>
      </c>
      <c r="DY18" t="s">
        <v>143</v>
      </c>
      <c r="DZ18" t="s">
        <v>145</v>
      </c>
      <c r="EA18" t="s">
        <v>143</v>
      </c>
      <c r="EB18" t="s">
        <v>144</v>
      </c>
      <c r="EC18" t="s">
        <v>143</v>
      </c>
      <c r="ED18" t="s">
        <v>145</v>
      </c>
      <c r="EE18" t="s">
        <v>143</v>
      </c>
      <c r="EF18" t="s">
        <v>144</v>
      </c>
      <c r="EG18" t="s">
        <v>143</v>
      </c>
      <c r="EH18" t="s">
        <v>144</v>
      </c>
      <c r="EI18" t="s">
        <v>143</v>
      </c>
      <c r="EJ18" t="s">
        <v>144</v>
      </c>
      <c r="EK18" t="s">
        <v>143</v>
      </c>
      <c r="EL18" t="s">
        <v>144</v>
      </c>
      <c r="EM18" t="s">
        <v>143</v>
      </c>
      <c r="EN18" t="s">
        <v>144</v>
      </c>
      <c r="EO18" t="s">
        <v>143</v>
      </c>
      <c r="EP18" t="s">
        <v>144</v>
      </c>
      <c r="EQ18" t="s">
        <v>143</v>
      </c>
      <c r="ER18" t="s">
        <v>144</v>
      </c>
      <c r="ES18" t="s">
        <v>143</v>
      </c>
      <c r="ET18" t="s">
        <v>144</v>
      </c>
      <c r="EU18" t="s">
        <v>143</v>
      </c>
      <c r="EV18" t="s">
        <v>145</v>
      </c>
      <c r="EW18" t="s">
        <v>143</v>
      </c>
      <c r="EX18" t="s">
        <v>144</v>
      </c>
      <c r="EY18" t="s">
        <v>143</v>
      </c>
      <c r="EZ18" t="s">
        <v>145</v>
      </c>
    </row>
    <row r="19" spans="1:156" x14ac:dyDescent="0.2">
      <c r="A19">
        <v>20</v>
      </c>
      <c r="B19" t="s">
        <v>263</v>
      </c>
      <c r="C19" s="7" t="s">
        <v>194</v>
      </c>
      <c r="D19" t="s">
        <v>187</v>
      </c>
      <c r="E19" s="1">
        <v>43236</v>
      </c>
      <c r="F19" t="s">
        <v>143</v>
      </c>
      <c r="G19" t="s">
        <v>144</v>
      </c>
      <c r="H19" t="s">
        <v>143</v>
      </c>
      <c r="I19" t="s">
        <v>147</v>
      </c>
      <c r="J19" t="s">
        <v>146</v>
      </c>
      <c r="K19" t="s">
        <v>147</v>
      </c>
      <c r="L19" t="s">
        <v>143</v>
      </c>
      <c r="M19" t="s">
        <v>144</v>
      </c>
      <c r="N19" t="s">
        <v>143</v>
      </c>
      <c r="O19" t="s">
        <v>144</v>
      </c>
      <c r="P19" t="s">
        <v>143</v>
      </c>
      <c r="Q19" t="s">
        <v>144</v>
      </c>
      <c r="R19" t="s">
        <v>143</v>
      </c>
      <c r="S19" t="s">
        <v>144</v>
      </c>
      <c r="T19" t="s">
        <v>143</v>
      </c>
      <c r="U19" t="s">
        <v>144</v>
      </c>
      <c r="V19" t="s">
        <v>143</v>
      </c>
      <c r="W19" t="s">
        <v>144</v>
      </c>
      <c r="X19" t="s">
        <v>143</v>
      </c>
      <c r="Y19" t="s">
        <v>144</v>
      </c>
      <c r="Z19" t="s">
        <v>143</v>
      </c>
      <c r="AA19" t="s">
        <v>144</v>
      </c>
      <c r="AB19" t="s">
        <v>143</v>
      </c>
      <c r="AC19" t="s">
        <v>144</v>
      </c>
      <c r="AD19" t="s">
        <v>143</v>
      </c>
      <c r="AE19" t="s">
        <v>145</v>
      </c>
      <c r="AF19" t="s">
        <v>143</v>
      </c>
      <c r="AG19" t="s">
        <v>144</v>
      </c>
      <c r="AP19" t="s">
        <v>143</v>
      </c>
      <c r="AQ19" t="s">
        <v>145</v>
      </c>
      <c r="AR19" t="s">
        <v>146</v>
      </c>
      <c r="AS19" t="s">
        <v>147</v>
      </c>
      <c r="AT19" t="s">
        <v>143</v>
      </c>
      <c r="AU19" t="s">
        <v>144</v>
      </c>
      <c r="AW19" t="s">
        <v>143</v>
      </c>
      <c r="AX19" t="s">
        <v>144</v>
      </c>
      <c r="AY19" t="s">
        <v>143</v>
      </c>
      <c r="AZ19" t="s">
        <v>144</v>
      </c>
      <c r="BA19" t="s">
        <v>143</v>
      </c>
      <c r="BB19" t="s">
        <v>144</v>
      </c>
      <c r="BC19" t="s">
        <v>143</v>
      </c>
      <c r="BD19" t="s">
        <v>147</v>
      </c>
      <c r="BE19" t="s">
        <v>143</v>
      </c>
      <c r="BF19" t="s">
        <v>147</v>
      </c>
      <c r="BG19" t="s">
        <v>143</v>
      </c>
      <c r="BH19" t="s">
        <v>144</v>
      </c>
      <c r="BI19" t="s">
        <v>143</v>
      </c>
      <c r="BJ19" t="s">
        <v>144</v>
      </c>
      <c r="BK19" t="s">
        <v>143</v>
      </c>
      <c r="BL19" t="s">
        <v>144</v>
      </c>
      <c r="BM19" t="s">
        <v>143</v>
      </c>
      <c r="BN19" t="s">
        <v>144</v>
      </c>
      <c r="BO19" t="s">
        <v>143</v>
      </c>
      <c r="BP19" t="s">
        <v>144</v>
      </c>
      <c r="BQ19" t="s">
        <v>143</v>
      </c>
      <c r="BR19" t="s">
        <v>144</v>
      </c>
      <c r="BS19" t="s">
        <v>143</v>
      </c>
      <c r="BT19" t="s">
        <v>145</v>
      </c>
      <c r="BU19" t="s">
        <v>143</v>
      </c>
      <c r="BV19" t="s">
        <v>145</v>
      </c>
      <c r="BW19" t="s">
        <v>143</v>
      </c>
      <c r="BX19" t="s">
        <v>144</v>
      </c>
      <c r="BY19" t="s">
        <v>143</v>
      </c>
      <c r="BZ19" t="s">
        <v>144</v>
      </c>
      <c r="CA19" t="s">
        <v>143</v>
      </c>
      <c r="CB19" t="s">
        <v>144</v>
      </c>
      <c r="CC19" t="s">
        <v>143</v>
      </c>
      <c r="CD19" t="s">
        <v>144</v>
      </c>
      <c r="CE19" t="s">
        <v>143</v>
      </c>
      <c r="CF19" t="s">
        <v>145</v>
      </c>
      <c r="CG19" t="s">
        <v>143</v>
      </c>
      <c r="CH19" t="s">
        <v>145</v>
      </c>
      <c r="CI19" t="s">
        <v>143</v>
      </c>
      <c r="CJ19" t="s">
        <v>145</v>
      </c>
      <c r="CK19" t="s">
        <v>143</v>
      </c>
      <c r="CL19" t="s">
        <v>144</v>
      </c>
      <c r="CM19" t="s">
        <v>143</v>
      </c>
      <c r="CN19" t="s">
        <v>144</v>
      </c>
      <c r="CO19" t="s">
        <v>143</v>
      </c>
      <c r="CP19" t="s">
        <v>144</v>
      </c>
      <c r="CQ19" t="s">
        <v>143</v>
      </c>
      <c r="CR19" t="s">
        <v>145</v>
      </c>
      <c r="CS19" t="s">
        <v>143</v>
      </c>
      <c r="CT19" t="s">
        <v>145</v>
      </c>
      <c r="CU19" t="s">
        <v>143</v>
      </c>
      <c r="CV19" t="s">
        <v>145</v>
      </c>
      <c r="CW19" t="s">
        <v>143</v>
      </c>
      <c r="CX19" t="s">
        <v>145</v>
      </c>
      <c r="CY19" t="s">
        <v>143</v>
      </c>
      <c r="CZ19" t="s">
        <v>145</v>
      </c>
      <c r="DA19" t="s">
        <v>143</v>
      </c>
      <c r="DB19" t="s">
        <v>145</v>
      </c>
      <c r="DC19" t="s">
        <v>143</v>
      </c>
      <c r="DD19" t="s">
        <v>144</v>
      </c>
      <c r="DE19" t="s">
        <v>146</v>
      </c>
      <c r="DF19" t="s">
        <v>147</v>
      </c>
      <c r="DG19" t="s">
        <v>143</v>
      </c>
      <c r="DH19" t="s">
        <v>144</v>
      </c>
      <c r="DI19" t="s">
        <v>146</v>
      </c>
      <c r="DJ19" t="s">
        <v>147</v>
      </c>
      <c r="DK19" t="s">
        <v>146</v>
      </c>
      <c r="DL19" t="s">
        <v>147</v>
      </c>
      <c r="DM19" t="s">
        <v>143</v>
      </c>
      <c r="DN19" t="s">
        <v>145</v>
      </c>
      <c r="DO19" t="s">
        <v>143</v>
      </c>
      <c r="DP19" t="s">
        <v>144</v>
      </c>
      <c r="DQ19" t="s">
        <v>143</v>
      </c>
      <c r="DR19" t="s">
        <v>145</v>
      </c>
      <c r="DS19" t="s">
        <v>143</v>
      </c>
      <c r="DT19" t="s">
        <v>145</v>
      </c>
      <c r="DU19" t="s">
        <v>143</v>
      </c>
      <c r="DV19" t="s">
        <v>145</v>
      </c>
      <c r="DW19" t="s">
        <v>143</v>
      </c>
      <c r="DX19" t="s">
        <v>145</v>
      </c>
      <c r="DY19" t="s">
        <v>143</v>
      </c>
      <c r="DZ19" t="s">
        <v>145</v>
      </c>
      <c r="EA19" t="s">
        <v>143</v>
      </c>
      <c r="EB19" t="s">
        <v>144</v>
      </c>
      <c r="EC19" t="s">
        <v>143</v>
      </c>
      <c r="ED19" t="s">
        <v>145</v>
      </c>
      <c r="EE19" t="s">
        <v>143</v>
      </c>
      <c r="EF19" t="s">
        <v>144</v>
      </c>
      <c r="EG19" t="s">
        <v>143</v>
      </c>
      <c r="EH19" t="s">
        <v>144</v>
      </c>
      <c r="EI19" t="s">
        <v>143</v>
      </c>
      <c r="EJ19" t="s">
        <v>144</v>
      </c>
      <c r="EK19" t="s">
        <v>143</v>
      </c>
      <c r="EL19" t="s">
        <v>144</v>
      </c>
      <c r="EM19" t="s">
        <v>143</v>
      </c>
      <c r="EN19" t="s">
        <v>144</v>
      </c>
      <c r="EO19" t="s">
        <v>143</v>
      </c>
      <c r="EP19" t="s">
        <v>144</v>
      </c>
      <c r="EQ19" t="s">
        <v>143</v>
      </c>
      <c r="ER19" t="s">
        <v>144</v>
      </c>
      <c r="ES19" t="s">
        <v>143</v>
      </c>
      <c r="ET19" t="s">
        <v>144</v>
      </c>
      <c r="EU19" t="s">
        <v>143</v>
      </c>
      <c r="EV19" t="s">
        <v>145</v>
      </c>
      <c r="EW19" t="s">
        <v>143</v>
      </c>
      <c r="EX19" t="s">
        <v>144</v>
      </c>
      <c r="EY19" t="s">
        <v>143</v>
      </c>
      <c r="EZ19" t="s">
        <v>145</v>
      </c>
    </row>
    <row r="20" spans="1:156" x14ac:dyDescent="0.2">
      <c r="A20">
        <v>29</v>
      </c>
      <c r="B20" t="s">
        <v>264</v>
      </c>
      <c r="C20" s="7" t="s">
        <v>194</v>
      </c>
      <c r="D20" t="s">
        <v>187</v>
      </c>
      <c r="E20" s="6">
        <v>43493</v>
      </c>
      <c r="F20" t="s">
        <v>143</v>
      </c>
      <c r="G20" t="s">
        <v>144</v>
      </c>
      <c r="H20" t="s">
        <v>143</v>
      </c>
      <c r="I20" t="s">
        <v>147</v>
      </c>
      <c r="J20" t="s">
        <v>146</v>
      </c>
      <c r="K20" t="s">
        <v>147</v>
      </c>
      <c r="L20" t="s">
        <v>143</v>
      </c>
      <c r="M20" t="s">
        <v>144</v>
      </c>
      <c r="N20" t="s">
        <v>143</v>
      </c>
      <c r="O20" t="s">
        <v>144</v>
      </c>
      <c r="P20" t="s">
        <v>143</v>
      </c>
      <c r="Q20" t="s">
        <v>144</v>
      </c>
      <c r="R20" t="s">
        <v>143</v>
      </c>
      <c r="S20" t="s">
        <v>144</v>
      </c>
      <c r="T20" t="s">
        <v>143</v>
      </c>
      <c r="U20" t="s">
        <v>144</v>
      </c>
      <c r="V20" t="s">
        <v>143</v>
      </c>
      <c r="W20" t="s">
        <v>144</v>
      </c>
      <c r="X20" t="s">
        <v>143</v>
      </c>
      <c r="Y20" t="s">
        <v>144</v>
      </c>
      <c r="Z20" t="s">
        <v>143</v>
      </c>
      <c r="AA20" t="s">
        <v>144</v>
      </c>
      <c r="AB20" t="s">
        <v>143</v>
      </c>
      <c r="AC20" t="s">
        <v>144</v>
      </c>
      <c r="AD20" t="s">
        <v>143</v>
      </c>
      <c r="AE20" t="s">
        <v>145</v>
      </c>
      <c r="AF20" t="s">
        <v>143</v>
      </c>
      <c r="AG20" t="s">
        <v>144</v>
      </c>
      <c r="AP20" t="s">
        <v>143</v>
      </c>
      <c r="AQ20" t="s">
        <v>145</v>
      </c>
      <c r="AR20" t="s">
        <v>146</v>
      </c>
      <c r="AS20" t="s">
        <v>147</v>
      </c>
      <c r="AT20" t="s">
        <v>143</v>
      </c>
      <c r="AU20" t="s">
        <v>144</v>
      </c>
      <c r="AW20" t="s">
        <v>143</v>
      </c>
      <c r="AX20" t="s">
        <v>144</v>
      </c>
      <c r="AY20" t="s">
        <v>143</v>
      </c>
      <c r="AZ20" t="s">
        <v>144</v>
      </c>
      <c r="BA20" t="s">
        <v>143</v>
      </c>
      <c r="BB20" t="s">
        <v>144</v>
      </c>
      <c r="BC20" t="s">
        <v>143</v>
      </c>
      <c r="BD20" t="s">
        <v>145</v>
      </c>
      <c r="BE20" t="s">
        <v>143</v>
      </c>
      <c r="BF20" t="s">
        <v>147</v>
      </c>
      <c r="BG20" t="s">
        <v>143</v>
      </c>
      <c r="BH20" t="s">
        <v>144</v>
      </c>
      <c r="BI20" t="s">
        <v>143</v>
      </c>
      <c r="BJ20" t="s">
        <v>144</v>
      </c>
      <c r="BK20" t="s">
        <v>143</v>
      </c>
      <c r="BL20" t="s">
        <v>144</v>
      </c>
      <c r="BM20" t="s">
        <v>143</v>
      </c>
      <c r="BN20" t="s">
        <v>144</v>
      </c>
      <c r="BO20" t="s">
        <v>143</v>
      </c>
      <c r="BP20" t="s">
        <v>144</v>
      </c>
      <c r="BQ20" t="s">
        <v>143</v>
      </c>
      <c r="BR20" t="s">
        <v>144</v>
      </c>
      <c r="BS20" t="s">
        <v>143</v>
      </c>
      <c r="BT20" t="s">
        <v>144</v>
      </c>
      <c r="BU20" t="s">
        <v>143</v>
      </c>
      <c r="BV20" t="s">
        <v>144</v>
      </c>
      <c r="BW20" t="s">
        <v>143</v>
      </c>
      <c r="BX20" t="s">
        <v>144</v>
      </c>
      <c r="BY20" t="s">
        <v>143</v>
      </c>
      <c r="BZ20" t="s">
        <v>144</v>
      </c>
      <c r="CA20" t="s">
        <v>143</v>
      </c>
      <c r="CB20" t="s">
        <v>144</v>
      </c>
      <c r="CC20" t="s">
        <v>143</v>
      </c>
      <c r="CD20" t="s">
        <v>144</v>
      </c>
      <c r="CE20" t="s">
        <v>143</v>
      </c>
      <c r="CF20" t="s">
        <v>145</v>
      </c>
      <c r="CG20" t="s">
        <v>143</v>
      </c>
      <c r="CH20" t="s">
        <v>145</v>
      </c>
      <c r="CI20" t="s">
        <v>146</v>
      </c>
      <c r="CJ20" t="s">
        <v>147</v>
      </c>
      <c r="CK20" t="s">
        <v>143</v>
      </c>
      <c r="CL20" t="s">
        <v>144</v>
      </c>
      <c r="CM20" t="s">
        <v>143</v>
      </c>
      <c r="CN20" t="s">
        <v>145</v>
      </c>
      <c r="CO20" t="s">
        <v>143</v>
      </c>
      <c r="CP20" t="s">
        <v>144</v>
      </c>
      <c r="CQ20" t="s">
        <v>143</v>
      </c>
      <c r="CR20" t="s">
        <v>145</v>
      </c>
      <c r="CS20" t="s">
        <v>143</v>
      </c>
      <c r="CT20" t="s">
        <v>145</v>
      </c>
      <c r="CU20" t="s">
        <v>143</v>
      </c>
      <c r="CV20" t="s">
        <v>145</v>
      </c>
      <c r="CW20" t="s">
        <v>143</v>
      </c>
      <c r="CX20" t="s">
        <v>145</v>
      </c>
      <c r="CY20" t="s">
        <v>143</v>
      </c>
      <c r="CZ20" t="s">
        <v>145</v>
      </c>
      <c r="DA20" t="s">
        <v>143</v>
      </c>
      <c r="DB20" t="s">
        <v>145</v>
      </c>
      <c r="DC20" t="s">
        <v>143</v>
      </c>
      <c r="DD20" t="s">
        <v>144</v>
      </c>
      <c r="DE20" t="s">
        <v>146</v>
      </c>
      <c r="DF20" t="s">
        <v>147</v>
      </c>
      <c r="DG20" t="s">
        <v>143</v>
      </c>
      <c r="DH20" t="s">
        <v>144</v>
      </c>
      <c r="DI20" t="s">
        <v>146</v>
      </c>
      <c r="DJ20" t="s">
        <v>147</v>
      </c>
      <c r="DK20" t="s">
        <v>146</v>
      </c>
      <c r="DL20" t="s">
        <v>147</v>
      </c>
      <c r="DM20" t="s">
        <v>143</v>
      </c>
      <c r="DN20" t="s">
        <v>145</v>
      </c>
      <c r="DO20" t="s">
        <v>143</v>
      </c>
      <c r="DP20" t="s">
        <v>144</v>
      </c>
      <c r="DQ20" t="s">
        <v>143</v>
      </c>
      <c r="DR20" t="s">
        <v>145</v>
      </c>
      <c r="DS20" t="s">
        <v>143</v>
      </c>
      <c r="DT20" t="s">
        <v>145</v>
      </c>
      <c r="DU20" t="s">
        <v>143</v>
      </c>
      <c r="DV20" t="s">
        <v>144</v>
      </c>
      <c r="DW20" t="s">
        <v>143</v>
      </c>
      <c r="DX20" t="s">
        <v>144</v>
      </c>
      <c r="DY20" t="s">
        <v>143</v>
      </c>
      <c r="DZ20" t="s">
        <v>147</v>
      </c>
      <c r="EA20" t="s">
        <v>143</v>
      </c>
      <c r="EB20" t="s">
        <v>144</v>
      </c>
      <c r="EC20" t="s">
        <v>143</v>
      </c>
      <c r="ED20" t="s">
        <v>145</v>
      </c>
      <c r="EE20" t="s">
        <v>143</v>
      </c>
      <c r="EF20" t="s">
        <v>144</v>
      </c>
      <c r="EG20" t="s">
        <v>143</v>
      </c>
      <c r="EH20" t="s">
        <v>144</v>
      </c>
      <c r="EI20" t="s">
        <v>143</v>
      </c>
      <c r="EJ20" t="s">
        <v>144</v>
      </c>
      <c r="EK20" t="s">
        <v>143</v>
      </c>
      <c r="EL20" t="s">
        <v>144</v>
      </c>
      <c r="EM20" t="s">
        <v>143</v>
      </c>
      <c r="EN20" t="s">
        <v>144</v>
      </c>
      <c r="EO20" t="s">
        <v>143</v>
      </c>
      <c r="EP20" t="s">
        <v>144</v>
      </c>
      <c r="EQ20" t="s">
        <v>143</v>
      </c>
      <c r="ER20" t="s">
        <v>144</v>
      </c>
      <c r="ES20" t="s">
        <v>143</v>
      </c>
      <c r="ET20" t="s">
        <v>144</v>
      </c>
      <c r="EU20" t="s">
        <v>143</v>
      </c>
      <c r="EV20" t="s">
        <v>145</v>
      </c>
      <c r="EW20" t="s">
        <v>143</v>
      </c>
      <c r="EX20" t="s">
        <v>144</v>
      </c>
      <c r="EY20" t="s">
        <v>143</v>
      </c>
      <c r="EZ20" t="s">
        <v>145</v>
      </c>
    </row>
    <row r="21" spans="1:156" x14ac:dyDescent="0.2">
      <c r="A21">
        <v>30</v>
      </c>
      <c r="B21" t="s">
        <v>259</v>
      </c>
      <c r="C21" s="7" t="s">
        <v>194</v>
      </c>
      <c r="D21" t="s">
        <v>188</v>
      </c>
      <c r="E21" s="6">
        <v>43236</v>
      </c>
      <c r="F21" t="s">
        <v>143</v>
      </c>
      <c r="G21" t="s">
        <v>144</v>
      </c>
      <c r="H21" t="s">
        <v>143</v>
      </c>
      <c r="I21" t="s">
        <v>147</v>
      </c>
      <c r="J21" t="s">
        <v>146</v>
      </c>
      <c r="K21" t="s">
        <v>147</v>
      </c>
      <c r="L21" t="s">
        <v>143</v>
      </c>
      <c r="M21" t="s">
        <v>144</v>
      </c>
      <c r="N21" t="s">
        <v>143</v>
      </c>
      <c r="O21" t="s">
        <v>144</v>
      </c>
      <c r="P21" t="s">
        <v>143</v>
      </c>
      <c r="Q21" t="s">
        <v>144</v>
      </c>
      <c r="R21" t="s">
        <v>143</v>
      </c>
      <c r="S21" t="s">
        <v>144</v>
      </c>
      <c r="T21" t="s">
        <v>143</v>
      </c>
      <c r="U21" t="s">
        <v>144</v>
      </c>
      <c r="V21" t="s">
        <v>143</v>
      </c>
      <c r="W21" t="s">
        <v>144</v>
      </c>
      <c r="X21" t="s">
        <v>143</v>
      </c>
      <c r="Y21" t="s">
        <v>144</v>
      </c>
      <c r="Z21" t="s">
        <v>143</v>
      </c>
      <c r="AA21" t="s">
        <v>144</v>
      </c>
      <c r="AB21" t="s">
        <v>143</v>
      </c>
      <c r="AC21" t="s">
        <v>144</v>
      </c>
      <c r="AD21" t="s">
        <v>143</v>
      </c>
      <c r="AE21" t="s">
        <v>145</v>
      </c>
      <c r="AF21" t="s">
        <v>143</v>
      </c>
      <c r="AG21" t="s">
        <v>144</v>
      </c>
      <c r="AP21" t="s">
        <v>143</v>
      </c>
      <c r="AQ21" t="s">
        <v>145</v>
      </c>
      <c r="AR21" t="s">
        <v>146</v>
      </c>
      <c r="AS21" t="s">
        <v>147</v>
      </c>
      <c r="AT21" t="s">
        <v>143</v>
      </c>
      <c r="AU21" t="s">
        <v>144</v>
      </c>
      <c r="AW21" t="s">
        <v>143</v>
      </c>
      <c r="AX21" t="s">
        <v>144</v>
      </c>
      <c r="AY21" t="s">
        <v>143</v>
      </c>
      <c r="AZ21" t="s">
        <v>144</v>
      </c>
      <c r="BA21" t="s">
        <v>143</v>
      </c>
      <c r="BB21" t="s">
        <v>144</v>
      </c>
      <c r="BC21" t="s">
        <v>143</v>
      </c>
      <c r="BD21" t="s">
        <v>147</v>
      </c>
      <c r="BE21" t="s">
        <v>143</v>
      </c>
      <c r="BF21" t="s">
        <v>147</v>
      </c>
      <c r="BG21" t="s">
        <v>143</v>
      </c>
      <c r="BH21" t="s">
        <v>144</v>
      </c>
      <c r="BI21" t="s">
        <v>143</v>
      </c>
      <c r="BJ21" t="s">
        <v>144</v>
      </c>
      <c r="BK21" t="s">
        <v>143</v>
      </c>
      <c r="BL21" t="s">
        <v>144</v>
      </c>
      <c r="BM21" t="s">
        <v>143</v>
      </c>
      <c r="BN21" t="s">
        <v>144</v>
      </c>
      <c r="BO21" t="s">
        <v>143</v>
      </c>
      <c r="BP21" t="s">
        <v>144</v>
      </c>
      <c r="BQ21" t="s">
        <v>143</v>
      </c>
      <c r="BR21" t="s">
        <v>145</v>
      </c>
      <c r="BS21" t="s">
        <v>143</v>
      </c>
      <c r="BT21" t="s">
        <v>145</v>
      </c>
      <c r="BU21" t="s">
        <v>143</v>
      </c>
      <c r="BV21" t="s">
        <v>145</v>
      </c>
      <c r="BW21" t="s">
        <v>143</v>
      </c>
      <c r="BX21" t="s">
        <v>144</v>
      </c>
      <c r="BY21" t="s">
        <v>143</v>
      </c>
      <c r="BZ21" t="s">
        <v>144</v>
      </c>
      <c r="CA21" t="s">
        <v>143</v>
      </c>
      <c r="CB21" t="s">
        <v>144</v>
      </c>
      <c r="CC21" t="s">
        <v>143</v>
      </c>
      <c r="CD21" t="s">
        <v>144</v>
      </c>
      <c r="CE21" t="s">
        <v>143</v>
      </c>
      <c r="CF21" t="s">
        <v>145</v>
      </c>
      <c r="CG21" t="s">
        <v>143</v>
      </c>
      <c r="CH21" t="s">
        <v>147</v>
      </c>
      <c r="CI21" t="s">
        <v>143</v>
      </c>
      <c r="CJ21" t="s">
        <v>145</v>
      </c>
      <c r="CK21" t="s">
        <v>143</v>
      </c>
      <c r="CL21" t="s">
        <v>144</v>
      </c>
      <c r="CM21" t="s">
        <v>143</v>
      </c>
      <c r="CN21" t="s">
        <v>144</v>
      </c>
      <c r="CO21" t="s">
        <v>143</v>
      </c>
      <c r="CP21" t="s">
        <v>144</v>
      </c>
      <c r="CQ21" t="s">
        <v>143</v>
      </c>
      <c r="CR21" t="s">
        <v>145</v>
      </c>
      <c r="CS21" t="s">
        <v>143</v>
      </c>
      <c r="CT21" t="s">
        <v>145</v>
      </c>
      <c r="CU21" t="s">
        <v>143</v>
      </c>
      <c r="CV21" t="s">
        <v>145</v>
      </c>
      <c r="CW21" t="s">
        <v>143</v>
      </c>
      <c r="CX21" t="s">
        <v>145</v>
      </c>
      <c r="CY21" t="s">
        <v>143</v>
      </c>
      <c r="CZ21" t="s">
        <v>145</v>
      </c>
      <c r="DA21" t="s">
        <v>143</v>
      </c>
      <c r="DB21" t="s">
        <v>145</v>
      </c>
      <c r="DC21" t="s">
        <v>143</v>
      </c>
      <c r="DD21" t="s">
        <v>144</v>
      </c>
      <c r="DE21" t="s">
        <v>146</v>
      </c>
      <c r="DF21" t="s">
        <v>147</v>
      </c>
      <c r="DG21" t="s">
        <v>143</v>
      </c>
      <c r="DH21" t="s">
        <v>144</v>
      </c>
      <c r="DI21" t="s">
        <v>146</v>
      </c>
      <c r="DJ21" t="s">
        <v>147</v>
      </c>
      <c r="DK21" t="s">
        <v>146</v>
      </c>
      <c r="DL21" t="s">
        <v>147</v>
      </c>
      <c r="DM21" t="s">
        <v>146</v>
      </c>
      <c r="DN21" t="s">
        <v>147</v>
      </c>
      <c r="DO21" t="s">
        <v>143</v>
      </c>
      <c r="DP21" t="s">
        <v>144</v>
      </c>
      <c r="DQ21" t="s">
        <v>143</v>
      </c>
      <c r="DR21" t="s">
        <v>145</v>
      </c>
      <c r="DS21" t="s">
        <v>143</v>
      </c>
      <c r="DT21" t="s">
        <v>145</v>
      </c>
      <c r="DU21" t="s">
        <v>143</v>
      </c>
      <c r="DV21" t="s">
        <v>144</v>
      </c>
      <c r="DW21" t="s">
        <v>143</v>
      </c>
      <c r="DX21" t="s">
        <v>144</v>
      </c>
      <c r="DY21" t="s">
        <v>143</v>
      </c>
      <c r="DZ21" t="s">
        <v>145</v>
      </c>
      <c r="EA21" t="s">
        <v>143</v>
      </c>
      <c r="EB21" t="s">
        <v>144</v>
      </c>
      <c r="EC21" t="s">
        <v>143</v>
      </c>
      <c r="ED21" t="s">
        <v>145</v>
      </c>
      <c r="EE21" t="s">
        <v>143</v>
      </c>
      <c r="EF21" t="s">
        <v>144</v>
      </c>
      <c r="EG21" t="s">
        <v>143</v>
      </c>
      <c r="EH21" t="s">
        <v>144</v>
      </c>
      <c r="EI21" t="s">
        <v>143</v>
      </c>
      <c r="EJ21" t="s">
        <v>144</v>
      </c>
      <c r="EK21" t="s">
        <v>143</v>
      </c>
      <c r="EL21" t="s">
        <v>144</v>
      </c>
      <c r="EM21" t="s">
        <v>143</v>
      </c>
      <c r="EN21" t="s">
        <v>144</v>
      </c>
      <c r="EO21" t="s">
        <v>143</v>
      </c>
      <c r="EP21" t="s">
        <v>144</v>
      </c>
      <c r="EQ21" t="s">
        <v>143</v>
      </c>
      <c r="ER21" t="s">
        <v>144</v>
      </c>
      <c r="ES21" t="s">
        <v>143</v>
      </c>
      <c r="ET21" t="s">
        <v>144</v>
      </c>
      <c r="EU21" t="s">
        <v>143</v>
      </c>
      <c r="EV21" t="s">
        <v>145</v>
      </c>
      <c r="EW21" t="s">
        <v>143</v>
      </c>
      <c r="EX21" t="s">
        <v>144</v>
      </c>
      <c r="EY21" t="s">
        <v>143</v>
      </c>
      <c r="EZ21" t="s">
        <v>145</v>
      </c>
    </row>
    <row r="22" spans="1:156" x14ac:dyDescent="0.2">
      <c r="A22">
        <v>26</v>
      </c>
      <c r="B22" t="s">
        <v>265</v>
      </c>
      <c r="C22" s="4" t="s">
        <v>197</v>
      </c>
      <c r="D22" t="s">
        <v>187</v>
      </c>
      <c r="E22" s="1">
        <v>43472</v>
      </c>
      <c r="F22" t="s">
        <v>143</v>
      </c>
      <c r="G22" t="s">
        <v>147</v>
      </c>
      <c r="H22" t="s">
        <v>143</v>
      </c>
      <c r="I22" t="s">
        <v>145</v>
      </c>
      <c r="J22" t="s">
        <v>143</v>
      </c>
      <c r="K22" t="s">
        <v>145</v>
      </c>
      <c r="L22" t="s">
        <v>143</v>
      </c>
      <c r="M22" t="s">
        <v>144</v>
      </c>
      <c r="N22" t="s">
        <v>143</v>
      </c>
      <c r="O22" t="s">
        <v>144</v>
      </c>
      <c r="P22" t="s">
        <v>143</v>
      </c>
      <c r="Q22" t="s">
        <v>145</v>
      </c>
      <c r="R22" t="s">
        <v>143</v>
      </c>
      <c r="S22" t="s">
        <v>144</v>
      </c>
      <c r="T22" t="s">
        <v>143</v>
      </c>
      <c r="U22" t="s">
        <v>144</v>
      </c>
      <c r="V22" t="s">
        <v>143</v>
      </c>
      <c r="W22" t="s">
        <v>144</v>
      </c>
      <c r="X22" t="s">
        <v>143</v>
      </c>
      <c r="Y22" t="s">
        <v>144</v>
      </c>
      <c r="Z22" t="s">
        <v>143</v>
      </c>
      <c r="AA22" t="s">
        <v>144</v>
      </c>
      <c r="AB22" t="s">
        <v>143</v>
      </c>
      <c r="AC22" t="s">
        <v>144</v>
      </c>
      <c r="AD22" t="s">
        <v>143</v>
      </c>
      <c r="AE22" t="s">
        <v>144</v>
      </c>
      <c r="AF22" t="s">
        <v>143</v>
      </c>
      <c r="AG22" t="s">
        <v>144</v>
      </c>
      <c r="AP22" t="s">
        <v>143</v>
      </c>
      <c r="AQ22" t="s">
        <v>144</v>
      </c>
      <c r="AR22" t="s">
        <v>146</v>
      </c>
      <c r="AS22" t="s">
        <v>144</v>
      </c>
      <c r="AT22" t="s">
        <v>146</v>
      </c>
      <c r="AU22" t="s">
        <v>144</v>
      </c>
      <c r="AW22" t="s">
        <v>146</v>
      </c>
      <c r="AX22" t="s">
        <v>144</v>
      </c>
      <c r="AY22" t="s">
        <v>143</v>
      </c>
      <c r="AZ22" t="s">
        <v>144</v>
      </c>
      <c r="BA22" t="s">
        <v>143</v>
      </c>
      <c r="BB22" t="s">
        <v>144</v>
      </c>
      <c r="BC22" t="s">
        <v>143</v>
      </c>
      <c r="BD22" t="s">
        <v>144</v>
      </c>
      <c r="BE22" t="s">
        <v>143</v>
      </c>
      <c r="BF22" t="s">
        <v>144</v>
      </c>
      <c r="BG22" t="s">
        <v>143</v>
      </c>
      <c r="BH22" t="s">
        <v>144</v>
      </c>
      <c r="BI22" t="s">
        <v>143</v>
      </c>
      <c r="BJ22" t="s">
        <v>144</v>
      </c>
      <c r="BK22" t="s">
        <v>143</v>
      </c>
      <c r="BL22" t="s">
        <v>144</v>
      </c>
      <c r="BM22" t="s">
        <v>143</v>
      </c>
      <c r="BN22" t="s">
        <v>144</v>
      </c>
      <c r="BO22" t="s">
        <v>143</v>
      </c>
      <c r="BP22" t="s">
        <v>144</v>
      </c>
      <c r="BQ22" t="s">
        <v>143</v>
      </c>
      <c r="BR22" t="s">
        <v>144</v>
      </c>
      <c r="BS22" t="s">
        <v>143</v>
      </c>
      <c r="BT22" t="s">
        <v>145</v>
      </c>
      <c r="BU22" t="s">
        <v>143</v>
      </c>
      <c r="BV22" t="s">
        <v>144</v>
      </c>
      <c r="BW22" t="s">
        <v>143</v>
      </c>
      <c r="BX22" t="s">
        <v>144</v>
      </c>
      <c r="BY22" t="s">
        <v>143</v>
      </c>
      <c r="BZ22" t="s">
        <v>144</v>
      </c>
      <c r="CA22" t="s">
        <v>143</v>
      </c>
      <c r="CB22" t="s">
        <v>144</v>
      </c>
      <c r="CC22" t="s">
        <v>143</v>
      </c>
      <c r="CD22" t="s">
        <v>144</v>
      </c>
      <c r="CE22" t="s">
        <v>143</v>
      </c>
      <c r="CF22" t="s">
        <v>144</v>
      </c>
      <c r="CG22" t="s">
        <v>143</v>
      </c>
      <c r="CH22" t="s">
        <v>145</v>
      </c>
      <c r="CI22" t="s">
        <v>143</v>
      </c>
      <c r="CJ22" t="s">
        <v>144</v>
      </c>
      <c r="CK22" t="s">
        <v>143</v>
      </c>
      <c r="CL22" t="s">
        <v>144</v>
      </c>
      <c r="CM22" t="s">
        <v>143</v>
      </c>
      <c r="CN22" t="s">
        <v>144</v>
      </c>
      <c r="CO22" t="s">
        <v>143</v>
      </c>
      <c r="CP22" t="s">
        <v>144</v>
      </c>
      <c r="CQ22" t="s">
        <v>143</v>
      </c>
      <c r="CR22" t="s">
        <v>144</v>
      </c>
      <c r="CS22" t="s">
        <v>143</v>
      </c>
      <c r="CT22" t="s">
        <v>144</v>
      </c>
      <c r="CU22" t="s">
        <v>143</v>
      </c>
      <c r="CV22" t="s">
        <v>145</v>
      </c>
      <c r="CW22" t="s">
        <v>143</v>
      </c>
      <c r="CX22" t="s">
        <v>144</v>
      </c>
      <c r="CY22" t="s">
        <v>143</v>
      </c>
      <c r="CZ22" t="s">
        <v>144</v>
      </c>
      <c r="DA22" t="s">
        <v>143</v>
      </c>
      <c r="DB22" t="s">
        <v>145</v>
      </c>
      <c r="DC22" t="s">
        <v>143</v>
      </c>
      <c r="DD22" t="s">
        <v>144</v>
      </c>
      <c r="DE22" t="s">
        <v>146</v>
      </c>
      <c r="DF22" t="s">
        <v>147</v>
      </c>
      <c r="DG22" t="s">
        <v>146</v>
      </c>
      <c r="DH22" t="s">
        <v>147</v>
      </c>
      <c r="DI22" t="s">
        <v>146</v>
      </c>
      <c r="DJ22" t="s">
        <v>147</v>
      </c>
      <c r="DK22" t="s">
        <v>146</v>
      </c>
      <c r="DL22" t="s">
        <v>147</v>
      </c>
      <c r="DM22" t="s">
        <v>143</v>
      </c>
      <c r="DN22" t="s">
        <v>144</v>
      </c>
      <c r="DO22" t="s">
        <v>143</v>
      </c>
      <c r="DP22" t="s">
        <v>144</v>
      </c>
      <c r="DQ22" t="s">
        <v>143</v>
      </c>
      <c r="DR22" t="s">
        <v>145</v>
      </c>
      <c r="DS22" t="s">
        <v>143</v>
      </c>
      <c r="DT22" t="s">
        <v>145</v>
      </c>
      <c r="DU22" t="s">
        <v>143</v>
      </c>
      <c r="DV22" t="s">
        <v>144</v>
      </c>
      <c r="DW22" t="s">
        <v>143</v>
      </c>
      <c r="DX22" t="s">
        <v>145</v>
      </c>
      <c r="DY22" t="s">
        <v>143</v>
      </c>
      <c r="DZ22" t="s">
        <v>145</v>
      </c>
      <c r="EA22" t="s">
        <v>143</v>
      </c>
      <c r="EB22" t="s">
        <v>144</v>
      </c>
      <c r="EC22" t="s">
        <v>143</v>
      </c>
      <c r="ED22" t="s">
        <v>145</v>
      </c>
      <c r="EE22" t="s">
        <v>143</v>
      </c>
      <c r="EF22" t="s">
        <v>144</v>
      </c>
      <c r="EG22" t="s">
        <v>143</v>
      </c>
      <c r="EH22" t="s">
        <v>144</v>
      </c>
      <c r="EI22" t="s">
        <v>143</v>
      </c>
      <c r="EJ22" t="s">
        <v>144</v>
      </c>
      <c r="EK22" t="s">
        <v>143</v>
      </c>
      <c r="EL22" t="s">
        <v>144</v>
      </c>
      <c r="EM22" t="s">
        <v>143</v>
      </c>
      <c r="EN22" t="s">
        <v>144</v>
      </c>
      <c r="EO22" t="s">
        <v>143</v>
      </c>
      <c r="EP22" t="s">
        <v>144</v>
      </c>
      <c r="EQ22" t="s">
        <v>143</v>
      </c>
      <c r="ER22" t="s">
        <v>144</v>
      </c>
      <c r="ES22" t="s">
        <v>143</v>
      </c>
      <c r="ET22" t="s">
        <v>144</v>
      </c>
      <c r="EU22" t="s">
        <v>143</v>
      </c>
      <c r="EV22" t="s">
        <v>144</v>
      </c>
      <c r="EW22" t="s">
        <v>143</v>
      </c>
      <c r="EX22" t="s">
        <v>144</v>
      </c>
      <c r="EY22" t="s">
        <v>143</v>
      </c>
      <c r="EZ22" t="s">
        <v>145</v>
      </c>
    </row>
    <row r="23" spans="1:156" x14ac:dyDescent="0.2">
      <c r="A23">
        <v>31</v>
      </c>
      <c r="B23" t="s">
        <v>266</v>
      </c>
      <c r="C23" s="4" t="s">
        <v>197</v>
      </c>
      <c r="D23" t="s">
        <v>187</v>
      </c>
      <c r="E23" s="6">
        <v>43612</v>
      </c>
      <c r="F23" t="s">
        <v>143</v>
      </c>
      <c r="G23" t="s">
        <v>144</v>
      </c>
      <c r="H23" t="s">
        <v>143</v>
      </c>
      <c r="I23" t="s">
        <v>147</v>
      </c>
      <c r="J23" t="s">
        <v>146</v>
      </c>
      <c r="K23" t="s">
        <v>147</v>
      </c>
      <c r="L23" t="s">
        <v>143</v>
      </c>
      <c r="M23" t="s">
        <v>144</v>
      </c>
      <c r="N23" t="s">
        <v>143</v>
      </c>
      <c r="O23" t="s">
        <v>144</v>
      </c>
      <c r="P23" t="s">
        <v>143</v>
      </c>
      <c r="Q23" t="s">
        <v>144</v>
      </c>
      <c r="R23" t="s">
        <v>143</v>
      </c>
      <c r="S23" t="s">
        <v>144</v>
      </c>
      <c r="T23" t="s">
        <v>143</v>
      </c>
      <c r="U23" t="s">
        <v>144</v>
      </c>
      <c r="V23" t="s">
        <v>143</v>
      </c>
      <c r="W23" t="s">
        <v>144</v>
      </c>
      <c r="X23" t="s">
        <v>143</v>
      </c>
      <c r="Y23" t="s">
        <v>144</v>
      </c>
      <c r="Z23" t="s">
        <v>143</v>
      </c>
      <c r="AA23" t="s">
        <v>144</v>
      </c>
      <c r="AB23" t="s">
        <v>143</v>
      </c>
      <c r="AC23" t="s">
        <v>144</v>
      </c>
      <c r="AD23" t="s">
        <v>143</v>
      </c>
      <c r="AE23" t="s">
        <v>145</v>
      </c>
      <c r="AF23" t="s">
        <v>143</v>
      </c>
      <c r="AG23" t="s">
        <v>144</v>
      </c>
      <c r="AP23" t="s">
        <v>143</v>
      </c>
      <c r="AQ23" t="s">
        <v>145</v>
      </c>
      <c r="AR23" t="s">
        <v>146</v>
      </c>
      <c r="AS23" t="s">
        <v>147</v>
      </c>
      <c r="AT23" t="s">
        <v>143</v>
      </c>
      <c r="AU23" t="s">
        <v>144</v>
      </c>
      <c r="AW23" t="s">
        <v>143</v>
      </c>
      <c r="AX23" t="s">
        <v>144</v>
      </c>
      <c r="AY23" t="s">
        <v>143</v>
      </c>
      <c r="AZ23" t="s">
        <v>144</v>
      </c>
      <c r="BA23" t="s">
        <v>143</v>
      </c>
      <c r="BB23" t="s">
        <v>144</v>
      </c>
      <c r="BC23" t="s">
        <v>143</v>
      </c>
      <c r="BD23" t="s">
        <v>147</v>
      </c>
      <c r="BE23" t="s">
        <v>143</v>
      </c>
      <c r="BF23" t="s">
        <v>147</v>
      </c>
      <c r="BG23" t="s">
        <v>143</v>
      </c>
      <c r="BH23" t="s">
        <v>144</v>
      </c>
      <c r="BI23" t="s">
        <v>143</v>
      </c>
      <c r="BJ23" t="s">
        <v>144</v>
      </c>
      <c r="BK23" t="s">
        <v>143</v>
      </c>
      <c r="BL23" t="s">
        <v>144</v>
      </c>
      <c r="BM23" t="s">
        <v>143</v>
      </c>
      <c r="BN23" t="s">
        <v>144</v>
      </c>
      <c r="BO23" t="s">
        <v>143</v>
      </c>
      <c r="BP23" t="s">
        <v>144</v>
      </c>
      <c r="BQ23" t="s">
        <v>143</v>
      </c>
      <c r="BR23" t="s">
        <v>145</v>
      </c>
      <c r="BS23" t="s">
        <v>143</v>
      </c>
      <c r="BT23" t="s">
        <v>147</v>
      </c>
      <c r="BU23" t="s">
        <v>143</v>
      </c>
      <c r="BV23" t="s">
        <v>145</v>
      </c>
      <c r="BW23" t="s">
        <v>143</v>
      </c>
      <c r="BX23" t="s">
        <v>144</v>
      </c>
      <c r="BY23" t="s">
        <v>143</v>
      </c>
      <c r="BZ23" t="s">
        <v>144</v>
      </c>
      <c r="CA23" t="s">
        <v>143</v>
      </c>
      <c r="CB23" t="s">
        <v>144</v>
      </c>
      <c r="CC23" t="s">
        <v>143</v>
      </c>
      <c r="CD23" t="s">
        <v>144</v>
      </c>
      <c r="CE23" t="s">
        <v>143</v>
      </c>
      <c r="CF23" t="s">
        <v>145</v>
      </c>
      <c r="CG23" t="s">
        <v>143</v>
      </c>
      <c r="CH23" t="s">
        <v>147</v>
      </c>
      <c r="CI23" t="s">
        <v>143</v>
      </c>
      <c r="CJ23" t="s">
        <v>145</v>
      </c>
      <c r="CK23" t="s">
        <v>143</v>
      </c>
      <c r="CL23" t="s">
        <v>144</v>
      </c>
      <c r="CM23" t="s">
        <v>143</v>
      </c>
      <c r="CN23" t="s">
        <v>144</v>
      </c>
      <c r="CO23" t="s">
        <v>143</v>
      </c>
      <c r="CP23" t="s">
        <v>144</v>
      </c>
      <c r="CQ23" t="s">
        <v>143</v>
      </c>
      <c r="CR23" t="s">
        <v>145</v>
      </c>
      <c r="CS23" t="s">
        <v>143</v>
      </c>
      <c r="CT23" t="s">
        <v>145</v>
      </c>
      <c r="CU23" t="s">
        <v>143</v>
      </c>
      <c r="CV23" t="s">
        <v>145</v>
      </c>
      <c r="CW23" t="s">
        <v>143</v>
      </c>
      <c r="CX23" t="s">
        <v>145</v>
      </c>
      <c r="CY23" t="s">
        <v>143</v>
      </c>
      <c r="CZ23" t="s">
        <v>145</v>
      </c>
      <c r="DA23" t="s">
        <v>143</v>
      </c>
      <c r="DB23" t="s">
        <v>145</v>
      </c>
      <c r="DC23" t="s">
        <v>143</v>
      </c>
      <c r="DD23" t="s">
        <v>144</v>
      </c>
      <c r="DE23" t="s">
        <v>146</v>
      </c>
      <c r="DF23" t="s">
        <v>147</v>
      </c>
      <c r="DG23" t="s">
        <v>143</v>
      </c>
      <c r="DH23" t="s">
        <v>144</v>
      </c>
      <c r="DI23" t="s">
        <v>146</v>
      </c>
      <c r="DJ23" t="s">
        <v>147</v>
      </c>
      <c r="DK23" t="s">
        <v>146</v>
      </c>
      <c r="DL23" t="s">
        <v>147</v>
      </c>
      <c r="DM23" t="s">
        <v>146</v>
      </c>
      <c r="DN23" t="s">
        <v>147</v>
      </c>
      <c r="DO23" t="s">
        <v>143</v>
      </c>
      <c r="DP23" t="s">
        <v>144</v>
      </c>
      <c r="DQ23" t="s">
        <v>143</v>
      </c>
      <c r="DR23" t="s">
        <v>145</v>
      </c>
      <c r="DS23" t="s">
        <v>143</v>
      </c>
      <c r="DT23" t="s">
        <v>145</v>
      </c>
      <c r="DU23" t="s">
        <v>143</v>
      </c>
      <c r="DV23" t="s">
        <v>144</v>
      </c>
      <c r="DW23" t="s">
        <v>143</v>
      </c>
      <c r="DX23" t="s">
        <v>144</v>
      </c>
      <c r="DY23" t="s">
        <v>143</v>
      </c>
      <c r="DZ23" t="s">
        <v>145</v>
      </c>
      <c r="EA23" t="s">
        <v>143</v>
      </c>
      <c r="EB23" t="s">
        <v>144</v>
      </c>
      <c r="EC23" t="s">
        <v>143</v>
      </c>
      <c r="ED23" t="s">
        <v>145</v>
      </c>
      <c r="EE23" t="s">
        <v>143</v>
      </c>
      <c r="EF23" t="s">
        <v>144</v>
      </c>
      <c r="EG23" t="s">
        <v>143</v>
      </c>
      <c r="EH23" t="s">
        <v>144</v>
      </c>
      <c r="EI23" t="s">
        <v>143</v>
      </c>
      <c r="EJ23" t="s">
        <v>144</v>
      </c>
      <c r="EK23" t="s">
        <v>143</v>
      </c>
      <c r="EL23" t="s">
        <v>144</v>
      </c>
      <c r="EM23" t="s">
        <v>143</v>
      </c>
      <c r="EN23" t="s">
        <v>144</v>
      </c>
      <c r="EO23" t="s">
        <v>143</v>
      </c>
      <c r="EP23" t="s">
        <v>144</v>
      </c>
      <c r="EQ23" t="s">
        <v>143</v>
      </c>
      <c r="ER23" t="s">
        <v>144</v>
      </c>
      <c r="ES23" t="s">
        <v>143</v>
      </c>
      <c r="ET23" t="s">
        <v>144</v>
      </c>
      <c r="EU23" t="s">
        <v>143</v>
      </c>
      <c r="EV23" t="s">
        <v>145</v>
      </c>
      <c r="EW23" t="s">
        <v>143</v>
      </c>
      <c r="EX23" t="s">
        <v>144</v>
      </c>
      <c r="EY23" t="s">
        <v>143</v>
      </c>
      <c r="EZ23" t="s">
        <v>145</v>
      </c>
    </row>
    <row r="24" spans="1:156" x14ac:dyDescent="0.2">
      <c r="A24">
        <v>32</v>
      </c>
      <c r="B24" t="s">
        <v>267</v>
      </c>
      <c r="C24" s="4" t="s">
        <v>197</v>
      </c>
      <c r="D24" t="s">
        <v>187</v>
      </c>
      <c r="E24" s="6">
        <v>44111</v>
      </c>
      <c r="F24" t="s">
        <v>143</v>
      </c>
      <c r="G24" t="s">
        <v>144</v>
      </c>
      <c r="H24" t="s">
        <v>143</v>
      </c>
      <c r="I24" t="s">
        <v>147</v>
      </c>
      <c r="J24" t="s">
        <v>146</v>
      </c>
      <c r="K24" t="s">
        <v>147</v>
      </c>
      <c r="L24" t="s">
        <v>143</v>
      </c>
      <c r="M24" t="s">
        <v>144</v>
      </c>
      <c r="N24" t="s">
        <v>143</v>
      </c>
      <c r="O24" t="s">
        <v>144</v>
      </c>
      <c r="P24" t="s">
        <v>143</v>
      </c>
      <c r="Q24" t="s">
        <v>144</v>
      </c>
      <c r="R24" t="s">
        <v>143</v>
      </c>
      <c r="S24" t="s">
        <v>144</v>
      </c>
      <c r="T24" t="s">
        <v>143</v>
      </c>
      <c r="U24" t="s">
        <v>144</v>
      </c>
      <c r="V24" t="s">
        <v>143</v>
      </c>
      <c r="W24" t="s">
        <v>144</v>
      </c>
      <c r="X24" t="s">
        <v>143</v>
      </c>
      <c r="Y24" t="s">
        <v>144</v>
      </c>
      <c r="Z24" t="s">
        <v>143</v>
      </c>
      <c r="AA24" t="s">
        <v>144</v>
      </c>
      <c r="AB24" t="s">
        <v>143</v>
      </c>
      <c r="AC24" t="s">
        <v>144</v>
      </c>
      <c r="AD24" t="s">
        <v>143</v>
      </c>
      <c r="AE24" t="s">
        <v>145</v>
      </c>
      <c r="AF24" t="s">
        <v>143</v>
      </c>
      <c r="AG24" t="s">
        <v>144</v>
      </c>
      <c r="AP24" t="s">
        <v>143</v>
      </c>
      <c r="AQ24" t="s">
        <v>145</v>
      </c>
      <c r="AR24" t="s">
        <v>146</v>
      </c>
      <c r="AS24" t="s">
        <v>147</v>
      </c>
      <c r="AT24" t="s">
        <v>143</v>
      </c>
      <c r="AU24" t="s">
        <v>144</v>
      </c>
      <c r="AW24" t="s">
        <v>143</v>
      </c>
      <c r="AX24" t="s">
        <v>144</v>
      </c>
      <c r="AY24" t="s">
        <v>143</v>
      </c>
      <c r="AZ24" t="s">
        <v>144</v>
      </c>
      <c r="BA24" t="s">
        <v>143</v>
      </c>
      <c r="BB24" t="s">
        <v>144</v>
      </c>
      <c r="BC24" t="s">
        <v>143</v>
      </c>
      <c r="BD24" t="s">
        <v>147</v>
      </c>
      <c r="BE24" t="s">
        <v>143</v>
      </c>
      <c r="BF24" t="s">
        <v>147</v>
      </c>
      <c r="BG24" t="s">
        <v>143</v>
      </c>
      <c r="BH24" t="s">
        <v>144</v>
      </c>
      <c r="BI24" t="s">
        <v>143</v>
      </c>
      <c r="BJ24" t="s">
        <v>144</v>
      </c>
      <c r="BK24" t="s">
        <v>143</v>
      </c>
      <c r="BL24" t="s">
        <v>144</v>
      </c>
      <c r="BM24" t="s">
        <v>143</v>
      </c>
      <c r="BN24" t="s">
        <v>144</v>
      </c>
      <c r="BO24" t="s">
        <v>143</v>
      </c>
      <c r="BP24" t="s">
        <v>144</v>
      </c>
      <c r="BQ24" t="s">
        <v>143</v>
      </c>
      <c r="BR24" t="s">
        <v>145</v>
      </c>
      <c r="BS24" t="s">
        <v>143</v>
      </c>
      <c r="BT24" t="s">
        <v>147</v>
      </c>
      <c r="BU24" t="s">
        <v>143</v>
      </c>
      <c r="BV24" t="s">
        <v>145</v>
      </c>
      <c r="BW24" t="s">
        <v>143</v>
      </c>
      <c r="BX24" t="s">
        <v>144</v>
      </c>
      <c r="BY24" t="s">
        <v>143</v>
      </c>
      <c r="BZ24" t="s">
        <v>144</v>
      </c>
      <c r="CA24" t="s">
        <v>143</v>
      </c>
      <c r="CB24" t="s">
        <v>144</v>
      </c>
      <c r="CC24" t="s">
        <v>143</v>
      </c>
      <c r="CD24" t="s">
        <v>144</v>
      </c>
      <c r="CE24" t="s">
        <v>143</v>
      </c>
      <c r="CF24" t="s">
        <v>145</v>
      </c>
      <c r="CG24" t="s">
        <v>143</v>
      </c>
      <c r="CH24" t="s">
        <v>147</v>
      </c>
      <c r="CI24" t="s">
        <v>143</v>
      </c>
      <c r="CJ24" t="s">
        <v>145</v>
      </c>
      <c r="CK24" t="s">
        <v>143</v>
      </c>
      <c r="CL24" t="s">
        <v>144</v>
      </c>
      <c r="CM24" t="s">
        <v>143</v>
      </c>
      <c r="CN24" t="s">
        <v>144</v>
      </c>
      <c r="CO24" t="s">
        <v>143</v>
      </c>
      <c r="CP24" t="s">
        <v>144</v>
      </c>
      <c r="CQ24" t="s">
        <v>143</v>
      </c>
      <c r="CR24" t="s">
        <v>145</v>
      </c>
      <c r="CS24" t="s">
        <v>143</v>
      </c>
      <c r="CT24" t="s">
        <v>145</v>
      </c>
      <c r="CU24" t="s">
        <v>143</v>
      </c>
      <c r="CV24" t="s">
        <v>145</v>
      </c>
      <c r="CW24" t="s">
        <v>143</v>
      </c>
      <c r="CX24" t="s">
        <v>145</v>
      </c>
      <c r="CY24" t="s">
        <v>143</v>
      </c>
      <c r="CZ24" t="s">
        <v>145</v>
      </c>
      <c r="DA24" t="s">
        <v>143</v>
      </c>
      <c r="DB24" t="s">
        <v>145</v>
      </c>
      <c r="DC24" t="s">
        <v>143</v>
      </c>
      <c r="DD24" t="s">
        <v>144</v>
      </c>
      <c r="DE24" t="s">
        <v>146</v>
      </c>
      <c r="DF24" t="s">
        <v>147</v>
      </c>
      <c r="DG24" t="s">
        <v>143</v>
      </c>
      <c r="DH24" t="s">
        <v>144</v>
      </c>
      <c r="DI24" t="s">
        <v>146</v>
      </c>
      <c r="DJ24" t="s">
        <v>147</v>
      </c>
      <c r="DK24" t="s">
        <v>146</v>
      </c>
      <c r="DL24" t="s">
        <v>147</v>
      </c>
      <c r="DM24" t="s">
        <v>146</v>
      </c>
      <c r="DN24" t="s">
        <v>147</v>
      </c>
      <c r="DO24" t="s">
        <v>143</v>
      </c>
      <c r="DP24" t="s">
        <v>144</v>
      </c>
      <c r="DQ24" t="s">
        <v>143</v>
      </c>
      <c r="DR24" t="s">
        <v>145</v>
      </c>
      <c r="DS24" t="s">
        <v>143</v>
      </c>
      <c r="DT24" t="s">
        <v>145</v>
      </c>
      <c r="DU24" t="s">
        <v>143</v>
      </c>
      <c r="DV24" t="s">
        <v>144</v>
      </c>
      <c r="DW24" t="s">
        <v>143</v>
      </c>
      <c r="DX24" t="s">
        <v>144</v>
      </c>
      <c r="DY24" t="s">
        <v>143</v>
      </c>
      <c r="DZ24" t="s">
        <v>145</v>
      </c>
      <c r="EA24" t="s">
        <v>143</v>
      </c>
      <c r="EB24" t="s">
        <v>144</v>
      </c>
      <c r="EC24" t="s">
        <v>143</v>
      </c>
      <c r="ED24" t="s">
        <v>145</v>
      </c>
      <c r="EE24" t="s">
        <v>143</v>
      </c>
      <c r="EF24" t="s">
        <v>144</v>
      </c>
      <c r="EG24" t="s">
        <v>143</v>
      </c>
      <c r="EH24" t="s">
        <v>144</v>
      </c>
      <c r="EI24" t="s">
        <v>143</v>
      </c>
      <c r="EJ24" t="s">
        <v>144</v>
      </c>
      <c r="EK24" t="s">
        <v>143</v>
      </c>
      <c r="EL24" t="s">
        <v>144</v>
      </c>
      <c r="EM24" t="s">
        <v>143</v>
      </c>
      <c r="EN24" t="s">
        <v>144</v>
      </c>
      <c r="EO24" t="s">
        <v>143</v>
      </c>
      <c r="EP24" t="s">
        <v>144</v>
      </c>
      <c r="EQ24" t="s">
        <v>143</v>
      </c>
      <c r="ER24" t="s">
        <v>144</v>
      </c>
      <c r="ES24" t="s">
        <v>143</v>
      </c>
      <c r="ET24" t="s">
        <v>144</v>
      </c>
      <c r="EU24" t="s">
        <v>143</v>
      </c>
      <c r="EV24" t="s">
        <v>145</v>
      </c>
      <c r="EW24" t="s">
        <v>143</v>
      </c>
      <c r="EX24" t="s">
        <v>144</v>
      </c>
      <c r="EY24" t="s">
        <v>143</v>
      </c>
      <c r="EZ24" t="s">
        <v>145</v>
      </c>
    </row>
    <row r="25" spans="1:156" x14ac:dyDescent="0.2">
      <c r="A25">
        <v>33</v>
      </c>
      <c r="B25" t="s">
        <v>268</v>
      </c>
      <c r="C25" s="4" t="s">
        <v>197</v>
      </c>
      <c r="D25" t="s">
        <v>187</v>
      </c>
      <c r="E25" s="6">
        <v>43928</v>
      </c>
      <c r="F25" t="s">
        <v>143</v>
      </c>
      <c r="G25" t="s">
        <v>144</v>
      </c>
      <c r="H25" t="s">
        <v>143</v>
      </c>
      <c r="I25" t="s">
        <v>147</v>
      </c>
      <c r="J25" t="s">
        <v>146</v>
      </c>
      <c r="K25" t="s">
        <v>147</v>
      </c>
      <c r="L25" t="s">
        <v>143</v>
      </c>
      <c r="M25" t="s">
        <v>144</v>
      </c>
      <c r="N25" t="s">
        <v>143</v>
      </c>
      <c r="O25" t="s">
        <v>144</v>
      </c>
      <c r="P25" t="s">
        <v>143</v>
      </c>
      <c r="Q25" t="s">
        <v>144</v>
      </c>
      <c r="R25" t="s">
        <v>143</v>
      </c>
      <c r="S25" t="s">
        <v>144</v>
      </c>
      <c r="T25" t="s">
        <v>143</v>
      </c>
      <c r="U25" t="s">
        <v>144</v>
      </c>
      <c r="V25" t="s">
        <v>143</v>
      </c>
      <c r="W25" t="s">
        <v>144</v>
      </c>
      <c r="X25" t="s">
        <v>143</v>
      </c>
      <c r="Y25" t="s">
        <v>144</v>
      </c>
      <c r="Z25" t="s">
        <v>143</v>
      </c>
      <c r="AA25" t="s">
        <v>144</v>
      </c>
      <c r="AB25" t="s">
        <v>143</v>
      </c>
      <c r="AC25" t="s">
        <v>144</v>
      </c>
      <c r="AD25" t="s">
        <v>143</v>
      </c>
      <c r="AE25" t="s">
        <v>145</v>
      </c>
      <c r="AF25" t="s">
        <v>143</v>
      </c>
      <c r="AG25" t="s">
        <v>144</v>
      </c>
      <c r="AP25" t="s">
        <v>143</v>
      </c>
      <c r="AQ25" t="s">
        <v>145</v>
      </c>
      <c r="AR25" t="s">
        <v>146</v>
      </c>
      <c r="AS25" t="s">
        <v>147</v>
      </c>
      <c r="AT25" t="s">
        <v>143</v>
      </c>
      <c r="AU25" t="s">
        <v>144</v>
      </c>
      <c r="AW25" t="s">
        <v>143</v>
      </c>
      <c r="AX25" t="s">
        <v>144</v>
      </c>
      <c r="AY25" t="s">
        <v>143</v>
      </c>
      <c r="AZ25" t="s">
        <v>144</v>
      </c>
      <c r="BA25" t="s">
        <v>143</v>
      </c>
      <c r="BB25" t="s">
        <v>144</v>
      </c>
      <c r="BC25" t="s">
        <v>143</v>
      </c>
      <c r="BD25" t="s">
        <v>147</v>
      </c>
      <c r="BE25" t="s">
        <v>143</v>
      </c>
      <c r="BF25" t="s">
        <v>147</v>
      </c>
      <c r="BG25" t="s">
        <v>143</v>
      </c>
      <c r="BH25" t="s">
        <v>144</v>
      </c>
      <c r="BI25" t="s">
        <v>143</v>
      </c>
      <c r="BJ25" t="s">
        <v>144</v>
      </c>
      <c r="BK25" t="s">
        <v>143</v>
      </c>
      <c r="BL25" t="s">
        <v>144</v>
      </c>
      <c r="BM25" t="s">
        <v>143</v>
      </c>
      <c r="BN25" t="s">
        <v>144</v>
      </c>
      <c r="BO25" t="s">
        <v>143</v>
      </c>
      <c r="BP25" t="s">
        <v>144</v>
      </c>
      <c r="BQ25" t="s">
        <v>143</v>
      </c>
      <c r="BR25" t="s">
        <v>145</v>
      </c>
      <c r="BS25" t="s">
        <v>143</v>
      </c>
      <c r="BT25" t="s">
        <v>147</v>
      </c>
      <c r="BU25" t="s">
        <v>143</v>
      </c>
      <c r="BV25" t="s">
        <v>145</v>
      </c>
      <c r="BW25" t="s">
        <v>143</v>
      </c>
      <c r="BX25" t="s">
        <v>144</v>
      </c>
      <c r="BY25" t="s">
        <v>143</v>
      </c>
      <c r="BZ25" t="s">
        <v>144</v>
      </c>
      <c r="CA25" t="s">
        <v>143</v>
      </c>
      <c r="CB25" t="s">
        <v>144</v>
      </c>
      <c r="CC25" t="s">
        <v>143</v>
      </c>
      <c r="CD25" t="s">
        <v>144</v>
      </c>
      <c r="CE25" t="s">
        <v>143</v>
      </c>
      <c r="CF25" t="s">
        <v>145</v>
      </c>
      <c r="CG25" t="s">
        <v>143</v>
      </c>
      <c r="CH25" t="s">
        <v>147</v>
      </c>
      <c r="CI25" t="s">
        <v>143</v>
      </c>
      <c r="CJ25" t="s">
        <v>145</v>
      </c>
      <c r="CK25" t="s">
        <v>143</v>
      </c>
      <c r="CL25" t="s">
        <v>144</v>
      </c>
      <c r="CM25" t="s">
        <v>143</v>
      </c>
      <c r="CN25" t="s">
        <v>144</v>
      </c>
      <c r="CO25" t="s">
        <v>143</v>
      </c>
      <c r="CP25" t="s">
        <v>144</v>
      </c>
      <c r="CQ25" t="s">
        <v>143</v>
      </c>
      <c r="CR25" t="s">
        <v>145</v>
      </c>
      <c r="CS25" t="s">
        <v>143</v>
      </c>
      <c r="CT25" t="s">
        <v>145</v>
      </c>
      <c r="CU25" t="s">
        <v>143</v>
      </c>
      <c r="CV25" t="s">
        <v>145</v>
      </c>
      <c r="CW25" t="s">
        <v>143</v>
      </c>
      <c r="CX25" t="s">
        <v>145</v>
      </c>
      <c r="CY25" t="s">
        <v>143</v>
      </c>
      <c r="CZ25" t="s">
        <v>145</v>
      </c>
      <c r="DA25" t="s">
        <v>143</v>
      </c>
      <c r="DB25" t="s">
        <v>145</v>
      </c>
      <c r="DC25" t="s">
        <v>143</v>
      </c>
      <c r="DD25" t="s">
        <v>144</v>
      </c>
      <c r="DE25" t="s">
        <v>146</v>
      </c>
      <c r="DF25" t="s">
        <v>147</v>
      </c>
      <c r="DG25" t="s">
        <v>143</v>
      </c>
      <c r="DH25" t="s">
        <v>144</v>
      </c>
      <c r="DI25" t="s">
        <v>146</v>
      </c>
      <c r="DJ25" t="s">
        <v>147</v>
      </c>
      <c r="DK25" t="s">
        <v>146</v>
      </c>
      <c r="DL25" t="s">
        <v>147</v>
      </c>
      <c r="DM25" t="s">
        <v>146</v>
      </c>
      <c r="DN25" t="s">
        <v>147</v>
      </c>
      <c r="DO25" t="s">
        <v>143</v>
      </c>
      <c r="DP25" t="s">
        <v>144</v>
      </c>
      <c r="DQ25" t="s">
        <v>143</v>
      </c>
      <c r="DR25" t="s">
        <v>145</v>
      </c>
      <c r="DS25" t="s">
        <v>143</v>
      </c>
      <c r="DT25" t="s">
        <v>145</v>
      </c>
      <c r="DU25" t="s">
        <v>143</v>
      </c>
      <c r="DV25" t="s">
        <v>144</v>
      </c>
      <c r="DW25" t="s">
        <v>143</v>
      </c>
      <c r="DX25" t="s">
        <v>144</v>
      </c>
      <c r="DY25" t="s">
        <v>143</v>
      </c>
      <c r="DZ25" t="s">
        <v>145</v>
      </c>
      <c r="EA25" t="s">
        <v>143</v>
      </c>
      <c r="EB25" t="s">
        <v>144</v>
      </c>
      <c r="EC25" t="s">
        <v>143</v>
      </c>
      <c r="ED25" t="s">
        <v>145</v>
      </c>
      <c r="EE25" t="s">
        <v>143</v>
      </c>
      <c r="EF25" t="s">
        <v>144</v>
      </c>
      <c r="EG25" t="s">
        <v>143</v>
      </c>
      <c r="EH25" t="s">
        <v>144</v>
      </c>
      <c r="EI25" t="s">
        <v>143</v>
      </c>
      <c r="EJ25" t="s">
        <v>144</v>
      </c>
      <c r="EK25" t="s">
        <v>143</v>
      </c>
      <c r="EL25" t="s">
        <v>144</v>
      </c>
      <c r="EM25" t="s">
        <v>143</v>
      </c>
      <c r="EN25" t="s">
        <v>144</v>
      </c>
      <c r="EO25" t="s">
        <v>143</v>
      </c>
      <c r="EP25" t="s">
        <v>144</v>
      </c>
      <c r="EQ25" t="s">
        <v>143</v>
      </c>
      <c r="ER25" t="s">
        <v>144</v>
      </c>
      <c r="ES25" t="s">
        <v>143</v>
      </c>
      <c r="ET25" t="s">
        <v>144</v>
      </c>
      <c r="EU25" t="s">
        <v>143</v>
      </c>
      <c r="EV25" t="s">
        <v>145</v>
      </c>
      <c r="EW25" t="s">
        <v>143</v>
      </c>
      <c r="EX25" t="s">
        <v>144</v>
      </c>
      <c r="EY25" t="s">
        <v>143</v>
      </c>
      <c r="EZ25" t="s">
        <v>145</v>
      </c>
    </row>
    <row r="26" spans="1:156" x14ac:dyDescent="0.2">
      <c r="A26">
        <v>34</v>
      </c>
      <c r="B26" t="s">
        <v>269</v>
      </c>
      <c r="C26" s="4" t="s">
        <v>197</v>
      </c>
      <c r="D26" t="s">
        <v>187</v>
      </c>
      <c r="E26" s="6">
        <v>43989</v>
      </c>
      <c r="F26" t="s">
        <v>143</v>
      </c>
      <c r="G26" t="s">
        <v>144</v>
      </c>
      <c r="H26" t="s">
        <v>143</v>
      </c>
      <c r="I26" t="s">
        <v>147</v>
      </c>
      <c r="J26" t="s">
        <v>146</v>
      </c>
      <c r="K26" t="s">
        <v>147</v>
      </c>
      <c r="L26" t="s">
        <v>143</v>
      </c>
      <c r="M26" t="s">
        <v>144</v>
      </c>
      <c r="N26" t="s">
        <v>143</v>
      </c>
      <c r="O26" t="s">
        <v>144</v>
      </c>
      <c r="P26" t="s">
        <v>143</v>
      </c>
      <c r="Q26" t="s">
        <v>144</v>
      </c>
      <c r="R26" t="s">
        <v>143</v>
      </c>
      <c r="S26" t="s">
        <v>144</v>
      </c>
      <c r="T26" t="s">
        <v>143</v>
      </c>
      <c r="U26" t="s">
        <v>144</v>
      </c>
      <c r="V26" t="s">
        <v>143</v>
      </c>
      <c r="W26" t="s">
        <v>144</v>
      </c>
      <c r="X26" t="s">
        <v>143</v>
      </c>
      <c r="Y26" t="s">
        <v>144</v>
      </c>
      <c r="Z26" t="s">
        <v>143</v>
      </c>
      <c r="AA26" t="s">
        <v>144</v>
      </c>
      <c r="AB26" t="s">
        <v>143</v>
      </c>
      <c r="AC26" t="s">
        <v>144</v>
      </c>
      <c r="AD26" t="s">
        <v>143</v>
      </c>
      <c r="AE26" t="s">
        <v>145</v>
      </c>
      <c r="AF26" t="s">
        <v>143</v>
      </c>
      <c r="AG26" t="s">
        <v>144</v>
      </c>
      <c r="AP26" t="s">
        <v>143</v>
      </c>
      <c r="AQ26" t="s">
        <v>145</v>
      </c>
      <c r="AR26" t="s">
        <v>146</v>
      </c>
      <c r="AS26" t="s">
        <v>147</v>
      </c>
      <c r="AT26" t="s">
        <v>143</v>
      </c>
      <c r="AU26" t="s">
        <v>144</v>
      </c>
      <c r="AW26" t="s">
        <v>143</v>
      </c>
      <c r="AX26" t="s">
        <v>144</v>
      </c>
      <c r="AY26" t="s">
        <v>143</v>
      </c>
      <c r="AZ26" t="s">
        <v>144</v>
      </c>
      <c r="BA26" t="s">
        <v>143</v>
      </c>
      <c r="BB26" t="s">
        <v>144</v>
      </c>
      <c r="BC26" t="s">
        <v>143</v>
      </c>
      <c r="BD26" t="s">
        <v>147</v>
      </c>
      <c r="BE26" t="s">
        <v>143</v>
      </c>
      <c r="BF26" t="s">
        <v>147</v>
      </c>
      <c r="BG26" t="s">
        <v>143</v>
      </c>
      <c r="BH26" t="s">
        <v>144</v>
      </c>
      <c r="BI26" t="s">
        <v>143</v>
      </c>
      <c r="BJ26" t="s">
        <v>144</v>
      </c>
      <c r="BK26" t="s">
        <v>143</v>
      </c>
      <c r="BL26" t="s">
        <v>144</v>
      </c>
      <c r="BM26" t="s">
        <v>143</v>
      </c>
      <c r="BN26" t="s">
        <v>144</v>
      </c>
      <c r="BO26" t="s">
        <v>143</v>
      </c>
      <c r="BP26" t="s">
        <v>144</v>
      </c>
      <c r="BQ26" t="s">
        <v>143</v>
      </c>
      <c r="BR26" t="s">
        <v>145</v>
      </c>
      <c r="BS26" t="s">
        <v>143</v>
      </c>
      <c r="BT26" t="s">
        <v>147</v>
      </c>
      <c r="BU26" t="s">
        <v>143</v>
      </c>
      <c r="BV26" t="s">
        <v>145</v>
      </c>
      <c r="BW26" t="s">
        <v>143</v>
      </c>
      <c r="BX26" t="s">
        <v>144</v>
      </c>
      <c r="BY26" t="s">
        <v>143</v>
      </c>
      <c r="BZ26" t="s">
        <v>144</v>
      </c>
      <c r="CA26" t="s">
        <v>143</v>
      </c>
      <c r="CB26" t="s">
        <v>144</v>
      </c>
      <c r="CC26" t="s">
        <v>143</v>
      </c>
      <c r="CD26" t="s">
        <v>144</v>
      </c>
      <c r="CE26" t="s">
        <v>143</v>
      </c>
      <c r="CF26" t="s">
        <v>145</v>
      </c>
      <c r="CG26" t="s">
        <v>143</v>
      </c>
      <c r="CH26" t="s">
        <v>147</v>
      </c>
      <c r="CI26" t="s">
        <v>143</v>
      </c>
      <c r="CJ26" t="s">
        <v>145</v>
      </c>
      <c r="CK26" t="s">
        <v>143</v>
      </c>
      <c r="CL26" t="s">
        <v>144</v>
      </c>
      <c r="CM26" t="s">
        <v>143</v>
      </c>
      <c r="CN26" t="s">
        <v>144</v>
      </c>
      <c r="CO26" t="s">
        <v>143</v>
      </c>
      <c r="CP26" t="s">
        <v>144</v>
      </c>
      <c r="CQ26" t="s">
        <v>143</v>
      </c>
      <c r="CR26" t="s">
        <v>145</v>
      </c>
      <c r="CS26" t="s">
        <v>143</v>
      </c>
      <c r="CT26" t="s">
        <v>145</v>
      </c>
      <c r="CU26" t="s">
        <v>143</v>
      </c>
      <c r="CV26" t="s">
        <v>145</v>
      </c>
      <c r="CW26" t="s">
        <v>143</v>
      </c>
      <c r="CX26" t="s">
        <v>145</v>
      </c>
      <c r="CY26" t="s">
        <v>143</v>
      </c>
      <c r="CZ26" t="s">
        <v>145</v>
      </c>
      <c r="DA26" t="s">
        <v>143</v>
      </c>
      <c r="DB26" t="s">
        <v>145</v>
      </c>
      <c r="DC26" t="s">
        <v>143</v>
      </c>
      <c r="DD26" t="s">
        <v>144</v>
      </c>
      <c r="DE26" t="s">
        <v>146</v>
      </c>
      <c r="DF26" t="s">
        <v>147</v>
      </c>
      <c r="DG26" t="s">
        <v>143</v>
      </c>
      <c r="DH26" t="s">
        <v>144</v>
      </c>
      <c r="DI26" t="s">
        <v>146</v>
      </c>
      <c r="DJ26" t="s">
        <v>147</v>
      </c>
      <c r="DK26" t="s">
        <v>146</v>
      </c>
      <c r="DL26" t="s">
        <v>147</v>
      </c>
      <c r="DM26" t="s">
        <v>146</v>
      </c>
      <c r="DN26" t="s">
        <v>147</v>
      </c>
      <c r="DO26" t="s">
        <v>143</v>
      </c>
      <c r="DP26" t="s">
        <v>144</v>
      </c>
      <c r="DQ26" t="s">
        <v>143</v>
      </c>
      <c r="DR26" t="s">
        <v>145</v>
      </c>
      <c r="DS26" t="s">
        <v>143</v>
      </c>
      <c r="DT26" t="s">
        <v>145</v>
      </c>
      <c r="DU26" t="s">
        <v>143</v>
      </c>
      <c r="DV26" t="s">
        <v>144</v>
      </c>
      <c r="DW26" t="s">
        <v>143</v>
      </c>
      <c r="DX26" t="s">
        <v>144</v>
      </c>
      <c r="DY26" t="s">
        <v>143</v>
      </c>
      <c r="DZ26" t="s">
        <v>145</v>
      </c>
      <c r="EA26" t="s">
        <v>143</v>
      </c>
      <c r="EB26" t="s">
        <v>144</v>
      </c>
      <c r="EC26" t="s">
        <v>143</v>
      </c>
      <c r="ED26" t="s">
        <v>145</v>
      </c>
      <c r="EE26" t="s">
        <v>143</v>
      </c>
      <c r="EF26" t="s">
        <v>144</v>
      </c>
      <c r="EG26" t="s">
        <v>143</v>
      </c>
      <c r="EH26" t="s">
        <v>144</v>
      </c>
      <c r="EI26" t="s">
        <v>143</v>
      </c>
      <c r="EJ26" t="s">
        <v>144</v>
      </c>
      <c r="EK26" t="s">
        <v>143</v>
      </c>
      <c r="EL26" t="s">
        <v>144</v>
      </c>
      <c r="EM26" t="s">
        <v>143</v>
      </c>
      <c r="EN26" t="s">
        <v>144</v>
      </c>
      <c r="EO26" t="s">
        <v>143</v>
      </c>
      <c r="EP26" t="s">
        <v>144</v>
      </c>
      <c r="EQ26" t="s">
        <v>143</v>
      </c>
      <c r="ER26" t="s">
        <v>144</v>
      </c>
      <c r="ES26" t="s">
        <v>143</v>
      </c>
      <c r="ET26" t="s">
        <v>144</v>
      </c>
      <c r="EU26" t="s">
        <v>143</v>
      </c>
      <c r="EV26" t="s">
        <v>145</v>
      </c>
      <c r="EW26" t="s">
        <v>143</v>
      </c>
      <c r="EX26" t="s">
        <v>144</v>
      </c>
      <c r="EY26" t="s">
        <v>143</v>
      </c>
      <c r="EZ26" t="s">
        <v>145</v>
      </c>
    </row>
    <row r="27" spans="1:156" x14ac:dyDescent="0.2">
      <c r="A27">
        <v>3</v>
      </c>
      <c r="B27" t="s">
        <v>270</v>
      </c>
      <c r="C27" s="4" t="s">
        <v>192</v>
      </c>
      <c r="D27" t="s">
        <v>187</v>
      </c>
      <c r="E27" s="1">
        <v>42677</v>
      </c>
      <c r="F27" t="s">
        <v>143</v>
      </c>
      <c r="G27" t="s">
        <v>144</v>
      </c>
      <c r="H27" t="s">
        <v>143</v>
      </c>
      <c r="I27" t="s">
        <v>144</v>
      </c>
      <c r="J27" t="s">
        <v>143</v>
      </c>
      <c r="K27" t="s">
        <v>144</v>
      </c>
      <c r="L27" t="s">
        <v>143</v>
      </c>
      <c r="M27" t="s">
        <v>144</v>
      </c>
      <c r="N27" t="s">
        <v>143</v>
      </c>
      <c r="O27" t="s">
        <v>144</v>
      </c>
      <c r="P27" t="s">
        <v>143</v>
      </c>
      <c r="Q27" t="s">
        <v>144</v>
      </c>
      <c r="R27" t="s">
        <v>143</v>
      </c>
      <c r="S27" t="s">
        <v>144</v>
      </c>
      <c r="T27" t="s">
        <v>143</v>
      </c>
      <c r="U27" t="s">
        <v>144</v>
      </c>
      <c r="V27" t="s">
        <v>143</v>
      </c>
      <c r="W27" t="s">
        <v>144</v>
      </c>
      <c r="X27" t="s">
        <v>143</v>
      </c>
      <c r="Y27" t="s">
        <v>144</v>
      </c>
      <c r="Z27" t="s">
        <v>143</v>
      </c>
      <c r="AA27" t="s">
        <v>144</v>
      </c>
      <c r="AB27" t="s">
        <v>143</v>
      </c>
      <c r="AC27" t="s">
        <v>144</v>
      </c>
      <c r="AD27" t="s">
        <v>143</v>
      </c>
      <c r="AE27" t="s">
        <v>144</v>
      </c>
      <c r="AF27" t="s">
        <v>143</v>
      </c>
      <c r="AG27" t="s">
        <v>144</v>
      </c>
      <c r="AP27" t="s">
        <v>143</v>
      </c>
      <c r="AQ27" t="s">
        <v>144</v>
      </c>
      <c r="AR27" t="s">
        <v>143</v>
      </c>
      <c r="AS27" t="s">
        <v>147</v>
      </c>
      <c r="AT27" t="s">
        <v>143</v>
      </c>
      <c r="AU27" t="s">
        <v>144</v>
      </c>
      <c r="AW27" t="s">
        <v>143</v>
      </c>
      <c r="AX27" t="s">
        <v>144</v>
      </c>
      <c r="AY27" t="s">
        <v>143</v>
      </c>
      <c r="AZ27" t="s">
        <v>144</v>
      </c>
      <c r="BA27" t="s">
        <v>143</v>
      </c>
      <c r="BB27" t="s">
        <v>144</v>
      </c>
      <c r="BC27" t="s">
        <v>143</v>
      </c>
      <c r="BD27" t="s">
        <v>144</v>
      </c>
      <c r="BE27" t="s">
        <v>143</v>
      </c>
      <c r="BF27" t="s">
        <v>144</v>
      </c>
      <c r="BG27" t="s">
        <v>143</v>
      </c>
      <c r="BH27" t="s">
        <v>144</v>
      </c>
      <c r="BI27" t="s">
        <v>143</v>
      </c>
      <c r="BJ27" t="s">
        <v>144</v>
      </c>
      <c r="BK27" t="s">
        <v>143</v>
      </c>
      <c r="BL27" t="s">
        <v>144</v>
      </c>
      <c r="BM27" t="s">
        <v>143</v>
      </c>
      <c r="BN27" t="s">
        <v>144</v>
      </c>
      <c r="BO27" t="s">
        <v>143</v>
      </c>
      <c r="BP27" t="s">
        <v>144</v>
      </c>
      <c r="BQ27" t="s">
        <v>143</v>
      </c>
      <c r="BR27" t="s">
        <v>144</v>
      </c>
      <c r="BS27" t="s">
        <v>143</v>
      </c>
      <c r="BT27" t="s">
        <v>144</v>
      </c>
      <c r="BU27" t="s">
        <v>143</v>
      </c>
      <c r="BV27" t="s">
        <v>144</v>
      </c>
      <c r="BW27" t="s">
        <v>143</v>
      </c>
      <c r="BX27" t="s">
        <v>144</v>
      </c>
      <c r="BY27" t="s">
        <v>143</v>
      </c>
      <c r="BZ27" t="s">
        <v>144</v>
      </c>
      <c r="CA27" t="s">
        <v>143</v>
      </c>
      <c r="CB27" t="s">
        <v>144</v>
      </c>
      <c r="CC27" t="s">
        <v>143</v>
      </c>
      <c r="CD27" t="s">
        <v>144</v>
      </c>
      <c r="CE27" t="s">
        <v>143</v>
      </c>
      <c r="CF27" t="s">
        <v>145</v>
      </c>
      <c r="CG27" t="s">
        <v>143</v>
      </c>
      <c r="CH27" t="s">
        <v>144</v>
      </c>
      <c r="CI27" t="s">
        <v>143</v>
      </c>
      <c r="CJ27" t="s">
        <v>144</v>
      </c>
      <c r="CK27" t="s">
        <v>143</v>
      </c>
      <c r="CL27" t="s">
        <v>144</v>
      </c>
      <c r="CM27" t="s">
        <v>143</v>
      </c>
      <c r="CN27" t="s">
        <v>144</v>
      </c>
      <c r="CO27" t="s">
        <v>143</v>
      </c>
      <c r="CP27" t="s">
        <v>144</v>
      </c>
      <c r="CQ27" t="s">
        <v>143</v>
      </c>
      <c r="CR27" t="s">
        <v>145</v>
      </c>
      <c r="CS27" t="s">
        <v>143</v>
      </c>
      <c r="CT27" t="s">
        <v>145</v>
      </c>
      <c r="CU27" t="s">
        <v>143</v>
      </c>
      <c r="CV27" t="s">
        <v>145</v>
      </c>
      <c r="CW27" t="s">
        <v>143</v>
      </c>
      <c r="CX27" t="s">
        <v>145</v>
      </c>
      <c r="CY27" t="s">
        <v>143</v>
      </c>
      <c r="CZ27" t="s">
        <v>145</v>
      </c>
      <c r="DA27" t="s">
        <v>143</v>
      </c>
      <c r="DB27" t="s">
        <v>145</v>
      </c>
      <c r="DC27" t="s">
        <v>143</v>
      </c>
      <c r="DD27" t="s">
        <v>144</v>
      </c>
      <c r="DE27" t="s">
        <v>143</v>
      </c>
      <c r="DF27" t="s">
        <v>144</v>
      </c>
      <c r="DG27" t="s">
        <v>143</v>
      </c>
      <c r="DH27" t="s">
        <v>144</v>
      </c>
      <c r="DI27" t="s">
        <v>143</v>
      </c>
      <c r="DJ27" t="s">
        <v>144</v>
      </c>
      <c r="DK27" t="s">
        <v>143</v>
      </c>
      <c r="DL27" t="s">
        <v>144</v>
      </c>
      <c r="DM27" t="s">
        <v>143</v>
      </c>
      <c r="DN27" t="s">
        <v>144</v>
      </c>
      <c r="DO27" t="s">
        <v>143</v>
      </c>
      <c r="DP27" t="s">
        <v>144</v>
      </c>
      <c r="DQ27" t="s">
        <v>143</v>
      </c>
      <c r="DR27" t="s">
        <v>144</v>
      </c>
      <c r="DS27" t="s">
        <v>143</v>
      </c>
      <c r="DT27" t="s">
        <v>145</v>
      </c>
      <c r="DU27" t="s">
        <v>143</v>
      </c>
      <c r="DV27" t="s">
        <v>145</v>
      </c>
      <c r="DW27" t="s">
        <v>143</v>
      </c>
      <c r="DX27" t="s">
        <v>145</v>
      </c>
      <c r="DY27" t="s">
        <v>143</v>
      </c>
      <c r="DZ27" t="s">
        <v>144</v>
      </c>
      <c r="EA27" t="s">
        <v>143</v>
      </c>
      <c r="EB27" t="s">
        <v>144</v>
      </c>
      <c r="EC27" t="s">
        <v>143</v>
      </c>
      <c r="ED27" t="s">
        <v>144</v>
      </c>
      <c r="EE27" t="s">
        <v>143</v>
      </c>
      <c r="EF27" t="s">
        <v>144</v>
      </c>
      <c r="EG27" t="s">
        <v>143</v>
      </c>
      <c r="EH27" t="s">
        <v>144</v>
      </c>
      <c r="EI27" t="s">
        <v>143</v>
      </c>
      <c r="EJ27" t="s">
        <v>144</v>
      </c>
      <c r="EK27" t="s">
        <v>143</v>
      </c>
      <c r="EL27" t="s">
        <v>144</v>
      </c>
      <c r="EM27" t="s">
        <v>143</v>
      </c>
      <c r="EN27" t="s">
        <v>144</v>
      </c>
      <c r="EO27" t="s">
        <v>143</v>
      </c>
      <c r="EP27" t="s">
        <v>144</v>
      </c>
      <c r="EQ27" t="s">
        <v>143</v>
      </c>
      <c r="ER27" t="s">
        <v>144</v>
      </c>
      <c r="ES27" t="s">
        <v>143</v>
      </c>
      <c r="ET27" t="s">
        <v>144</v>
      </c>
      <c r="EU27" t="s">
        <v>143</v>
      </c>
      <c r="EV27" t="s">
        <v>147</v>
      </c>
      <c r="EW27" t="s">
        <v>143</v>
      </c>
      <c r="EX27" t="s">
        <v>144</v>
      </c>
      <c r="EY27" t="s">
        <v>143</v>
      </c>
      <c r="EZ27" t="s">
        <v>144</v>
      </c>
    </row>
    <row r="28" spans="1:156" x14ac:dyDescent="0.2">
      <c r="A28">
        <v>47</v>
      </c>
      <c r="B28" t="s">
        <v>271</v>
      </c>
      <c r="C28" s="7" t="s">
        <v>192</v>
      </c>
      <c r="D28" t="s">
        <v>187</v>
      </c>
      <c r="E28" s="6">
        <v>42691</v>
      </c>
      <c r="F28" t="s">
        <v>143</v>
      </c>
      <c r="G28" t="s">
        <v>144</v>
      </c>
      <c r="H28" t="s">
        <v>143</v>
      </c>
      <c r="I28" t="s">
        <v>144</v>
      </c>
      <c r="J28" t="s">
        <v>143</v>
      </c>
      <c r="K28" t="s">
        <v>144</v>
      </c>
      <c r="L28" t="s">
        <v>143</v>
      </c>
      <c r="M28" t="s">
        <v>144</v>
      </c>
      <c r="N28" t="s">
        <v>143</v>
      </c>
      <c r="O28" t="s">
        <v>144</v>
      </c>
      <c r="P28" t="s">
        <v>143</v>
      </c>
      <c r="Q28" t="s">
        <v>144</v>
      </c>
      <c r="R28" t="s">
        <v>143</v>
      </c>
      <c r="S28" t="s">
        <v>144</v>
      </c>
      <c r="T28" t="s">
        <v>143</v>
      </c>
      <c r="U28" t="s">
        <v>144</v>
      </c>
      <c r="V28" t="s">
        <v>143</v>
      </c>
      <c r="W28" t="s">
        <v>144</v>
      </c>
      <c r="X28" t="s">
        <v>143</v>
      </c>
      <c r="Y28" t="s">
        <v>144</v>
      </c>
      <c r="Z28" t="s">
        <v>143</v>
      </c>
      <c r="AA28" t="s">
        <v>144</v>
      </c>
      <c r="AB28" t="s">
        <v>143</v>
      </c>
      <c r="AC28" t="s">
        <v>144</v>
      </c>
      <c r="AD28" t="s">
        <v>143</v>
      </c>
      <c r="AE28" t="s">
        <v>144</v>
      </c>
      <c r="AF28" t="s">
        <v>143</v>
      </c>
      <c r="AG28" t="s">
        <v>144</v>
      </c>
      <c r="AP28" t="s">
        <v>143</v>
      </c>
      <c r="AQ28" t="s">
        <v>144</v>
      </c>
      <c r="AR28" t="s">
        <v>143</v>
      </c>
      <c r="AS28" t="s">
        <v>147</v>
      </c>
      <c r="AT28" t="s">
        <v>143</v>
      </c>
      <c r="AU28" t="s">
        <v>144</v>
      </c>
      <c r="AW28" t="s">
        <v>143</v>
      </c>
      <c r="AX28" t="s">
        <v>144</v>
      </c>
      <c r="AY28" t="s">
        <v>143</v>
      </c>
      <c r="AZ28" t="s">
        <v>144</v>
      </c>
      <c r="BA28" t="s">
        <v>143</v>
      </c>
      <c r="BB28" t="s">
        <v>144</v>
      </c>
      <c r="BC28" t="s">
        <v>143</v>
      </c>
      <c r="BD28" t="s">
        <v>144</v>
      </c>
      <c r="BE28" t="s">
        <v>143</v>
      </c>
      <c r="BF28" t="s">
        <v>144</v>
      </c>
      <c r="BG28" t="s">
        <v>143</v>
      </c>
      <c r="BH28" t="s">
        <v>144</v>
      </c>
      <c r="BI28" t="s">
        <v>143</v>
      </c>
      <c r="BJ28" t="s">
        <v>144</v>
      </c>
      <c r="BK28" t="s">
        <v>143</v>
      </c>
      <c r="BL28" t="s">
        <v>144</v>
      </c>
      <c r="BM28" t="s">
        <v>143</v>
      </c>
      <c r="BN28" t="s">
        <v>144</v>
      </c>
      <c r="BO28" t="s">
        <v>143</v>
      </c>
      <c r="BP28" t="s">
        <v>144</v>
      </c>
      <c r="BQ28" t="s">
        <v>143</v>
      </c>
      <c r="BR28" t="s">
        <v>144</v>
      </c>
      <c r="BS28" t="s">
        <v>143</v>
      </c>
      <c r="BT28" t="s">
        <v>144</v>
      </c>
      <c r="BU28" t="s">
        <v>143</v>
      </c>
      <c r="BV28" t="s">
        <v>144</v>
      </c>
      <c r="BW28" t="s">
        <v>143</v>
      </c>
      <c r="BX28" t="s">
        <v>144</v>
      </c>
      <c r="BY28" t="s">
        <v>143</v>
      </c>
      <c r="BZ28" t="s">
        <v>144</v>
      </c>
      <c r="CA28" t="s">
        <v>143</v>
      </c>
      <c r="CB28" t="s">
        <v>144</v>
      </c>
      <c r="CC28" t="s">
        <v>143</v>
      </c>
      <c r="CD28" t="s">
        <v>144</v>
      </c>
      <c r="CE28" t="s">
        <v>143</v>
      </c>
      <c r="CF28" t="s">
        <v>145</v>
      </c>
      <c r="CG28" t="s">
        <v>143</v>
      </c>
      <c r="CH28" t="s">
        <v>144</v>
      </c>
      <c r="CI28" t="s">
        <v>143</v>
      </c>
      <c r="CJ28" t="s">
        <v>144</v>
      </c>
      <c r="CK28" t="s">
        <v>143</v>
      </c>
      <c r="CL28" t="s">
        <v>144</v>
      </c>
      <c r="CM28" t="s">
        <v>143</v>
      </c>
      <c r="CN28" t="s">
        <v>144</v>
      </c>
      <c r="CO28" t="s">
        <v>143</v>
      </c>
      <c r="CP28" t="s">
        <v>144</v>
      </c>
      <c r="CQ28" t="s">
        <v>143</v>
      </c>
      <c r="CR28" t="s">
        <v>145</v>
      </c>
      <c r="CS28" t="s">
        <v>143</v>
      </c>
      <c r="CT28" t="s">
        <v>145</v>
      </c>
      <c r="CU28" t="s">
        <v>143</v>
      </c>
      <c r="CV28" t="s">
        <v>145</v>
      </c>
      <c r="CW28" t="s">
        <v>143</v>
      </c>
      <c r="CX28" t="s">
        <v>145</v>
      </c>
      <c r="CY28" t="s">
        <v>143</v>
      </c>
      <c r="CZ28" t="s">
        <v>145</v>
      </c>
      <c r="DA28" t="s">
        <v>143</v>
      </c>
      <c r="DB28" t="s">
        <v>145</v>
      </c>
      <c r="DC28" t="s">
        <v>143</v>
      </c>
      <c r="DD28" t="s">
        <v>144</v>
      </c>
      <c r="DE28" t="s">
        <v>143</v>
      </c>
      <c r="DF28" t="s">
        <v>144</v>
      </c>
      <c r="DG28" t="s">
        <v>143</v>
      </c>
      <c r="DH28" t="s">
        <v>144</v>
      </c>
      <c r="DI28" t="s">
        <v>143</v>
      </c>
      <c r="DJ28" t="s">
        <v>144</v>
      </c>
      <c r="DK28" t="s">
        <v>143</v>
      </c>
      <c r="DL28" t="s">
        <v>144</v>
      </c>
      <c r="DM28" t="s">
        <v>143</v>
      </c>
      <c r="DN28" t="s">
        <v>144</v>
      </c>
      <c r="DO28" t="s">
        <v>143</v>
      </c>
      <c r="DP28" t="s">
        <v>144</v>
      </c>
      <c r="DQ28" t="s">
        <v>143</v>
      </c>
      <c r="DR28" t="s">
        <v>144</v>
      </c>
      <c r="DS28" t="s">
        <v>143</v>
      </c>
      <c r="DT28" t="s">
        <v>145</v>
      </c>
      <c r="DU28" t="s">
        <v>143</v>
      </c>
      <c r="DV28" t="s">
        <v>145</v>
      </c>
      <c r="DW28" t="s">
        <v>143</v>
      </c>
      <c r="DX28" t="s">
        <v>145</v>
      </c>
      <c r="DY28" t="s">
        <v>143</v>
      </c>
      <c r="DZ28" t="s">
        <v>144</v>
      </c>
      <c r="EA28" t="s">
        <v>143</v>
      </c>
      <c r="EB28" t="s">
        <v>144</v>
      </c>
      <c r="EC28" t="s">
        <v>143</v>
      </c>
      <c r="ED28" t="s">
        <v>144</v>
      </c>
      <c r="EE28" t="s">
        <v>143</v>
      </c>
      <c r="EF28" t="s">
        <v>144</v>
      </c>
      <c r="EG28" t="s">
        <v>143</v>
      </c>
      <c r="EH28" t="s">
        <v>144</v>
      </c>
      <c r="EI28" t="s">
        <v>143</v>
      </c>
      <c r="EJ28" t="s">
        <v>144</v>
      </c>
      <c r="EK28" t="s">
        <v>143</v>
      </c>
      <c r="EL28" t="s">
        <v>144</v>
      </c>
      <c r="EM28" t="s">
        <v>143</v>
      </c>
      <c r="EN28" t="s">
        <v>144</v>
      </c>
      <c r="EO28" t="s">
        <v>143</v>
      </c>
      <c r="EP28" t="s">
        <v>144</v>
      </c>
      <c r="EQ28" t="s">
        <v>143</v>
      </c>
      <c r="ER28" t="s">
        <v>144</v>
      </c>
      <c r="ES28" t="s">
        <v>143</v>
      </c>
      <c r="ET28" t="s">
        <v>144</v>
      </c>
      <c r="EU28" t="s">
        <v>143</v>
      </c>
      <c r="EV28" t="s">
        <v>147</v>
      </c>
      <c r="EW28" t="s">
        <v>143</v>
      </c>
      <c r="EX28" t="s">
        <v>144</v>
      </c>
      <c r="EY28" t="s">
        <v>143</v>
      </c>
      <c r="EZ28" t="s">
        <v>144</v>
      </c>
    </row>
    <row r="29" spans="1:156" x14ac:dyDescent="0.2">
      <c r="A29">
        <v>48</v>
      </c>
      <c r="B29" t="s">
        <v>272</v>
      </c>
      <c r="C29" s="7" t="s">
        <v>192</v>
      </c>
      <c r="D29" t="s">
        <v>187</v>
      </c>
      <c r="E29" s="6">
        <v>42590</v>
      </c>
      <c r="F29" t="s">
        <v>143</v>
      </c>
      <c r="G29" t="s">
        <v>144</v>
      </c>
      <c r="H29" t="s">
        <v>143</v>
      </c>
      <c r="I29" t="s">
        <v>144</v>
      </c>
      <c r="J29" t="s">
        <v>143</v>
      </c>
      <c r="K29" t="s">
        <v>144</v>
      </c>
      <c r="L29" t="s">
        <v>143</v>
      </c>
      <c r="M29" t="s">
        <v>144</v>
      </c>
      <c r="N29" t="s">
        <v>143</v>
      </c>
      <c r="O29" t="s">
        <v>144</v>
      </c>
      <c r="P29" t="s">
        <v>143</v>
      </c>
      <c r="Q29" t="s">
        <v>144</v>
      </c>
      <c r="R29" t="s">
        <v>143</v>
      </c>
      <c r="S29" t="s">
        <v>144</v>
      </c>
      <c r="T29" t="s">
        <v>143</v>
      </c>
      <c r="U29" t="s">
        <v>144</v>
      </c>
      <c r="V29" t="s">
        <v>143</v>
      </c>
      <c r="W29" t="s">
        <v>144</v>
      </c>
      <c r="X29" t="s">
        <v>143</v>
      </c>
      <c r="Y29" t="s">
        <v>144</v>
      </c>
      <c r="Z29" t="s">
        <v>143</v>
      </c>
      <c r="AA29" t="s">
        <v>144</v>
      </c>
      <c r="AB29" t="s">
        <v>143</v>
      </c>
      <c r="AC29" t="s">
        <v>144</v>
      </c>
      <c r="AD29" t="s">
        <v>143</v>
      </c>
      <c r="AE29" t="s">
        <v>144</v>
      </c>
      <c r="AF29" t="s">
        <v>143</v>
      </c>
      <c r="AG29" t="s">
        <v>144</v>
      </c>
      <c r="AP29" t="s">
        <v>143</v>
      </c>
      <c r="AQ29" t="s">
        <v>144</v>
      </c>
      <c r="AR29" t="s">
        <v>146</v>
      </c>
      <c r="AS29" t="s">
        <v>147</v>
      </c>
      <c r="AT29" t="s">
        <v>146</v>
      </c>
      <c r="AU29" t="s">
        <v>147</v>
      </c>
      <c r="AW29" t="s">
        <v>146</v>
      </c>
      <c r="AX29" t="s">
        <v>147</v>
      </c>
      <c r="AY29" t="s">
        <v>143</v>
      </c>
      <c r="AZ29" t="s">
        <v>144</v>
      </c>
      <c r="BA29" t="s">
        <v>143</v>
      </c>
      <c r="BB29" t="s">
        <v>144</v>
      </c>
      <c r="BC29" t="s">
        <v>143</v>
      </c>
      <c r="BD29" t="s">
        <v>144</v>
      </c>
      <c r="BE29" t="s">
        <v>143</v>
      </c>
      <c r="BF29" t="s">
        <v>144</v>
      </c>
      <c r="BG29" t="s">
        <v>143</v>
      </c>
      <c r="BH29" t="s">
        <v>144</v>
      </c>
      <c r="BI29" t="s">
        <v>143</v>
      </c>
      <c r="BJ29" t="s">
        <v>144</v>
      </c>
      <c r="BK29" t="s">
        <v>143</v>
      </c>
      <c r="BL29" t="s">
        <v>144</v>
      </c>
      <c r="BM29" t="s">
        <v>143</v>
      </c>
      <c r="BN29" t="s">
        <v>144</v>
      </c>
      <c r="BO29" t="s">
        <v>143</v>
      </c>
      <c r="BP29" t="s">
        <v>144</v>
      </c>
      <c r="BQ29" t="s">
        <v>143</v>
      </c>
      <c r="BR29" t="s">
        <v>144</v>
      </c>
      <c r="BS29" t="s">
        <v>143</v>
      </c>
      <c r="BT29" t="s">
        <v>144</v>
      </c>
      <c r="BU29" t="s">
        <v>143</v>
      </c>
      <c r="BV29" t="s">
        <v>144</v>
      </c>
      <c r="BW29" t="s">
        <v>143</v>
      </c>
      <c r="BX29" t="s">
        <v>144</v>
      </c>
      <c r="BY29" t="s">
        <v>143</v>
      </c>
      <c r="BZ29" t="s">
        <v>144</v>
      </c>
      <c r="CA29" t="s">
        <v>143</v>
      </c>
      <c r="CB29" t="s">
        <v>144</v>
      </c>
      <c r="CC29" t="s">
        <v>143</v>
      </c>
      <c r="CD29" t="s">
        <v>144</v>
      </c>
      <c r="CE29" t="s">
        <v>143</v>
      </c>
      <c r="CF29" t="s">
        <v>144</v>
      </c>
      <c r="CG29" t="s">
        <v>143</v>
      </c>
      <c r="CH29" t="s">
        <v>144</v>
      </c>
      <c r="CI29" t="s">
        <v>143</v>
      </c>
      <c r="CJ29" t="s">
        <v>144</v>
      </c>
      <c r="CK29" t="s">
        <v>143</v>
      </c>
      <c r="CL29" t="s">
        <v>144</v>
      </c>
      <c r="CM29" t="s">
        <v>143</v>
      </c>
      <c r="CN29" t="s">
        <v>144</v>
      </c>
      <c r="CO29" t="s">
        <v>143</v>
      </c>
      <c r="CP29" t="s">
        <v>144</v>
      </c>
      <c r="CQ29" t="s">
        <v>143</v>
      </c>
      <c r="CR29" t="s">
        <v>147</v>
      </c>
      <c r="CS29" t="s">
        <v>143</v>
      </c>
      <c r="CT29" t="s">
        <v>144</v>
      </c>
      <c r="CU29" t="s">
        <v>143</v>
      </c>
      <c r="CV29" t="s">
        <v>144</v>
      </c>
      <c r="CW29" t="s">
        <v>143</v>
      </c>
      <c r="CX29" t="s">
        <v>144</v>
      </c>
      <c r="CY29" t="s">
        <v>143</v>
      </c>
      <c r="CZ29" t="s">
        <v>144</v>
      </c>
      <c r="DA29" t="s">
        <v>143</v>
      </c>
      <c r="DB29" t="s">
        <v>144</v>
      </c>
      <c r="DC29" t="s">
        <v>143</v>
      </c>
      <c r="DD29" t="s">
        <v>144</v>
      </c>
      <c r="DE29" t="s">
        <v>143</v>
      </c>
      <c r="DF29" t="s">
        <v>144</v>
      </c>
      <c r="DG29" t="s">
        <v>143</v>
      </c>
      <c r="DH29" t="s">
        <v>144</v>
      </c>
      <c r="DI29" t="s">
        <v>143</v>
      </c>
      <c r="DJ29" t="s">
        <v>144</v>
      </c>
      <c r="DK29" t="s">
        <v>143</v>
      </c>
      <c r="DL29" t="s">
        <v>144</v>
      </c>
      <c r="DM29" t="s">
        <v>143</v>
      </c>
      <c r="DN29" t="s">
        <v>144</v>
      </c>
      <c r="DO29" t="s">
        <v>143</v>
      </c>
      <c r="DP29" t="s">
        <v>144</v>
      </c>
      <c r="DQ29" t="s">
        <v>143</v>
      </c>
      <c r="DR29" t="s">
        <v>144</v>
      </c>
      <c r="DS29" t="s">
        <v>143</v>
      </c>
      <c r="DT29" t="s">
        <v>144</v>
      </c>
      <c r="DU29" t="s">
        <v>143</v>
      </c>
      <c r="DV29" t="s">
        <v>144</v>
      </c>
      <c r="DW29" t="s">
        <v>143</v>
      </c>
      <c r="DX29" t="s">
        <v>144</v>
      </c>
      <c r="DY29" t="s">
        <v>143</v>
      </c>
      <c r="DZ29" t="s">
        <v>144</v>
      </c>
      <c r="EA29" t="s">
        <v>143</v>
      </c>
      <c r="EB29" t="s">
        <v>144</v>
      </c>
      <c r="EC29" t="s">
        <v>143</v>
      </c>
      <c r="ED29" t="s">
        <v>144</v>
      </c>
      <c r="EE29" t="s">
        <v>143</v>
      </c>
      <c r="EF29" t="s">
        <v>144</v>
      </c>
      <c r="EG29" t="s">
        <v>143</v>
      </c>
      <c r="EH29" t="s">
        <v>144</v>
      </c>
      <c r="EI29" t="s">
        <v>143</v>
      </c>
      <c r="EJ29" t="s">
        <v>144</v>
      </c>
      <c r="EK29" t="s">
        <v>143</v>
      </c>
      <c r="EL29" t="s">
        <v>144</v>
      </c>
      <c r="EM29" t="s">
        <v>143</v>
      </c>
      <c r="EN29" t="s">
        <v>144</v>
      </c>
      <c r="EO29" t="s">
        <v>143</v>
      </c>
      <c r="EP29" t="s">
        <v>144</v>
      </c>
      <c r="EQ29" t="s">
        <v>143</v>
      </c>
      <c r="ER29" t="s">
        <v>144</v>
      </c>
      <c r="ES29" t="s">
        <v>143</v>
      </c>
      <c r="ET29" t="s">
        <v>144</v>
      </c>
      <c r="EU29" t="s">
        <v>143</v>
      </c>
      <c r="EV29" t="s">
        <v>147</v>
      </c>
      <c r="EW29" t="s">
        <v>143</v>
      </c>
      <c r="EX29" t="s">
        <v>144</v>
      </c>
      <c r="EY29" t="s">
        <v>143</v>
      </c>
      <c r="EZ29" t="s">
        <v>144</v>
      </c>
    </row>
    <row r="30" spans="1:156" x14ac:dyDescent="0.2">
      <c r="A30">
        <v>49</v>
      </c>
      <c r="B30" t="s">
        <v>273</v>
      </c>
      <c r="C30" s="7" t="s">
        <v>192</v>
      </c>
      <c r="D30" t="s">
        <v>187</v>
      </c>
      <c r="E30" s="6">
        <v>42691</v>
      </c>
      <c r="F30" t="s">
        <v>143</v>
      </c>
      <c r="G30" t="s">
        <v>144</v>
      </c>
      <c r="H30" t="s">
        <v>143</v>
      </c>
      <c r="I30" t="s">
        <v>144</v>
      </c>
      <c r="J30" t="s">
        <v>143</v>
      </c>
      <c r="K30" t="s">
        <v>144</v>
      </c>
      <c r="L30" t="s">
        <v>143</v>
      </c>
      <c r="M30" t="s">
        <v>144</v>
      </c>
      <c r="N30" t="s">
        <v>143</v>
      </c>
      <c r="O30" t="s">
        <v>144</v>
      </c>
      <c r="P30" t="s">
        <v>143</v>
      </c>
      <c r="Q30" t="s">
        <v>144</v>
      </c>
      <c r="R30" t="s">
        <v>143</v>
      </c>
      <c r="S30" t="s">
        <v>144</v>
      </c>
      <c r="T30" t="s">
        <v>143</v>
      </c>
      <c r="U30" t="s">
        <v>144</v>
      </c>
      <c r="V30" t="s">
        <v>143</v>
      </c>
      <c r="W30" t="s">
        <v>144</v>
      </c>
      <c r="X30" t="s">
        <v>143</v>
      </c>
      <c r="Y30" t="s">
        <v>144</v>
      </c>
      <c r="Z30" t="s">
        <v>143</v>
      </c>
      <c r="AA30" t="s">
        <v>144</v>
      </c>
      <c r="AB30" t="s">
        <v>143</v>
      </c>
      <c r="AC30" t="s">
        <v>144</v>
      </c>
      <c r="AD30" t="s">
        <v>143</v>
      </c>
      <c r="AE30" t="s">
        <v>144</v>
      </c>
      <c r="AF30" t="s">
        <v>143</v>
      </c>
      <c r="AG30" t="s">
        <v>144</v>
      </c>
      <c r="AP30" t="s">
        <v>143</v>
      </c>
      <c r="AQ30" t="s">
        <v>144</v>
      </c>
      <c r="AR30" t="s">
        <v>146</v>
      </c>
      <c r="AS30" t="s">
        <v>147</v>
      </c>
      <c r="AT30" t="s">
        <v>146</v>
      </c>
      <c r="AU30" t="s">
        <v>147</v>
      </c>
      <c r="AW30" t="s">
        <v>146</v>
      </c>
      <c r="AX30" t="s">
        <v>147</v>
      </c>
      <c r="AY30" t="s">
        <v>143</v>
      </c>
      <c r="AZ30" t="s">
        <v>144</v>
      </c>
      <c r="BA30" t="s">
        <v>143</v>
      </c>
      <c r="BB30" t="s">
        <v>144</v>
      </c>
      <c r="BC30" t="s">
        <v>143</v>
      </c>
      <c r="BD30" t="s">
        <v>144</v>
      </c>
      <c r="BE30" t="s">
        <v>143</v>
      </c>
      <c r="BF30" t="s">
        <v>144</v>
      </c>
      <c r="BG30" t="s">
        <v>143</v>
      </c>
      <c r="BH30" t="s">
        <v>144</v>
      </c>
      <c r="BI30" t="s">
        <v>143</v>
      </c>
      <c r="BJ30" t="s">
        <v>144</v>
      </c>
      <c r="BK30" t="s">
        <v>143</v>
      </c>
      <c r="BL30" t="s">
        <v>144</v>
      </c>
      <c r="BM30" t="s">
        <v>143</v>
      </c>
      <c r="BN30" t="s">
        <v>144</v>
      </c>
      <c r="BO30" t="s">
        <v>143</v>
      </c>
      <c r="BP30" t="s">
        <v>144</v>
      </c>
      <c r="BQ30" t="s">
        <v>143</v>
      </c>
      <c r="BR30" t="s">
        <v>144</v>
      </c>
      <c r="BS30" t="s">
        <v>143</v>
      </c>
      <c r="BT30" t="s">
        <v>144</v>
      </c>
      <c r="BU30" t="s">
        <v>143</v>
      </c>
      <c r="BV30" t="s">
        <v>144</v>
      </c>
      <c r="BW30" t="s">
        <v>143</v>
      </c>
      <c r="BX30" t="s">
        <v>144</v>
      </c>
      <c r="BY30" t="s">
        <v>143</v>
      </c>
      <c r="BZ30" t="s">
        <v>144</v>
      </c>
      <c r="CA30" t="s">
        <v>143</v>
      </c>
      <c r="CB30" t="s">
        <v>144</v>
      </c>
      <c r="CC30" t="s">
        <v>143</v>
      </c>
      <c r="CD30" t="s">
        <v>144</v>
      </c>
      <c r="CE30" t="s">
        <v>143</v>
      </c>
      <c r="CF30" t="s">
        <v>144</v>
      </c>
      <c r="CG30" t="s">
        <v>143</v>
      </c>
      <c r="CH30" t="s">
        <v>144</v>
      </c>
      <c r="CI30" t="s">
        <v>143</v>
      </c>
      <c r="CJ30" t="s">
        <v>144</v>
      </c>
      <c r="CK30" t="s">
        <v>143</v>
      </c>
      <c r="CL30" t="s">
        <v>144</v>
      </c>
      <c r="CM30" t="s">
        <v>143</v>
      </c>
      <c r="CN30" t="s">
        <v>144</v>
      </c>
      <c r="CO30" t="s">
        <v>143</v>
      </c>
      <c r="CP30" t="s">
        <v>144</v>
      </c>
      <c r="CQ30" t="s">
        <v>143</v>
      </c>
      <c r="CR30" t="s">
        <v>147</v>
      </c>
      <c r="CS30" t="s">
        <v>143</v>
      </c>
      <c r="CT30" t="s">
        <v>144</v>
      </c>
      <c r="CU30" t="s">
        <v>143</v>
      </c>
      <c r="CV30" t="s">
        <v>144</v>
      </c>
      <c r="CW30" t="s">
        <v>143</v>
      </c>
      <c r="CX30" t="s">
        <v>144</v>
      </c>
      <c r="CY30" t="s">
        <v>143</v>
      </c>
      <c r="CZ30" t="s">
        <v>144</v>
      </c>
      <c r="DA30" t="s">
        <v>143</v>
      </c>
      <c r="DB30" t="s">
        <v>144</v>
      </c>
      <c r="DC30" t="s">
        <v>143</v>
      </c>
      <c r="DD30" t="s">
        <v>144</v>
      </c>
      <c r="DE30" t="s">
        <v>143</v>
      </c>
      <c r="DF30" t="s">
        <v>144</v>
      </c>
      <c r="DG30" t="s">
        <v>143</v>
      </c>
      <c r="DH30" t="s">
        <v>144</v>
      </c>
      <c r="DI30" t="s">
        <v>143</v>
      </c>
      <c r="DJ30" t="s">
        <v>144</v>
      </c>
      <c r="DK30" t="s">
        <v>143</v>
      </c>
      <c r="DL30" t="s">
        <v>144</v>
      </c>
      <c r="DM30" t="s">
        <v>143</v>
      </c>
      <c r="DN30" t="s">
        <v>144</v>
      </c>
      <c r="DO30" t="s">
        <v>143</v>
      </c>
      <c r="DP30" t="s">
        <v>144</v>
      </c>
      <c r="DQ30" t="s">
        <v>143</v>
      </c>
      <c r="DR30" t="s">
        <v>144</v>
      </c>
      <c r="DS30" t="s">
        <v>143</v>
      </c>
      <c r="DT30" t="s">
        <v>144</v>
      </c>
      <c r="DU30" t="s">
        <v>143</v>
      </c>
      <c r="DV30" t="s">
        <v>144</v>
      </c>
      <c r="DW30" t="s">
        <v>143</v>
      </c>
      <c r="DX30" t="s">
        <v>144</v>
      </c>
      <c r="DY30" t="s">
        <v>143</v>
      </c>
      <c r="DZ30" t="s">
        <v>144</v>
      </c>
      <c r="EA30" t="s">
        <v>143</v>
      </c>
      <c r="EB30" t="s">
        <v>144</v>
      </c>
      <c r="EC30" t="s">
        <v>143</v>
      </c>
      <c r="ED30" t="s">
        <v>144</v>
      </c>
      <c r="EE30" t="s">
        <v>143</v>
      </c>
      <c r="EF30" t="s">
        <v>144</v>
      </c>
      <c r="EG30" t="s">
        <v>143</v>
      </c>
      <c r="EH30" t="s">
        <v>144</v>
      </c>
      <c r="EI30" t="s">
        <v>143</v>
      </c>
      <c r="EJ30" t="s">
        <v>144</v>
      </c>
      <c r="EK30" t="s">
        <v>143</v>
      </c>
      <c r="EL30" t="s">
        <v>144</v>
      </c>
      <c r="EM30" t="s">
        <v>143</v>
      </c>
      <c r="EN30" t="s">
        <v>144</v>
      </c>
      <c r="EO30" t="s">
        <v>143</v>
      </c>
      <c r="EP30" t="s">
        <v>144</v>
      </c>
      <c r="EQ30" t="s">
        <v>143</v>
      </c>
      <c r="ER30" t="s">
        <v>144</v>
      </c>
      <c r="ES30" t="s">
        <v>143</v>
      </c>
      <c r="ET30" t="s">
        <v>144</v>
      </c>
      <c r="EU30" t="s">
        <v>143</v>
      </c>
      <c r="EV30" t="s">
        <v>147</v>
      </c>
      <c r="EW30" t="s">
        <v>143</v>
      </c>
      <c r="EX30" t="s">
        <v>144</v>
      </c>
      <c r="EY30" t="s">
        <v>143</v>
      </c>
      <c r="EZ30" t="s">
        <v>144</v>
      </c>
    </row>
    <row r="31" spans="1:156" x14ac:dyDescent="0.2">
      <c r="A31">
        <v>50</v>
      </c>
      <c r="B31" t="s">
        <v>274</v>
      </c>
      <c r="C31" s="7" t="s">
        <v>192</v>
      </c>
      <c r="D31" t="s">
        <v>187</v>
      </c>
      <c r="E31" s="6">
        <v>42682</v>
      </c>
      <c r="F31" t="s">
        <v>143</v>
      </c>
      <c r="G31" t="s">
        <v>144</v>
      </c>
      <c r="H31" t="s">
        <v>143</v>
      </c>
      <c r="I31" t="s">
        <v>144</v>
      </c>
      <c r="J31" t="s">
        <v>143</v>
      </c>
      <c r="K31" t="s">
        <v>144</v>
      </c>
      <c r="L31" t="s">
        <v>143</v>
      </c>
      <c r="M31" t="s">
        <v>144</v>
      </c>
      <c r="N31" t="s">
        <v>143</v>
      </c>
      <c r="O31" t="s">
        <v>144</v>
      </c>
      <c r="P31" t="s">
        <v>143</v>
      </c>
      <c r="Q31" t="s">
        <v>144</v>
      </c>
      <c r="R31" t="s">
        <v>143</v>
      </c>
      <c r="S31" t="s">
        <v>144</v>
      </c>
      <c r="T31" t="s">
        <v>143</v>
      </c>
      <c r="U31" t="s">
        <v>144</v>
      </c>
      <c r="V31" t="s">
        <v>143</v>
      </c>
      <c r="W31" t="s">
        <v>144</v>
      </c>
      <c r="X31" t="s">
        <v>143</v>
      </c>
      <c r="Y31" t="s">
        <v>144</v>
      </c>
      <c r="Z31" t="s">
        <v>143</v>
      </c>
      <c r="AA31" t="s">
        <v>144</v>
      </c>
      <c r="AB31" t="s">
        <v>143</v>
      </c>
      <c r="AC31" t="s">
        <v>144</v>
      </c>
      <c r="AD31" t="s">
        <v>143</v>
      </c>
      <c r="AE31" t="s">
        <v>144</v>
      </c>
      <c r="AF31" t="s">
        <v>143</v>
      </c>
      <c r="AG31" t="s">
        <v>144</v>
      </c>
      <c r="AP31" t="s">
        <v>143</v>
      </c>
      <c r="AQ31" t="s">
        <v>144</v>
      </c>
      <c r="AR31" t="s">
        <v>143</v>
      </c>
      <c r="AS31" t="s">
        <v>147</v>
      </c>
      <c r="AT31" t="s">
        <v>143</v>
      </c>
      <c r="AU31" t="s">
        <v>144</v>
      </c>
      <c r="AW31" t="s">
        <v>143</v>
      </c>
      <c r="AX31" t="s">
        <v>144</v>
      </c>
      <c r="AY31" t="s">
        <v>143</v>
      </c>
      <c r="AZ31" t="s">
        <v>144</v>
      </c>
      <c r="BA31" t="s">
        <v>143</v>
      </c>
      <c r="BB31" t="s">
        <v>144</v>
      </c>
      <c r="BC31" t="s">
        <v>143</v>
      </c>
      <c r="BD31" t="s">
        <v>144</v>
      </c>
      <c r="BE31" t="s">
        <v>143</v>
      </c>
      <c r="BF31" t="s">
        <v>144</v>
      </c>
      <c r="BG31" t="s">
        <v>143</v>
      </c>
      <c r="BH31" t="s">
        <v>144</v>
      </c>
      <c r="BI31" t="s">
        <v>143</v>
      </c>
      <c r="BJ31" t="s">
        <v>144</v>
      </c>
      <c r="BK31" t="s">
        <v>143</v>
      </c>
      <c r="BL31" t="s">
        <v>144</v>
      </c>
      <c r="BM31" t="s">
        <v>143</v>
      </c>
      <c r="BN31" t="s">
        <v>144</v>
      </c>
      <c r="BO31" t="s">
        <v>143</v>
      </c>
      <c r="BP31" t="s">
        <v>144</v>
      </c>
      <c r="BQ31" t="s">
        <v>143</v>
      </c>
      <c r="BR31" t="s">
        <v>144</v>
      </c>
      <c r="BS31" t="s">
        <v>143</v>
      </c>
      <c r="BT31" t="s">
        <v>144</v>
      </c>
      <c r="BU31" t="s">
        <v>143</v>
      </c>
      <c r="BV31" t="s">
        <v>144</v>
      </c>
      <c r="BW31" t="s">
        <v>143</v>
      </c>
      <c r="BX31" t="s">
        <v>144</v>
      </c>
      <c r="BY31" t="s">
        <v>143</v>
      </c>
      <c r="BZ31" t="s">
        <v>144</v>
      </c>
      <c r="CA31" t="s">
        <v>143</v>
      </c>
      <c r="CB31" t="s">
        <v>144</v>
      </c>
      <c r="CC31" t="s">
        <v>143</v>
      </c>
      <c r="CD31" t="s">
        <v>144</v>
      </c>
      <c r="CE31" t="s">
        <v>143</v>
      </c>
      <c r="CF31" t="s">
        <v>145</v>
      </c>
      <c r="CG31" t="s">
        <v>143</v>
      </c>
      <c r="CH31" t="s">
        <v>144</v>
      </c>
      <c r="CI31" t="s">
        <v>143</v>
      </c>
      <c r="CJ31" t="s">
        <v>144</v>
      </c>
      <c r="CK31" t="s">
        <v>143</v>
      </c>
      <c r="CL31" t="s">
        <v>144</v>
      </c>
      <c r="CM31" t="s">
        <v>143</v>
      </c>
      <c r="CN31" t="s">
        <v>144</v>
      </c>
      <c r="CO31" t="s">
        <v>143</v>
      </c>
      <c r="CP31" t="s">
        <v>144</v>
      </c>
      <c r="CQ31" t="s">
        <v>143</v>
      </c>
      <c r="CR31" t="s">
        <v>145</v>
      </c>
      <c r="CS31" t="s">
        <v>143</v>
      </c>
      <c r="CT31" t="s">
        <v>145</v>
      </c>
      <c r="CU31" t="s">
        <v>143</v>
      </c>
      <c r="CV31" t="s">
        <v>145</v>
      </c>
      <c r="CW31" t="s">
        <v>143</v>
      </c>
      <c r="CX31" t="s">
        <v>145</v>
      </c>
      <c r="CY31" t="s">
        <v>143</v>
      </c>
      <c r="CZ31" t="s">
        <v>145</v>
      </c>
      <c r="DA31" t="s">
        <v>143</v>
      </c>
      <c r="DB31" t="s">
        <v>145</v>
      </c>
      <c r="DC31" t="s">
        <v>143</v>
      </c>
      <c r="DD31" t="s">
        <v>144</v>
      </c>
      <c r="DE31" t="s">
        <v>143</v>
      </c>
      <c r="DF31" t="s">
        <v>144</v>
      </c>
      <c r="DG31" t="s">
        <v>143</v>
      </c>
      <c r="DH31" t="s">
        <v>144</v>
      </c>
      <c r="DI31" t="s">
        <v>143</v>
      </c>
      <c r="DJ31" t="s">
        <v>144</v>
      </c>
      <c r="DK31" t="s">
        <v>143</v>
      </c>
      <c r="DL31" t="s">
        <v>144</v>
      </c>
      <c r="DM31" t="s">
        <v>143</v>
      </c>
      <c r="DN31" t="s">
        <v>144</v>
      </c>
      <c r="DO31" t="s">
        <v>143</v>
      </c>
      <c r="DP31" t="s">
        <v>144</v>
      </c>
      <c r="DQ31" t="s">
        <v>143</v>
      </c>
      <c r="DR31" t="s">
        <v>144</v>
      </c>
      <c r="DS31" t="s">
        <v>143</v>
      </c>
      <c r="DT31" t="s">
        <v>145</v>
      </c>
      <c r="DU31" t="s">
        <v>143</v>
      </c>
      <c r="DV31" t="s">
        <v>145</v>
      </c>
      <c r="DW31" t="s">
        <v>143</v>
      </c>
      <c r="DX31" t="s">
        <v>145</v>
      </c>
      <c r="DY31" t="s">
        <v>143</v>
      </c>
      <c r="DZ31" t="s">
        <v>144</v>
      </c>
      <c r="EA31" t="s">
        <v>143</v>
      </c>
      <c r="EB31" t="s">
        <v>144</v>
      </c>
      <c r="EC31" t="s">
        <v>143</v>
      </c>
      <c r="ED31" t="s">
        <v>144</v>
      </c>
      <c r="EE31" t="s">
        <v>143</v>
      </c>
      <c r="EF31" t="s">
        <v>144</v>
      </c>
      <c r="EG31" t="s">
        <v>143</v>
      </c>
      <c r="EH31" t="s">
        <v>144</v>
      </c>
      <c r="EI31" t="s">
        <v>143</v>
      </c>
      <c r="EJ31" t="s">
        <v>144</v>
      </c>
      <c r="EK31" t="s">
        <v>143</v>
      </c>
      <c r="EL31" t="s">
        <v>144</v>
      </c>
      <c r="EM31" t="s">
        <v>143</v>
      </c>
      <c r="EN31" t="s">
        <v>144</v>
      </c>
      <c r="EO31" t="s">
        <v>143</v>
      </c>
      <c r="EP31" t="s">
        <v>144</v>
      </c>
      <c r="EQ31" t="s">
        <v>143</v>
      </c>
      <c r="ER31" t="s">
        <v>144</v>
      </c>
      <c r="ES31" t="s">
        <v>143</v>
      </c>
      <c r="ET31" t="s">
        <v>144</v>
      </c>
      <c r="EU31" t="s">
        <v>143</v>
      </c>
      <c r="EV31" t="s">
        <v>147</v>
      </c>
      <c r="EW31" t="s">
        <v>143</v>
      </c>
      <c r="EX31" t="s">
        <v>144</v>
      </c>
      <c r="EY31" t="s">
        <v>143</v>
      </c>
      <c r="EZ31" t="s">
        <v>144</v>
      </c>
    </row>
    <row r="32" spans="1:156" x14ac:dyDescent="0.2">
      <c r="A32">
        <v>1</v>
      </c>
      <c r="B32" t="s">
        <v>280</v>
      </c>
      <c r="C32" s="7" t="s">
        <v>190</v>
      </c>
      <c r="D32" t="s">
        <v>187</v>
      </c>
      <c r="E32" s="1">
        <v>43374</v>
      </c>
      <c r="F32" t="s">
        <v>143</v>
      </c>
      <c r="G32" t="s">
        <v>144</v>
      </c>
      <c r="H32" t="s">
        <v>146</v>
      </c>
      <c r="I32" t="s">
        <v>147</v>
      </c>
      <c r="J32" t="s">
        <v>146</v>
      </c>
      <c r="K32" t="s">
        <v>147</v>
      </c>
      <c r="L32" t="s">
        <v>146</v>
      </c>
      <c r="M32" t="s">
        <v>144</v>
      </c>
      <c r="N32" t="s">
        <v>143</v>
      </c>
      <c r="O32" t="s">
        <v>145</v>
      </c>
      <c r="P32" t="s">
        <v>146</v>
      </c>
      <c r="Q32" t="s">
        <v>147</v>
      </c>
      <c r="R32" t="s">
        <v>143</v>
      </c>
      <c r="S32" t="s">
        <v>147</v>
      </c>
      <c r="T32" t="s">
        <v>146</v>
      </c>
      <c r="U32" t="s">
        <v>147</v>
      </c>
      <c r="V32" t="s">
        <v>146</v>
      </c>
      <c r="W32" t="s">
        <v>147</v>
      </c>
      <c r="X32" t="s">
        <v>146</v>
      </c>
      <c r="Y32" t="s">
        <v>147</v>
      </c>
      <c r="Z32" t="s">
        <v>146</v>
      </c>
      <c r="AA32" t="s">
        <v>147</v>
      </c>
      <c r="AB32" t="s">
        <v>146</v>
      </c>
      <c r="AC32" t="s">
        <v>147</v>
      </c>
      <c r="AD32" t="s">
        <v>143</v>
      </c>
      <c r="AE32" t="s">
        <v>145</v>
      </c>
      <c r="AF32" t="s">
        <v>143</v>
      </c>
      <c r="AG32" t="s">
        <v>147</v>
      </c>
      <c r="AP32" t="s">
        <v>143</v>
      </c>
      <c r="AQ32" t="s">
        <v>145</v>
      </c>
      <c r="AR32" t="s">
        <v>146</v>
      </c>
      <c r="AS32" t="s">
        <v>147</v>
      </c>
      <c r="AT32" t="s">
        <v>143</v>
      </c>
      <c r="AU32" t="s">
        <v>144</v>
      </c>
      <c r="AW32" t="s">
        <v>146</v>
      </c>
      <c r="AX32" t="s">
        <v>147</v>
      </c>
      <c r="AY32" t="s">
        <v>143</v>
      </c>
      <c r="AZ32" t="s">
        <v>144</v>
      </c>
      <c r="BA32" t="s">
        <v>143</v>
      </c>
      <c r="BB32" t="s">
        <v>144</v>
      </c>
      <c r="BC32" t="s">
        <v>146</v>
      </c>
      <c r="BD32" t="s">
        <v>147</v>
      </c>
      <c r="BE32" t="s">
        <v>146</v>
      </c>
      <c r="BF32" t="s">
        <v>147</v>
      </c>
      <c r="BG32" t="s">
        <v>143</v>
      </c>
      <c r="BH32" t="s">
        <v>144</v>
      </c>
      <c r="BI32" t="s">
        <v>146</v>
      </c>
      <c r="BJ32" t="s">
        <v>147</v>
      </c>
      <c r="BK32" t="s">
        <v>146</v>
      </c>
      <c r="BL32" t="s">
        <v>147</v>
      </c>
      <c r="BM32" t="s">
        <v>146</v>
      </c>
      <c r="BN32" t="s">
        <v>147</v>
      </c>
      <c r="BO32" t="s">
        <v>143</v>
      </c>
      <c r="BP32" t="s">
        <v>144</v>
      </c>
      <c r="BQ32" t="s">
        <v>146</v>
      </c>
      <c r="BR32" t="s">
        <v>147</v>
      </c>
      <c r="BS32" t="s">
        <v>146</v>
      </c>
      <c r="BT32" t="s">
        <v>147</v>
      </c>
      <c r="BU32" t="s">
        <v>146</v>
      </c>
      <c r="BV32" t="s">
        <v>147</v>
      </c>
      <c r="BW32" t="s">
        <v>143</v>
      </c>
      <c r="BX32" t="s">
        <v>144</v>
      </c>
      <c r="BY32" t="s">
        <v>146</v>
      </c>
      <c r="BZ32" t="s">
        <v>147</v>
      </c>
      <c r="CA32" t="s">
        <v>146</v>
      </c>
      <c r="CB32" t="s">
        <v>147</v>
      </c>
      <c r="CC32" t="s">
        <v>143</v>
      </c>
      <c r="CD32" t="s">
        <v>144</v>
      </c>
      <c r="CE32" t="s">
        <v>143</v>
      </c>
      <c r="CF32" t="s">
        <v>147</v>
      </c>
      <c r="CG32" t="s">
        <v>146</v>
      </c>
      <c r="CH32" t="s">
        <v>147</v>
      </c>
      <c r="CI32" t="s">
        <v>146</v>
      </c>
      <c r="CJ32" t="s">
        <v>147</v>
      </c>
      <c r="CK32" t="s">
        <v>143</v>
      </c>
      <c r="CL32" t="s">
        <v>144</v>
      </c>
      <c r="CM32" t="s">
        <v>143</v>
      </c>
      <c r="CN32" t="s">
        <v>145</v>
      </c>
      <c r="CO32" t="s">
        <v>143</v>
      </c>
      <c r="CP32" t="s">
        <v>144</v>
      </c>
      <c r="CQ32" t="s">
        <v>146</v>
      </c>
      <c r="CR32" t="s">
        <v>147</v>
      </c>
      <c r="CS32" t="s">
        <v>146</v>
      </c>
      <c r="CT32" t="s">
        <v>147</v>
      </c>
      <c r="CU32" t="s">
        <v>146</v>
      </c>
      <c r="CV32" t="s">
        <v>147</v>
      </c>
      <c r="CW32" t="s">
        <v>143</v>
      </c>
      <c r="CX32" t="s">
        <v>145</v>
      </c>
      <c r="CY32" t="s">
        <v>143</v>
      </c>
      <c r="CZ32" t="s">
        <v>145</v>
      </c>
      <c r="DA32" t="s">
        <v>143</v>
      </c>
      <c r="DB32" t="s">
        <v>145</v>
      </c>
      <c r="DC32" t="s">
        <v>143</v>
      </c>
      <c r="DD32" t="s">
        <v>144</v>
      </c>
      <c r="DE32" t="s">
        <v>146</v>
      </c>
      <c r="DF32" t="s">
        <v>147</v>
      </c>
      <c r="DG32" t="s">
        <v>143</v>
      </c>
      <c r="DH32" t="s">
        <v>145</v>
      </c>
      <c r="DI32" t="s">
        <v>146</v>
      </c>
      <c r="DJ32" t="s">
        <v>147</v>
      </c>
      <c r="DK32" t="s">
        <v>146</v>
      </c>
      <c r="DL32" t="s">
        <v>147</v>
      </c>
      <c r="DM32" t="s">
        <v>146</v>
      </c>
      <c r="DN32" t="s">
        <v>147</v>
      </c>
      <c r="DO32" t="s">
        <v>143</v>
      </c>
      <c r="DP32" t="s">
        <v>147</v>
      </c>
      <c r="DQ32" t="s">
        <v>143</v>
      </c>
      <c r="DR32" t="s">
        <v>145</v>
      </c>
      <c r="DS32" t="s">
        <v>146</v>
      </c>
      <c r="DT32" t="s">
        <v>147</v>
      </c>
      <c r="DU32" t="s">
        <v>143</v>
      </c>
      <c r="DV32" t="s">
        <v>145</v>
      </c>
      <c r="DW32" t="s">
        <v>146</v>
      </c>
      <c r="DX32" t="s">
        <v>147</v>
      </c>
      <c r="DY32" t="s">
        <v>146</v>
      </c>
      <c r="DZ32" t="s">
        <v>147</v>
      </c>
      <c r="EA32" t="s">
        <v>143</v>
      </c>
      <c r="EB32" t="s">
        <v>144</v>
      </c>
      <c r="EC32" t="s">
        <v>143</v>
      </c>
      <c r="ED32" t="s">
        <v>145</v>
      </c>
      <c r="EE32" t="s">
        <v>143</v>
      </c>
      <c r="EF32" t="s">
        <v>147</v>
      </c>
      <c r="EG32" t="s">
        <v>143</v>
      </c>
      <c r="EH32" t="s">
        <v>144</v>
      </c>
      <c r="EI32" t="s">
        <v>146</v>
      </c>
      <c r="EJ32" t="s">
        <v>147</v>
      </c>
      <c r="EK32" t="s">
        <v>146</v>
      </c>
      <c r="EL32" t="s">
        <v>147</v>
      </c>
      <c r="EM32" t="s">
        <v>143</v>
      </c>
      <c r="EN32" t="s">
        <v>144</v>
      </c>
      <c r="EO32" t="s">
        <v>146</v>
      </c>
      <c r="EP32" t="s">
        <v>147</v>
      </c>
      <c r="EQ32" t="s">
        <v>146</v>
      </c>
      <c r="ER32" t="s">
        <v>147</v>
      </c>
      <c r="ES32" t="s">
        <v>143</v>
      </c>
      <c r="ET32" t="s">
        <v>144</v>
      </c>
      <c r="EU32" t="s">
        <v>143</v>
      </c>
      <c r="EV32" t="s">
        <v>147</v>
      </c>
      <c r="EW32" t="s">
        <v>143</v>
      </c>
      <c r="EX32" t="s">
        <v>144</v>
      </c>
      <c r="EY32" t="s">
        <v>143</v>
      </c>
      <c r="EZ32" t="s">
        <v>147</v>
      </c>
    </row>
    <row r="33" spans="1:156" x14ac:dyDescent="0.2">
      <c r="A33">
        <v>5</v>
      </c>
      <c r="B33" t="s">
        <v>281</v>
      </c>
      <c r="C33" s="7" t="s">
        <v>190</v>
      </c>
      <c r="D33" t="s">
        <v>187</v>
      </c>
      <c r="E33" s="1">
        <v>43374</v>
      </c>
      <c r="F33" t="s">
        <v>143</v>
      </c>
      <c r="G33" t="s">
        <v>144</v>
      </c>
      <c r="H33" t="s">
        <v>146</v>
      </c>
      <c r="I33" t="s">
        <v>147</v>
      </c>
      <c r="J33" t="s">
        <v>146</v>
      </c>
      <c r="K33" t="s">
        <v>147</v>
      </c>
      <c r="L33" t="s">
        <v>146</v>
      </c>
      <c r="M33" t="s">
        <v>144</v>
      </c>
      <c r="N33" t="s">
        <v>143</v>
      </c>
      <c r="O33" t="s">
        <v>145</v>
      </c>
      <c r="P33" t="s">
        <v>146</v>
      </c>
      <c r="Q33" t="s">
        <v>147</v>
      </c>
      <c r="R33" t="s">
        <v>143</v>
      </c>
      <c r="S33" t="s">
        <v>147</v>
      </c>
      <c r="T33" t="s">
        <v>146</v>
      </c>
      <c r="U33" t="s">
        <v>147</v>
      </c>
      <c r="V33" t="s">
        <v>146</v>
      </c>
      <c r="W33" t="s">
        <v>147</v>
      </c>
      <c r="X33" t="s">
        <v>146</v>
      </c>
      <c r="Y33" t="s">
        <v>147</v>
      </c>
      <c r="Z33" t="s">
        <v>146</v>
      </c>
      <c r="AA33" t="s">
        <v>147</v>
      </c>
      <c r="AB33" t="s">
        <v>146</v>
      </c>
      <c r="AC33" t="s">
        <v>147</v>
      </c>
      <c r="AD33" t="s">
        <v>143</v>
      </c>
      <c r="AE33" t="s">
        <v>145</v>
      </c>
      <c r="AF33" t="s">
        <v>143</v>
      </c>
      <c r="AG33" t="s">
        <v>147</v>
      </c>
      <c r="AP33" t="s">
        <v>143</v>
      </c>
      <c r="AQ33" t="s">
        <v>145</v>
      </c>
      <c r="AR33" t="s">
        <v>146</v>
      </c>
      <c r="AS33" t="s">
        <v>147</v>
      </c>
      <c r="AT33" t="s">
        <v>143</v>
      </c>
      <c r="AU33" t="s">
        <v>144</v>
      </c>
      <c r="AW33" t="s">
        <v>146</v>
      </c>
      <c r="AX33" t="s">
        <v>147</v>
      </c>
      <c r="AY33" t="s">
        <v>143</v>
      </c>
      <c r="AZ33" t="s">
        <v>144</v>
      </c>
      <c r="BA33" t="s">
        <v>143</v>
      </c>
      <c r="BB33" t="s">
        <v>144</v>
      </c>
      <c r="BC33" t="s">
        <v>146</v>
      </c>
      <c r="BD33" t="s">
        <v>147</v>
      </c>
      <c r="BE33" t="s">
        <v>146</v>
      </c>
      <c r="BF33" t="s">
        <v>147</v>
      </c>
      <c r="BG33" t="s">
        <v>143</v>
      </c>
      <c r="BH33" t="s">
        <v>144</v>
      </c>
      <c r="BI33" t="s">
        <v>146</v>
      </c>
      <c r="BJ33" t="s">
        <v>147</v>
      </c>
      <c r="BK33" t="s">
        <v>146</v>
      </c>
      <c r="BL33" t="s">
        <v>147</v>
      </c>
      <c r="BM33" t="s">
        <v>146</v>
      </c>
      <c r="BN33" t="s">
        <v>147</v>
      </c>
      <c r="BO33" t="s">
        <v>143</v>
      </c>
      <c r="BP33" t="s">
        <v>144</v>
      </c>
      <c r="BQ33" t="s">
        <v>146</v>
      </c>
      <c r="BR33" t="s">
        <v>147</v>
      </c>
      <c r="BS33" t="s">
        <v>146</v>
      </c>
      <c r="BT33" t="s">
        <v>147</v>
      </c>
      <c r="BU33" t="s">
        <v>146</v>
      </c>
      <c r="BV33" t="s">
        <v>147</v>
      </c>
      <c r="BW33" t="s">
        <v>143</v>
      </c>
      <c r="BX33" t="s">
        <v>144</v>
      </c>
      <c r="BY33" t="s">
        <v>146</v>
      </c>
      <c r="BZ33" t="s">
        <v>147</v>
      </c>
      <c r="CA33" t="s">
        <v>146</v>
      </c>
      <c r="CB33" t="s">
        <v>147</v>
      </c>
      <c r="CC33" t="s">
        <v>143</v>
      </c>
      <c r="CD33" t="s">
        <v>144</v>
      </c>
      <c r="CE33" t="s">
        <v>143</v>
      </c>
      <c r="CF33" t="s">
        <v>147</v>
      </c>
      <c r="CG33" t="s">
        <v>146</v>
      </c>
      <c r="CH33" t="s">
        <v>147</v>
      </c>
      <c r="CI33" t="s">
        <v>146</v>
      </c>
      <c r="CJ33" t="s">
        <v>147</v>
      </c>
      <c r="CK33" t="s">
        <v>143</v>
      </c>
      <c r="CL33" t="s">
        <v>144</v>
      </c>
      <c r="CM33" t="s">
        <v>143</v>
      </c>
      <c r="CN33" t="s">
        <v>145</v>
      </c>
      <c r="CO33" t="s">
        <v>143</v>
      </c>
      <c r="CP33" t="s">
        <v>144</v>
      </c>
      <c r="CQ33" t="s">
        <v>146</v>
      </c>
      <c r="CR33" t="s">
        <v>147</v>
      </c>
      <c r="CS33" t="s">
        <v>146</v>
      </c>
      <c r="CT33" t="s">
        <v>147</v>
      </c>
      <c r="CU33" t="s">
        <v>146</v>
      </c>
      <c r="CV33" t="s">
        <v>147</v>
      </c>
      <c r="CW33" t="s">
        <v>143</v>
      </c>
      <c r="CX33" t="s">
        <v>145</v>
      </c>
      <c r="CY33" t="s">
        <v>143</v>
      </c>
      <c r="CZ33" t="s">
        <v>145</v>
      </c>
      <c r="DA33" t="s">
        <v>143</v>
      </c>
      <c r="DB33" t="s">
        <v>145</v>
      </c>
      <c r="DC33" t="s">
        <v>143</v>
      </c>
      <c r="DD33" t="s">
        <v>144</v>
      </c>
      <c r="DE33" t="s">
        <v>146</v>
      </c>
      <c r="DF33" t="s">
        <v>147</v>
      </c>
      <c r="DG33" t="s">
        <v>143</v>
      </c>
      <c r="DH33" t="s">
        <v>145</v>
      </c>
      <c r="DI33" t="s">
        <v>146</v>
      </c>
      <c r="DJ33" t="s">
        <v>147</v>
      </c>
      <c r="DK33" t="s">
        <v>146</v>
      </c>
      <c r="DL33" t="s">
        <v>147</v>
      </c>
      <c r="DM33" t="s">
        <v>146</v>
      </c>
      <c r="DN33" t="s">
        <v>147</v>
      </c>
      <c r="DO33" t="s">
        <v>143</v>
      </c>
      <c r="DP33" t="s">
        <v>147</v>
      </c>
      <c r="DQ33" t="s">
        <v>143</v>
      </c>
      <c r="DR33" t="s">
        <v>145</v>
      </c>
      <c r="DS33" t="s">
        <v>146</v>
      </c>
      <c r="DT33" t="s">
        <v>147</v>
      </c>
      <c r="DU33" t="s">
        <v>143</v>
      </c>
      <c r="DV33" t="s">
        <v>145</v>
      </c>
      <c r="DW33" t="s">
        <v>146</v>
      </c>
      <c r="DX33" t="s">
        <v>147</v>
      </c>
      <c r="DY33" t="s">
        <v>146</v>
      </c>
      <c r="DZ33" t="s">
        <v>147</v>
      </c>
      <c r="EA33" t="s">
        <v>143</v>
      </c>
      <c r="EB33" t="s">
        <v>144</v>
      </c>
      <c r="EC33" t="s">
        <v>143</v>
      </c>
      <c r="ED33" t="s">
        <v>145</v>
      </c>
      <c r="EE33" t="s">
        <v>143</v>
      </c>
      <c r="EF33" t="s">
        <v>147</v>
      </c>
      <c r="EG33" t="s">
        <v>143</v>
      </c>
      <c r="EH33" t="s">
        <v>144</v>
      </c>
      <c r="EI33" t="s">
        <v>146</v>
      </c>
      <c r="EJ33" t="s">
        <v>147</v>
      </c>
      <c r="EK33" t="s">
        <v>146</v>
      </c>
      <c r="EL33" t="s">
        <v>147</v>
      </c>
      <c r="EM33" t="s">
        <v>143</v>
      </c>
      <c r="EN33" t="s">
        <v>144</v>
      </c>
      <c r="EO33" t="s">
        <v>146</v>
      </c>
      <c r="EP33" t="s">
        <v>147</v>
      </c>
      <c r="EQ33" t="s">
        <v>146</v>
      </c>
      <c r="ER33" t="s">
        <v>147</v>
      </c>
      <c r="ES33" t="s">
        <v>143</v>
      </c>
      <c r="ET33" t="s">
        <v>144</v>
      </c>
      <c r="EU33" t="s">
        <v>143</v>
      </c>
      <c r="EV33" t="s">
        <v>147</v>
      </c>
      <c r="EW33" t="s">
        <v>143</v>
      </c>
      <c r="EX33" t="s">
        <v>144</v>
      </c>
      <c r="EY33" t="s">
        <v>143</v>
      </c>
      <c r="EZ33" t="s">
        <v>147</v>
      </c>
    </row>
    <row r="34" spans="1:156" x14ac:dyDescent="0.2">
      <c r="A34">
        <v>8</v>
      </c>
      <c r="B34" t="s">
        <v>275</v>
      </c>
      <c r="C34" s="7" t="s">
        <v>190</v>
      </c>
      <c r="D34" t="s">
        <v>188</v>
      </c>
      <c r="E34" s="1">
        <v>43374</v>
      </c>
      <c r="F34" t="s">
        <v>143</v>
      </c>
      <c r="G34" t="s">
        <v>144</v>
      </c>
      <c r="H34" t="s">
        <v>146</v>
      </c>
      <c r="I34" t="s">
        <v>147</v>
      </c>
      <c r="J34" t="s">
        <v>146</v>
      </c>
      <c r="K34" t="s">
        <v>147</v>
      </c>
      <c r="L34" t="s">
        <v>146</v>
      </c>
      <c r="M34" t="s">
        <v>144</v>
      </c>
      <c r="N34" t="s">
        <v>143</v>
      </c>
      <c r="O34" t="s">
        <v>145</v>
      </c>
      <c r="P34" t="s">
        <v>146</v>
      </c>
      <c r="Q34" t="s">
        <v>147</v>
      </c>
      <c r="R34" t="s">
        <v>143</v>
      </c>
      <c r="S34" t="s">
        <v>147</v>
      </c>
      <c r="T34" t="s">
        <v>146</v>
      </c>
      <c r="U34" t="s">
        <v>147</v>
      </c>
      <c r="V34" t="s">
        <v>146</v>
      </c>
      <c r="W34" t="s">
        <v>147</v>
      </c>
      <c r="X34" t="s">
        <v>146</v>
      </c>
      <c r="Y34" t="s">
        <v>147</v>
      </c>
      <c r="Z34" t="s">
        <v>146</v>
      </c>
      <c r="AA34" t="s">
        <v>147</v>
      </c>
      <c r="AB34" t="s">
        <v>146</v>
      </c>
      <c r="AC34" t="s">
        <v>147</v>
      </c>
      <c r="AD34" t="s">
        <v>143</v>
      </c>
      <c r="AE34" t="s">
        <v>145</v>
      </c>
      <c r="AF34" t="s">
        <v>143</v>
      </c>
      <c r="AG34" t="s">
        <v>147</v>
      </c>
      <c r="AP34" t="s">
        <v>143</v>
      </c>
      <c r="AQ34" t="s">
        <v>145</v>
      </c>
      <c r="AR34" t="s">
        <v>146</v>
      </c>
      <c r="AS34" t="s">
        <v>147</v>
      </c>
      <c r="AT34" t="s">
        <v>143</v>
      </c>
      <c r="AU34" t="s">
        <v>144</v>
      </c>
      <c r="AW34" t="s">
        <v>146</v>
      </c>
      <c r="AX34" t="s">
        <v>147</v>
      </c>
      <c r="AY34" t="s">
        <v>143</v>
      </c>
      <c r="AZ34" t="s">
        <v>144</v>
      </c>
      <c r="BA34" t="s">
        <v>143</v>
      </c>
      <c r="BB34" t="s">
        <v>144</v>
      </c>
      <c r="BC34" t="s">
        <v>146</v>
      </c>
      <c r="BD34" t="s">
        <v>147</v>
      </c>
      <c r="BE34" t="s">
        <v>146</v>
      </c>
      <c r="BF34" t="s">
        <v>147</v>
      </c>
      <c r="BG34" t="s">
        <v>143</v>
      </c>
      <c r="BH34" t="s">
        <v>144</v>
      </c>
      <c r="BI34" t="s">
        <v>146</v>
      </c>
      <c r="BJ34" t="s">
        <v>147</v>
      </c>
      <c r="BK34" t="s">
        <v>146</v>
      </c>
      <c r="BL34" t="s">
        <v>147</v>
      </c>
      <c r="BM34" t="s">
        <v>146</v>
      </c>
      <c r="BN34" t="s">
        <v>147</v>
      </c>
      <c r="BO34" t="s">
        <v>143</v>
      </c>
      <c r="BP34" t="s">
        <v>144</v>
      </c>
      <c r="BQ34" t="s">
        <v>146</v>
      </c>
      <c r="BR34" t="s">
        <v>147</v>
      </c>
      <c r="BS34" t="s">
        <v>146</v>
      </c>
      <c r="BT34" t="s">
        <v>147</v>
      </c>
      <c r="BU34" t="s">
        <v>146</v>
      </c>
      <c r="BV34" t="s">
        <v>147</v>
      </c>
      <c r="BW34" t="s">
        <v>143</v>
      </c>
      <c r="BX34" t="s">
        <v>144</v>
      </c>
      <c r="BY34" t="s">
        <v>146</v>
      </c>
      <c r="BZ34" t="s">
        <v>147</v>
      </c>
      <c r="CA34" t="s">
        <v>146</v>
      </c>
      <c r="CB34" t="s">
        <v>147</v>
      </c>
      <c r="CC34" t="s">
        <v>143</v>
      </c>
      <c r="CD34" t="s">
        <v>144</v>
      </c>
      <c r="CE34" t="s">
        <v>143</v>
      </c>
      <c r="CF34" t="s">
        <v>147</v>
      </c>
      <c r="CG34" t="s">
        <v>146</v>
      </c>
      <c r="CH34" t="s">
        <v>147</v>
      </c>
      <c r="CI34" t="s">
        <v>146</v>
      </c>
      <c r="CJ34" t="s">
        <v>147</v>
      </c>
      <c r="CK34" t="s">
        <v>143</v>
      </c>
      <c r="CL34" t="s">
        <v>144</v>
      </c>
      <c r="CM34" t="s">
        <v>143</v>
      </c>
      <c r="CN34" t="s">
        <v>145</v>
      </c>
      <c r="CO34" t="s">
        <v>143</v>
      </c>
      <c r="CP34" t="s">
        <v>144</v>
      </c>
      <c r="CQ34" t="s">
        <v>146</v>
      </c>
      <c r="CR34" t="s">
        <v>147</v>
      </c>
      <c r="CS34" t="s">
        <v>146</v>
      </c>
      <c r="CT34" t="s">
        <v>147</v>
      </c>
      <c r="CU34" t="s">
        <v>146</v>
      </c>
      <c r="CV34" t="s">
        <v>147</v>
      </c>
      <c r="CW34" t="s">
        <v>143</v>
      </c>
      <c r="CX34" t="s">
        <v>145</v>
      </c>
      <c r="CY34" t="s">
        <v>143</v>
      </c>
      <c r="CZ34" t="s">
        <v>145</v>
      </c>
      <c r="DA34" t="s">
        <v>143</v>
      </c>
      <c r="DB34" t="s">
        <v>145</v>
      </c>
      <c r="DC34" t="s">
        <v>143</v>
      </c>
      <c r="DD34" t="s">
        <v>144</v>
      </c>
      <c r="DE34" t="s">
        <v>146</v>
      </c>
      <c r="DF34" t="s">
        <v>147</v>
      </c>
      <c r="DG34" t="s">
        <v>143</v>
      </c>
      <c r="DH34" t="s">
        <v>145</v>
      </c>
      <c r="DI34" t="s">
        <v>146</v>
      </c>
      <c r="DJ34" t="s">
        <v>147</v>
      </c>
      <c r="DK34" t="s">
        <v>146</v>
      </c>
      <c r="DL34" t="s">
        <v>147</v>
      </c>
      <c r="DM34" t="s">
        <v>146</v>
      </c>
      <c r="DN34" t="s">
        <v>147</v>
      </c>
      <c r="DO34" t="s">
        <v>143</v>
      </c>
      <c r="DP34" t="s">
        <v>147</v>
      </c>
      <c r="DQ34" t="s">
        <v>143</v>
      </c>
      <c r="DR34" t="s">
        <v>145</v>
      </c>
      <c r="DS34" t="s">
        <v>146</v>
      </c>
      <c r="DT34" t="s">
        <v>147</v>
      </c>
      <c r="DU34" t="s">
        <v>143</v>
      </c>
      <c r="DV34" t="s">
        <v>145</v>
      </c>
      <c r="DW34" t="s">
        <v>146</v>
      </c>
      <c r="DX34" t="s">
        <v>147</v>
      </c>
      <c r="DY34" t="s">
        <v>146</v>
      </c>
      <c r="DZ34" t="s">
        <v>147</v>
      </c>
      <c r="EA34" t="s">
        <v>143</v>
      </c>
      <c r="EB34" t="s">
        <v>144</v>
      </c>
      <c r="EC34" t="s">
        <v>143</v>
      </c>
      <c r="ED34" t="s">
        <v>145</v>
      </c>
      <c r="EE34" t="s">
        <v>143</v>
      </c>
      <c r="EF34" t="s">
        <v>147</v>
      </c>
      <c r="EG34" t="s">
        <v>143</v>
      </c>
      <c r="EH34" t="s">
        <v>144</v>
      </c>
      <c r="EI34" t="s">
        <v>146</v>
      </c>
      <c r="EJ34" t="s">
        <v>147</v>
      </c>
      <c r="EK34" t="s">
        <v>146</v>
      </c>
      <c r="EL34" t="s">
        <v>147</v>
      </c>
      <c r="EM34" t="s">
        <v>143</v>
      </c>
      <c r="EN34" t="s">
        <v>144</v>
      </c>
      <c r="EO34" t="s">
        <v>146</v>
      </c>
      <c r="EP34" t="s">
        <v>147</v>
      </c>
      <c r="EQ34" t="s">
        <v>146</v>
      </c>
      <c r="ER34" t="s">
        <v>147</v>
      </c>
      <c r="ES34" t="s">
        <v>143</v>
      </c>
      <c r="ET34" t="s">
        <v>144</v>
      </c>
      <c r="EU34" t="s">
        <v>143</v>
      </c>
      <c r="EV34" t="s">
        <v>147</v>
      </c>
      <c r="EW34" t="s">
        <v>143</v>
      </c>
      <c r="EX34" t="s">
        <v>144</v>
      </c>
      <c r="EY34" t="s">
        <v>143</v>
      </c>
      <c r="EZ34" t="s">
        <v>147</v>
      </c>
    </row>
    <row r="35" spans="1:156" x14ac:dyDescent="0.2">
      <c r="A35">
        <v>10</v>
      </c>
      <c r="B35" t="s">
        <v>282</v>
      </c>
      <c r="C35" s="7" t="s">
        <v>190</v>
      </c>
      <c r="D35" t="s">
        <v>187</v>
      </c>
      <c r="E35" s="1">
        <v>43374</v>
      </c>
      <c r="F35" t="s">
        <v>143</v>
      </c>
      <c r="G35" t="s">
        <v>144</v>
      </c>
      <c r="H35" t="s">
        <v>146</v>
      </c>
      <c r="I35" t="s">
        <v>147</v>
      </c>
      <c r="J35" t="s">
        <v>146</v>
      </c>
      <c r="K35" t="s">
        <v>147</v>
      </c>
      <c r="L35" t="s">
        <v>146</v>
      </c>
      <c r="M35" t="s">
        <v>144</v>
      </c>
      <c r="N35" t="s">
        <v>143</v>
      </c>
      <c r="O35" t="s">
        <v>145</v>
      </c>
      <c r="P35" t="s">
        <v>146</v>
      </c>
      <c r="Q35" t="s">
        <v>147</v>
      </c>
      <c r="R35" t="s">
        <v>143</v>
      </c>
      <c r="S35" t="s">
        <v>147</v>
      </c>
      <c r="T35" t="s">
        <v>146</v>
      </c>
      <c r="U35" t="s">
        <v>147</v>
      </c>
      <c r="V35" t="s">
        <v>146</v>
      </c>
      <c r="W35" t="s">
        <v>147</v>
      </c>
      <c r="X35" t="s">
        <v>146</v>
      </c>
      <c r="Y35" t="s">
        <v>147</v>
      </c>
      <c r="Z35" t="s">
        <v>146</v>
      </c>
      <c r="AA35" t="s">
        <v>147</v>
      </c>
      <c r="AB35" t="s">
        <v>146</v>
      </c>
      <c r="AC35" t="s">
        <v>147</v>
      </c>
      <c r="AD35" t="s">
        <v>143</v>
      </c>
      <c r="AE35" t="s">
        <v>145</v>
      </c>
      <c r="AF35" t="s">
        <v>143</v>
      </c>
      <c r="AG35" t="s">
        <v>147</v>
      </c>
      <c r="AP35" t="s">
        <v>143</v>
      </c>
      <c r="AQ35" t="s">
        <v>145</v>
      </c>
      <c r="AR35" t="s">
        <v>146</v>
      </c>
      <c r="AS35" t="s">
        <v>147</v>
      </c>
      <c r="AT35" t="s">
        <v>143</v>
      </c>
      <c r="AU35" t="s">
        <v>144</v>
      </c>
      <c r="AW35" t="s">
        <v>146</v>
      </c>
      <c r="AX35" t="s">
        <v>147</v>
      </c>
      <c r="AY35" t="s">
        <v>143</v>
      </c>
      <c r="AZ35" t="s">
        <v>144</v>
      </c>
      <c r="BA35" t="s">
        <v>143</v>
      </c>
      <c r="BB35" t="s">
        <v>144</v>
      </c>
      <c r="BC35" t="s">
        <v>146</v>
      </c>
      <c r="BD35" t="s">
        <v>147</v>
      </c>
      <c r="BE35" t="s">
        <v>146</v>
      </c>
      <c r="BF35" t="s">
        <v>147</v>
      </c>
      <c r="BG35" t="s">
        <v>143</v>
      </c>
      <c r="BH35" t="s">
        <v>144</v>
      </c>
      <c r="BI35" t="s">
        <v>146</v>
      </c>
      <c r="BJ35" t="s">
        <v>147</v>
      </c>
      <c r="BK35" t="s">
        <v>146</v>
      </c>
      <c r="BL35" t="s">
        <v>147</v>
      </c>
      <c r="BM35" t="s">
        <v>146</v>
      </c>
      <c r="BN35" t="s">
        <v>147</v>
      </c>
      <c r="BO35" t="s">
        <v>143</v>
      </c>
      <c r="BP35" t="s">
        <v>144</v>
      </c>
      <c r="BQ35" t="s">
        <v>146</v>
      </c>
      <c r="BR35" t="s">
        <v>147</v>
      </c>
      <c r="BS35" t="s">
        <v>146</v>
      </c>
      <c r="BT35" t="s">
        <v>147</v>
      </c>
      <c r="BU35" t="s">
        <v>146</v>
      </c>
      <c r="BV35" t="s">
        <v>147</v>
      </c>
      <c r="BW35" t="s">
        <v>143</v>
      </c>
      <c r="BX35" t="s">
        <v>144</v>
      </c>
      <c r="BY35" t="s">
        <v>146</v>
      </c>
      <c r="BZ35" t="s">
        <v>147</v>
      </c>
      <c r="CA35" t="s">
        <v>146</v>
      </c>
      <c r="CB35" t="s">
        <v>147</v>
      </c>
      <c r="CC35" t="s">
        <v>143</v>
      </c>
      <c r="CD35" t="s">
        <v>144</v>
      </c>
      <c r="CE35" t="s">
        <v>143</v>
      </c>
      <c r="CF35" t="s">
        <v>147</v>
      </c>
      <c r="CG35" t="s">
        <v>146</v>
      </c>
      <c r="CH35" t="s">
        <v>147</v>
      </c>
      <c r="CI35" t="s">
        <v>146</v>
      </c>
      <c r="CJ35" t="s">
        <v>147</v>
      </c>
      <c r="CK35" t="s">
        <v>143</v>
      </c>
      <c r="CL35" t="s">
        <v>144</v>
      </c>
      <c r="CM35" t="s">
        <v>143</v>
      </c>
      <c r="CN35" t="s">
        <v>145</v>
      </c>
      <c r="CO35" t="s">
        <v>143</v>
      </c>
      <c r="CP35" t="s">
        <v>144</v>
      </c>
      <c r="CQ35" t="s">
        <v>146</v>
      </c>
      <c r="CR35" t="s">
        <v>147</v>
      </c>
      <c r="CS35" t="s">
        <v>146</v>
      </c>
      <c r="CT35" t="s">
        <v>147</v>
      </c>
      <c r="CU35" t="s">
        <v>146</v>
      </c>
      <c r="CV35" t="s">
        <v>147</v>
      </c>
      <c r="CW35" t="s">
        <v>143</v>
      </c>
      <c r="CX35" t="s">
        <v>145</v>
      </c>
      <c r="CY35" t="s">
        <v>143</v>
      </c>
      <c r="CZ35" t="s">
        <v>145</v>
      </c>
      <c r="DA35" t="s">
        <v>143</v>
      </c>
      <c r="DB35" t="s">
        <v>145</v>
      </c>
      <c r="DC35" t="s">
        <v>143</v>
      </c>
      <c r="DD35" t="s">
        <v>144</v>
      </c>
      <c r="DE35" t="s">
        <v>146</v>
      </c>
      <c r="DF35" t="s">
        <v>147</v>
      </c>
      <c r="DG35" t="s">
        <v>143</v>
      </c>
      <c r="DH35" t="s">
        <v>145</v>
      </c>
      <c r="DI35" t="s">
        <v>146</v>
      </c>
      <c r="DJ35" t="s">
        <v>147</v>
      </c>
      <c r="DK35" t="s">
        <v>146</v>
      </c>
      <c r="DL35" t="s">
        <v>147</v>
      </c>
      <c r="DM35" t="s">
        <v>146</v>
      </c>
      <c r="DN35" t="s">
        <v>147</v>
      </c>
      <c r="DO35" t="s">
        <v>143</v>
      </c>
      <c r="DP35" t="s">
        <v>147</v>
      </c>
      <c r="DQ35" t="s">
        <v>143</v>
      </c>
      <c r="DR35" t="s">
        <v>145</v>
      </c>
      <c r="DS35" t="s">
        <v>146</v>
      </c>
      <c r="DT35" t="s">
        <v>147</v>
      </c>
      <c r="DU35" t="s">
        <v>143</v>
      </c>
      <c r="DV35" t="s">
        <v>145</v>
      </c>
      <c r="DW35" t="s">
        <v>146</v>
      </c>
      <c r="DX35" t="s">
        <v>147</v>
      </c>
      <c r="DY35" t="s">
        <v>146</v>
      </c>
      <c r="DZ35" t="s">
        <v>147</v>
      </c>
      <c r="EA35" t="s">
        <v>143</v>
      </c>
      <c r="EB35" t="s">
        <v>144</v>
      </c>
      <c r="EC35" t="s">
        <v>143</v>
      </c>
      <c r="ED35" t="s">
        <v>145</v>
      </c>
      <c r="EE35" t="s">
        <v>143</v>
      </c>
      <c r="EF35" t="s">
        <v>147</v>
      </c>
      <c r="EG35" t="s">
        <v>143</v>
      </c>
      <c r="EH35" t="s">
        <v>144</v>
      </c>
      <c r="EI35" t="s">
        <v>146</v>
      </c>
      <c r="EJ35" t="s">
        <v>147</v>
      </c>
      <c r="EK35" t="s">
        <v>146</v>
      </c>
      <c r="EL35" t="s">
        <v>147</v>
      </c>
      <c r="EM35" t="s">
        <v>143</v>
      </c>
      <c r="EN35" t="s">
        <v>144</v>
      </c>
      <c r="EO35" t="s">
        <v>146</v>
      </c>
      <c r="EP35" t="s">
        <v>147</v>
      </c>
      <c r="EQ35" t="s">
        <v>146</v>
      </c>
      <c r="ER35" t="s">
        <v>147</v>
      </c>
      <c r="ES35" t="s">
        <v>143</v>
      </c>
      <c r="ET35" t="s">
        <v>144</v>
      </c>
      <c r="EU35" t="s">
        <v>143</v>
      </c>
      <c r="EV35" t="s">
        <v>147</v>
      </c>
      <c r="EW35" t="s">
        <v>143</v>
      </c>
      <c r="EX35" t="s">
        <v>144</v>
      </c>
      <c r="EY35" t="s">
        <v>143</v>
      </c>
      <c r="EZ35" t="s">
        <v>147</v>
      </c>
    </row>
    <row r="36" spans="1:156" x14ac:dyDescent="0.2">
      <c r="A36">
        <v>17</v>
      </c>
      <c r="B36" t="s">
        <v>276</v>
      </c>
      <c r="C36" s="7" t="s">
        <v>190</v>
      </c>
      <c r="D36" t="s">
        <v>188</v>
      </c>
      <c r="E36" s="1">
        <v>43374</v>
      </c>
      <c r="F36" t="s">
        <v>143</v>
      </c>
      <c r="G36" t="s">
        <v>144</v>
      </c>
      <c r="H36" t="s">
        <v>146</v>
      </c>
      <c r="I36" t="s">
        <v>147</v>
      </c>
      <c r="J36" t="s">
        <v>146</v>
      </c>
      <c r="K36" t="s">
        <v>147</v>
      </c>
      <c r="L36" t="s">
        <v>146</v>
      </c>
      <c r="M36" t="s">
        <v>144</v>
      </c>
      <c r="N36" t="s">
        <v>143</v>
      </c>
      <c r="O36" t="s">
        <v>145</v>
      </c>
      <c r="P36" t="s">
        <v>146</v>
      </c>
      <c r="Q36" t="s">
        <v>147</v>
      </c>
      <c r="R36" t="s">
        <v>143</v>
      </c>
      <c r="S36" t="s">
        <v>147</v>
      </c>
      <c r="T36" t="s">
        <v>146</v>
      </c>
      <c r="U36" t="s">
        <v>147</v>
      </c>
      <c r="V36" t="s">
        <v>146</v>
      </c>
      <c r="W36" t="s">
        <v>147</v>
      </c>
      <c r="X36" t="s">
        <v>146</v>
      </c>
      <c r="Y36" t="s">
        <v>147</v>
      </c>
      <c r="Z36" t="s">
        <v>146</v>
      </c>
      <c r="AA36" t="s">
        <v>147</v>
      </c>
      <c r="AB36" t="s">
        <v>146</v>
      </c>
      <c r="AC36" t="s">
        <v>147</v>
      </c>
      <c r="AD36" t="s">
        <v>143</v>
      </c>
      <c r="AE36" t="s">
        <v>145</v>
      </c>
      <c r="AF36" t="s">
        <v>143</v>
      </c>
      <c r="AG36" t="s">
        <v>147</v>
      </c>
      <c r="AP36" t="s">
        <v>143</v>
      </c>
      <c r="AQ36" t="s">
        <v>145</v>
      </c>
      <c r="AR36" t="s">
        <v>146</v>
      </c>
      <c r="AS36" t="s">
        <v>147</v>
      </c>
      <c r="AT36" t="s">
        <v>143</v>
      </c>
      <c r="AU36" t="s">
        <v>144</v>
      </c>
      <c r="AW36" t="s">
        <v>146</v>
      </c>
      <c r="AX36" t="s">
        <v>147</v>
      </c>
      <c r="AY36" t="s">
        <v>143</v>
      </c>
      <c r="AZ36" t="s">
        <v>144</v>
      </c>
      <c r="BA36" t="s">
        <v>143</v>
      </c>
      <c r="BB36" t="s">
        <v>144</v>
      </c>
      <c r="BC36" t="s">
        <v>146</v>
      </c>
      <c r="BD36" t="s">
        <v>147</v>
      </c>
      <c r="BE36" t="s">
        <v>146</v>
      </c>
      <c r="BF36" t="s">
        <v>147</v>
      </c>
      <c r="BG36" t="s">
        <v>143</v>
      </c>
      <c r="BH36" t="s">
        <v>144</v>
      </c>
      <c r="BI36" t="s">
        <v>146</v>
      </c>
      <c r="BJ36" t="s">
        <v>147</v>
      </c>
      <c r="BK36" t="s">
        <v>146</v>
      </c>
      <c r="BL36" t="s">
        <v>147</v>
      </c>
      <c r="BM36" t="s">
        <v>146</v>
      </c>
      <c r="BN36" t="s">
        <v>147</v>
      </c>
      <c r="BO36" t="s">
        <v>143</v>
      </c>
      <c r="BP36" t="s">
        <v>144</v>
      </c>
      <c r="BQ36" t="s">
        <v>146</v>
      </c>
      <c r="BR36" t="s">
        <v>147</v>
      </c>
      <c r="BS36" t="s">
        <v>146</v>
      </c>
      <c r="BT36" t="s">
        <v>147</v>
      </c>
      <c r="BU36" t="s">
        <v>146</v>
      </c>
      <c r="BV36" t="s">
        <v>147</v>
      </c>
      <c r="BW36" t="s">
        <v>143</v>
      </c>
      <c r="BX36" t="s">
        <v>144</v>
      </c>
      <c r="BY36" t="s">
        <v>146</v>
      </c>
      <c r="BZ36" t="s">
        <v>147</v>
      </c>
      <c r="CA36" t="s">
        <v>146</v>
      </c>
      <c r="CB36" t="s">
        <v>147</v>
      </c>
      <c r="CC36" t="s">
        <v>143</v>
      </c>
      <c r="CD36" t="s">
        <v>144</v>
      </c>
      <c r="CE36" t="s">
        <v>143</v>
      </c>
      <c r="CF36" t="s">
        <v>147</v>
      </c>
      <c r="CG36" t="s">
        <v>146</v>
      </c>
      <c r="CH36" t="s">
        <v>147</v>
      </c>
      <c r="CI36" t="s">
        <v>146</v>
      </c>
      <c r="CJ36" t="s">
        <v>147</v>
      </c>
      <c r="CK36" t="s">
        <v>143</v>
      </c>
      <c r="CL36" t="s">
        <v>144</v>
      </c>
      <c r="CM36" t="s">
        <v>143</v>
      </c>
      <c r="CN36" t="s">
        <v>145</v>
      </c>
      <c r="CO36" t="s">
        <v>143</v>
      </c>
      <c r="CP36" t="s">
        <v>144</v>
      </c>
      <c r="CQ36" t="s">
        <v>146</v>
      </c>
      <c r="CR36" t="s">
        <v>147</v>
      </c>
      <c r="CS36" t="s">
        <v>146</v>
      </c>
      <c r="CT36" t="s">
        <v>147</v>
      </c>
      <c r="CU36" t="s">
        <v>146</v>
      </c>
      <c r="CV36" t="s">
        <v>147</v>
      </c>
      <c r="CW36" t="s">
        <v>143</v>
      </c>
      <c r="CX36" t="s">
        <v>145</v>
      </c>
      <c r="CY36" t="s">
        <v>143</v>
      </c>
      <c r="CZ36" t="s">
        <v>145</v>
      </c>
      <c r="DA36" t="s">
        <v>143</v>
      </c>
      <c r="DB36" t="s">
        <v>145</v>
      </c>
      <c r="DC36" t="s">
        <v>143</v>
      </c>
      <c r="DD36" t="s">
        <v>144</v>
      </c>
      <c r="DE36" t="s">
        <v>146</v>
      </c>
      <c r="DF36" t="s">
        <v>147</v>
      </c>
      <c r="DG36" t="s">
        <v>143</v>
      </c>
      <c r="DH36" t="s">
        <v>145</v>
      </c>
      <c r="DI36" t="s">
        <v>146</v>
      </c>
      <c r="DJ36" t="s">
        <v>147</v>
      </c>
      <c r="DK36" t="s">
        <v>146</v>
      </c>
      <c r="DL36" t="s">
        <v>147</v>
      </c>
      <c r="DM36" t="s">
        <v>146</v>
      </c>
      <c r="DN36" t="s">
        <v>147</v>
      </c>
      <c r="DO36" t="s">
        <v>143</v>
      </c>
      <c r="DP36" t="s">
        <v>147</v>
      </c>
      <c r="DQ36" t="s">
        <v>143</v>
      </c>
      <c r="DR36" t="s">
        <v>145</v>
      </c>
      <c r="DS36" t="s">
        <v>146</v>
      </c>
      <c r="DT36" t="s">
        <v>147</v>
      </c>
      <c r="DU36" t="s">
        <v>143</v>
      </c>
      <c r="DV36" t="s">
        <v>145</v>
      </c>
      <c r="DW36" t="s">
        <v>146</v>
      </c>
      <c r="DX36" t="s">
        <v>147</v>
      </c>
      <c r="DY36" t="s">
        <v>146</v>
      </c>
      <c r="DZ36" t="s">
        <v>147</v>
      </c>
      <c r="EA36" t="s">
        <v>143</v>
      </c>
      <c r="EB36" t="s">
        <v>144</v>
      </c>
      <c r="EC36" t="s">
        <v>143</v>
      </c>
      <c r="ED36" t="s">
        <v>145</v>
      </c>
      <c r="EE36" t="s">
        <v>143</v>
      </c>
      <c r="EF36" t="s">
        <v>147</v>
      </c>
      <c r="EG36" t="s">
        <v>143</v>
      </c>
      <c r="EH36" t="s">
        <v>144</v>
      </c>
      <c r="EI36" t="s">
        <v>146</v>
      </c>
      <c r="EJ36" t="s">
        <v>147</v>
      </c>
      <c r="EK36" t="s">
        <v>146</v>
      </c>
      <c r="EL36" t="s">
        <v>147</v>
      </c>
      <c r="EM36" t="s">
        <v>143</v>
      </c>
      <c r="EN36" t="s">
        <v>144</v>
      </c>
      <c r="EO36" t="s">
        <v>146</v>
      </c>
      <c r="EP36" t="s">
        <v>147</v>
      </c>
      <c r="EQ36" t="s">
        <v>146</v>
      </c>
      <c r="ER36" t="s">
        <v>147</v>
      </c>
      <c r="ES36" t="s">
        <v>143</v>
      </c>
      <c r="ET36" t="s">
        <v>144</v>
      </c>
      <c r="EU36" t="s">
        <v>143</v>
      </c>
      <c r="EV36" t="s">
        <v>147</v>
      </c>
      <c r="EW36" t="s">
        <v>143</v>
      </c>
      <c r="EX36" t="s">
        <v>144</v>
      </c>
      <c r="EY36" t="s">
        <v>143</v>
      </c>
      <c r="EZ36" t="s">
        <v>147</v>
      </c>
    </row>
    <row r="37" spans="1:156" x14ac:dyDescent="0.2">
      <c r="A37">
        <v>35</v>
      </c>
      <c r="B37" t="s">
        <v>277</v>
      </c>
      <c r="C37" s="7" t="s">
        <v>190</v>
      </c>
      <c r="D37" t="s">
        <v>188</v>
      </c>
      <c r="E37" s="1">
        <v>43374</v>
      </c>
      <c r="F37" t="s">
        <v>143</v>
      </c>
      <c r="G37" t="s">
        <v>144</v>
      </c>
      <c r="H37" t="s">
        <v>146</v>
      </c>
      <c r="I37" t="s">
        <v>147</v>
      </c>
      <c r="J37" t="s">
        <v>146</v>
      </c>
      <c r="K37" t="s">
        <v>147</v>
      </c>
      <c r="L37" t="s">
        <v>146</v>
      </c>
      <c r="M37" t="s">
        <v>144</v>
      </c>
      <c r="N37" t="s">
        <v>143</v>
      </c>
      <c r="O37" t="s">
        <v>145</v>
      </c>
      <c r="P37" t="s">
        <v>146</v>
      </c>
      <c r="Q37" t="s">
        <v>147</v>
      </c>
      <c r="R37" t="s">
        <v>143</v>
      </c>
      <c r="S37" t="s">
        <v>147</v>
      </c>
      <c r="T37" t="s">
        <v>146</v>
      </c>
      <c r="U37" t="s">
        <v>147</v>
      </c>
      <c r="V37" t="s">
        <v>146</v>
      </c>
      <c r="W37" t="s">
        <v>147</v>
      </c>
      <c r="X37" t="s">
        <v>146</v>
      </c>
      <c r="Y37" t="s">
        <v>147</v>
      </c>
      <c r="Z37" t="s">
        <v>146</v>
      </c>
      <c r="AA37" t="s">
        <v>147</v>
      </c>
      <c r="AB37" t="s">
        <v>146</v>
      </c>
      <c r="AC37" t="s">
        <v>147</v>
      </c>
      <c r="AD37" t="s">
        <v>143</v>
      </c>
      <c r="AE37" t="s">
        <v>145</v>
      </c>
      <c r="AF37" t="s">
        <v>143</v>
      </c>
      <c r="AG37" t="s">
        <v>147</v>
      </c>
      <c r="AP37" t="s">
        <v>143</v>
      </c>
      <c r="AQ37" t="s">
        <v>145</v>
      </c>
      <c r="AR37" t="s">
        <v>146</v>
      </c>
      <c r="AS37" t="s">
        <v>147</v>
      </c>
      <c r="AT37" t="s">
        <v>143</v>
      </c>
      <c r="AU37" t="s">
        <v>144</v>
      </c>
      <c r="AW37" t="s">
        <v>146</v>
      </c>
      <c r="AX37" t="s">
        <v>147</v>
      </c>
      <c r="AY37" t="s">
        <v>143</v>
      </c>
      <c r="AZ37" t="s">
        <v>144</v>
      </c>
      <c r="BA37" t="s">
        <v>143</v>
      </c>
      <c r="BB37" t="s">
        <v>144</v>
      </c>
      <c r="BC37" t="s">
        <v>146</v>
      </c>
      <c r="BD37" t="s">
        <v>147</v>
      </c>
      <c r="BE37" t="s">
        <v>146</v>
      </c>
      <c r="BF37" t="s">
        <v>147</v>
      </c>
      <c r="BG37" t="s">
        <v>143</v>
      </c>
      <c r="BH37" t="s">
        <v>144</v>
      </c>
      <c r="BI37" t="s">
        <v>146</v>
      </c>
      <c r="BJ37" t="s">
        <v>147</v>
      </c>
      <c r="BK37" t="s">
        <v>146</v>
      </c>
      <c r="BL37" t="s">
        <v>147</v>
      </c>
      <c r="BM37" t="s">
        <v>146</v>
      </c>
      <c r="BN37" t="s">
        <v>147</v>
      </c>
      <c r="BO37" t="s">
        <v>143</v>
      </c>
      <c r="BP37" t="s">
        <v>144</v>
      </c>
      <c r="BQ37" t="s">
        <v>146</v>
      </c>
      <c r="BR37" t="s">
        <v>147</v>
      </c>
      <c r="BS37" t="s">
        <v>146</v>
      </c>
      <c r="BT37" t="s">
        <v>147</v>
      </c>
      <c r="BU37" t="s">
        <v>146</v>
      </c>
      <c r="BV37" t="s">
        <v>147</v>
      </c>
      <c r="BW37" t="s">
        <v>143</v>
      </c>
      <c r="BX37" t="s">
        <v>144</v>
      </c>
      <c r="BY37" t="s">
        <v>146</v>
      </c>
      <c r="BZ37" t="s">
        <v>147</v>
      </c>
      <c r="CA37" t="s">
        <v>146</v>
      </c>
      <c r="CB37" t="s">
        <v>147</v>
      </c>
      <c r="CC37" t="s">
        <v>143</v>
      </c>
      <c r="CD37" t="s">
        <v>144</v>
      </c>
      <c r="CE37" t="s">
        <v>143</v>
      </c>
      <c r="CF37" t="s">
        <v>147</v>
      </c>
      <c r="CG37" t="s">
        <v>146</v>
      </c>
      <c r="CH37" t="s">
        <v>147</v>
      </c>
      <c r="CI37" t="s">
        <v>146</v>
      </c>
      <c r="CJ37" t="s">
        <v>147</v>
      </c>
      <c r="CK37" t="s">
        <v>143</v>
      </c>
      <c r="CL37" t="s">
        <v>144</v>
      </c>
      <c r="CM37" t="s">
        <v>143</v>
      </c>
      <c r="CN37" t="s">
        <v>145</v>
      </c>
      <c r="CO37" t="s">
        <v>143</v>
      </c>
      <c r="CP37" t="s">
        <v>144</v>
      </c>
      <c r="CQ37" t="s">
        <v>146</v>
      </c>
      <c r="CR37" t="s">
        <v>147</v>
      </c>
      <c r="CS37" t="s">
        <v>146</v>
      </c>
      <c r="CT37" t="s">
        <v>147</v>
      </c>
      <c r="CU37" t="s">
        <v>146</v>
      </c>
      <c r="CV37" t="s">
        <v>147</v>
      </c>
      <c r="CW37" t="s">
        <v>143</v>
      </c>
      <c r="CX37" t="s">
        <v>145</v>
      </c>
      <c r="CY37" t="s">
        <v>143</v>
      </c>
      <c r="CZ37" t="s">
        <v>145</v>
      </c>
      <c r="DA37" t="s">
        <v>143</v>
      </c>
      <c r="DB37" t="s">
        <v>145</v>
      </c>
      <c r="DC37" t="s">
        <v>143</v>
      </c>
      <c r="DD37" t="s">
        <v>144</v>
      </c>
      <c r="DE37" t="s">
        <v>146</v>
      </c>
      <c r="DF37" t="s">
        <v>147</v>
      </c>
      <c r="DG37" t="s">
        <v>143</v>
      </c>
      <c r="DH37" t="s">
        <v>145</v>
      </c>
      <c r="DI37" t="s">
        <v>146</v>
      </c>
      <c r="DJ37" t="s">
        <v>147</v>
      </c>
      <c r="DK37" t="s">
        <v>146</v>
      </c>
      <c r="DL37" t="s">
        <v>147</v>
      </c>
      <c r="DM37" t="s">
        <v>146</v>
      </c>
      <c r="DN37" t="s">
        <v>147</v>
      </c>
      <c r="DO37" t="s">
        <v>143</v>
      </c>
      <c r="DP37" t="s">
        <v>147</v>
      </c>
      <c r="DQ37" t="s">
        <v>143</v>
      </c>
      <c r="DR37" t="s">
        <v>145</v>
      </c>
      <c r="DS37" t="s">
        <v>146</v>
      </c>
      <c r="DT37" t="s">
        <v>147</v>
      </c>
      <c r="DU37" t="s">
        <v>143</v>
      </c>
      <c r="DV37" t="s">
        <v>145</v>
      </c>
      <c r="DW37" t="s">
        <v>146</v>
      </c>
      <c r="DX37" t="s">
        <v>147</v>
      </c>
      <c r="DY37" t="s">
        <v>146</v>
      </c>
      <c r="DZ37" t="s">
        <v>147</v>
      </c>
      <c r="EA37" t="s">
        <v>143</v>
      </c>
      <c r="EB37" t="s">
        <v>144</v>
      </c>
      <c r="EC37" t="s">
        <v>143</v>
      </c>
      <c r="ED37" t="s">
        <v>145</v>
      </c>
      <c r="EE37" t="s">
        <v>143</v>
      </c>
      <c r="EF37" t="s">
        <v>147</v>
      </c>
      <c r="EG37" t="s">
        <v>143</v>
      </c>
      <c r="EH37" t="s">
        <v>144</v>
      </c>
      <c r="EI37" t="s">
        <v>146</v>
      </c>
      <c r="EJ37" t="s">
        <v>147</v>
      </c>
      <c r="EK37" t="s">
        <v>146</v>
      </c>
      <c r="EL37" t="s">
        <v>147</v>
      </c>
      <c r="EM37" t="s">
        <v>143</v>
      </c>
      <c r="EN37" t="s">
        <v>144</v>
      </c>
      <c r="EO37" t="s">
        <v>146</v>
      </c>
      <c r="EP37" t="s">
        <v>147</v>
      </c>
      <c r="EQ37" t="s">
        <v>146</v>
      </c>
      <c r="ER37" t="s">
        <v>147</v>
      </c>
      <c r="ES37" t="s">
        <v>143</v>
      </c>
      <c r="ET37" t="s">
        <v>144</v>
      </c>
      <c r="EU37" t="s">
        <v>143</v>
      </c>
      <c r="EV37" t="s">
        <v>147</v>
      </c>
      <c r="EW37" t="s">
        <v>143</v>
      </c>
      <c r="EX37" t="s">
        <v>144</v>
      </c>
      <c r="EY37" t="s">
        <v>143</v>
      </c>
      <c r="EZ37" t="s">
        <v>147</v>
      </c>
    </row>
    <row r="38" spans="1:156" x14ac:dyDescent="0.2">
      <c r="A38">
        <v>36</v>
      </c>
      <c r="B38" t="s">
        <v>283</v>
      </c>
      <c r="C38" s="7" t="s">
        <v>190</v>
      </c>
      <c r="D38" t="s">
        <v>187</v>
      </c>
      <c r="E38" s="1">
        <v>43374</v>
      </c>
      <c r="F38" t="s">
        <v>143</v>
      </c>
      <c r="G38" t="s">
        <v>144</v>
      </c>
      <c r="H38" t="s">
        <v>146</v>
      </c>
      <c r="I38" t="s">
        <v>147</v>
      </c>
      <c r="J38" t="s">
        <v>146</v>
      </c>
      <c r="K38" t="s">
        <v>147</v>
      </c>
      <c r="L38" t="s">
        <v>146</v>
      </c>
      <c r="M38" t="s">
        <v>144</v>
      </c>
      <c r="N38" t="s">
        <v>143</v>
      </c>
      <c r="O38" t="s">
        <v>145</v>
      </c>
      <c r="P38" t="s">
        <v>146</v>
      </c>
      <c r="Q38" t="s">
        <v>147</v>
      </c>
      <c r="R38" t="s">
        <v>143</v>
      </c>
      <c r="S38" t="s">
        <v>147</v>
      </c>
      <c r="T38" t="s">
        <v>146</v>
      </c>
      <c r="U38" t="s">
        <v>147</v>
      </c>
      <c r="V38" t="s">
        <v>146</v>
      </c>
      <c r="W38" t="s">
        <v>147</v>
      </c>
      <c r="X38" t="s">
        <v>146</v>
      </c>
      <c r="Y38" t="s">
        <v>147</v>
      </c>
      <c r="Z38" t="s">
        <v>146</v>
      </c>
      <c r="AA38" t="s">
        <v>147</v>
      </c>
      <c r="AB38" t="s">
        <v>146</v>
      </c>
      <c r="AC38" t="s">
        <v>147</v>
      </c>
      <c r="AD38" t="s">
        <v>143</v>
      </c>
      <c r="AE38" t="s">
        <v>145</v>
      </c>
      <c r="AF38" t="s">
        <v>143</v>
      </c>
      <c r="AG38" t="s">
        <v>147</v>
      </c>
      <c r="AP38" t="s">
        <v>143</v>
      </c>
      <c r="AQ38" t="s">
        <v>145</v>
      </c>
      <c r="AR38" t="s">
        <v>146</v>
      </c>
      <c r="AS38" t="s">
        <v>147</v>
      </c>
      <c r="AT38" t="s">
        <v>143</v>
      </c>
      <c r="AU38" t="s">
        <v>144</v>
      </c>
      <c r="AW38" t="s">
        <v>146</v>
      </c>
      <c r="AX38" t="s">
        <v>147</v>
      </c>
      <c r="AY38" t="s">
        <v>143</v>
      </c>
      <c r="AZ38" t="s">
        <v>144</v>
      </c>
      <c r="BA38" t="s">
        <v>143</v>
      </c>
      <c r="BB38" t="s">
        <v>144</v>
      </c>
      <c r="BC38" t="s">
        <v>146</v>
      </c>
      <c r="BD38" t="s">
        <v>147</v>
      </c>
      <c r="BE38" t="s">
        <v>146</v>
      </c>
      <c r="BF38" t="s">
        <v>147</v>
      </c>
      <c r="BG38" t="s">
        <v>143</v>
      </c>
      <c r="BH38" t="s">
        <v>144</v>
      </c>
      <c r="BI38" t="s">
        <v>146</v>
      </c>
      <c r="BJ38" t="s">
        <v>147</v>
      </c>
      <c r="BK38" t="s">
        <v>146</v>
      </c>
      <c r="BL38" t="s">
        <v>147</v>
      </c>
      <c r="BM38" t="s">
        <v>146</v>
      </c>
      <c r="BN38" t="s">
        <v>147</v>
      </c>
      <c r="BO38" t="s">
        <v>143</v>
      </c>
      <c r="BP38" t="s">
        <v>144</v>
      </c>
      <c r="BQ38" t="s">
        <v>146</v>
      </c>
      <c r="BR38" t="s">
        <v>147</v>
      </c>
      <c r="BS38" t="s">
        <v>146</v>
      </c>
      <c r="BT38" t="s">
        <v>147</v>
      </c>
      <c r="BU38" t="s">
        <v>146</v>
      </c>
      <c r="BV38" t="s">
        <v>147</v>
      </c>
      <c r="BW38" t="s">
        <v>143</v>
      </c>
      <c r="BX38" t="s">
        <v>144</v>
      </c>
      <c r="BY38" t="s">
        <v>146</v>
      </c>
      <c r="BZ38" t="s">
        <v>147</v>
      </c>
      <c r="CA38" t="s">
        <v>146</v>
      </c>
      <c r="CB38" t="s">
        <v>147</v>
      </c>
      <c r="CC38" t="s">
        <v>143</v>
      </c>
      <c r="CD38" t="s">
        <v>144</v>
      </c>
      <c r="CE38" t="s">
        <v>143</v>
      </c>
      <c r="CF38" t="s">
        <v>147</v>
      </c>
      <c r="CG38" t="s">
        <v>146</v>
      </c>
      <c r="CH38" t="s">
        <v>147</v>
      </c>
      <c r="CI38" t="s">
        <v>146</v>
      </c>
      <c r="CJ38" t="s">
        <v>147</v>
      </c>
      <c r="CK38" t="s">
        <v>143</v>
      </c>
      <c r="CL38" t="s">
        <v>144</v>
      </c>
      <c r="CM38" t="s">
        <v>143</v>
      </c>
      <c r="CN38" t="s">
        <v>145</v>
      </c>
      <c r="CO38" t="s">
        <v>143</v>
      </c>
      <c r="CP38" t="s">
        <v>144</v>
      </c>
      <c r="CQ38" t="s">
        <v>146</v>
      </c>
      <c r="CR38" t="s">
        <v>147</v>
      </c>
      <c r="CS38" t="s">
        <v>146</v>
      </c>
      <c r="CT38" t="s">
        <v>147</v>
      </c>
      <c r="CU38" t="s">
        <v>146</v>
      </c>
      <c r="CV38" t="s">
        <v>147</v>
      </c>
      <c r="CW38" t="s">
        <v>143</v>
      </c>
      <c r="CX38" t="s">
        <v>145</v>
      </c>
      <c r="CY38" t="s">
        <v>143</v>
      </c>
      <c r="CZ38" t="s">
        <v>145</v>
      </c>
      <c r="DA38" t="s">
        <v>143</v>
      </c>
      <c r="DB38" t="s">
        <v>145</v>
      </c>
      <c r="DC38" t="s">
        <v>143</v>
      </c>
      <c r="DD38" t="s">
        <v>144</v>
      </c>
      <c r="DE38" t="s">
        <v>146</v>
      </c>
      <c r="DF38" t="s">
        <v>147</v>
      </c>
      <c r="DG38" t="s">
        <v>143</v>
      </c>
      <c r="DH38" t="s">
        <v>145</v>
      </c>
      <c r="DI38" t="s">
        <v>146</v>
      </c>
      <c r="DJ38" t="s">
        <v>147</v>
      </c>
      <c r="DK38" t="s">
        <v>146</v>
      </c>
      <c r="DL38" t="s">
        <v>147</v>
      </c>
      <c r="DM38" t="s">
        <v>146</v>
      </c>
      <c r="DN38" t="s">
        <v>147</v>
      </c>
      <c r="DO38" t="s">
        <v>143</v>
      </c>
      <c r="DP38" t="s">
        <v>147</v>
      </c>
      <c r="DQ38" t="s">
        <v>143</v>
      </c>
      <c r="DR38" t="s">
        <v>145</v>
      </c>
      <c r="DS38" t="s">
        <v>146</v>
      </c>
      <c r="DT38" t="s">
        <v>147</v>
      </c>
      <c r="DU38" t="s">
        <v>143</v>
      </c>
      <c r="DV38" t="s">
        <v>145</v>
      </c>
      <c r="DW38" t="s">
        <v>146</v>
      </c>
      <c r="DX38" t="s">
        <v>147</v>
      </c>
      <c r="DY38" t="s">
        <v>146</v>
      </c>
      <c r="DZ38" t="s">
        <v>147</v>
      </c>
      <c r="EA38" t="s">
        <v>143</v>
      </c>
      <c r="EB38" t="s">
        <v>144</v>
      </c>
      <c r="EC38" t="s">
        <v>143</v>
      </c>
      <c r="ED38" t="s">
        <v>145</v>
      </c>
      <c r="EE38" t="s">
        <v>143</v>
      </c>
      <c r="EF38" t="s">
        <v>147</v>
      </c>
      <c r="EG38" t="s">
        <v>143</v>
      </c>
      <c r="EH38" t="s">
        <v>144</v>
      </c>
      <c r="EI38" t="s">
        <v>146</v>
      </c>
      <c r="EJ38" t="s">
        <v>147</v>
      </c>
      <c r="EK38" t="s">
        <v>146</v>
      </c>
      <c r="EL38" t="s">
        <v>147</v>
      </c>
      <c r="EM38" t="s">
        <v>143</v>
      </c>
      <c r="EN38" t="s">
        <v>144</v>
      </c>
      <c r="EO38" t="s">
        <v>146</v>
      </c>
      <c r="EP38" t="s">
        <v>147</v>
      </c>
      <c r="EQ38" t="s">
        <v>146</v>
      </c>
      <c r="ER38" t="s">
        <v>147</v>
      </c>
      <c r="ES38" t="s">
        <v>143</v>
      </c>
      <c r="ET38" t="s">
        <v>144</v>
      </c>
      <c r="EU38" t="s">
        <v>143</v>
      </c>
      <c r="EV38" t="s">
        <v>147</v>
      </c>
      <c r="EW38" t="s">
        <v>143</v>
      </c>
      <c r="EX38" t="s">
        <v>144</v>
      </c>
      <c r="EY38" t="s">
        <v>143</v>
      </c>
      <c r="EZ38" t="s">
        <v>147</v>
      </c>
    </row>
    <row r="39" spans="1:156" x14ac:dyDescent="0.2">
      <c r="A39">
        <v>37</v>
      </c>
      <c r="B39" t="s">
        <v>278</v>
      </c>
      <c r="C39" s="7" t="s">
        <v>190</v>
      </c>
      <c r="D39" t="s">
        <v>188</v>
      </c>
      <c r="E39" s="1">
        <v>43374</v>
      </c>
      <c r="F39" t="s">
        <v>143</v>
      </c>
      <c r="G39" t="s">
        <v>144</v>
      </c>
      <c r="H39" t="s">
        <v>146</v>
      </c>
      <c r="I39" t="s">
        <v>147</v>
      </c>
      <c r="J39" t="s">
        <v>146</v>
      </c>
      <c r="K39" t="s">
        <v>147</v>
      </c>
      <c r="L39" t="s">
        <v>146</v>
      </c>
      <c r="M39" t="s">
        <v>144</v>
      </c>
      <c r="N39" t="s">
        <v>143</v>
      </c>
      <c r="O39" t="s">
        <v>145</v>
      </c>
      <c r="P39" t="s">
        <v>146</v>
      </c>
      <c r="Q39" t="s">
        <v>147</v>
      </c>
      <c r="R39" t="s">
        <v>143</v>
      </c>
      <c r="S39" t="s">
        <v>147</v>
      </c>
      <c r="T39" t="s">
        <v>146</v>
      </c>
      <c r="U39" t="s">
        <v>147</v>
      </c>
      <c r="V39" t="s">
        <v>146</v>
      </c>
      <c r="W39" t="s">
        <v>147</v>
      </c>
      <c r="X39" t="s">
        <v>146</v>
      </c>
      <c r="Y39" t="s">
        <v>147</v>
      </c>
      <c r="Z39" t="s">
        <v>146</v>
      </c>
      <c r="AA39" t="s">
        <v>147</v>
      </c>
      <c r="AB39" t="s">
        <v>146</v>
      </c>
      <c r="AC39" t="s">
        <v>147</v>
      </c>
      <c r="AD39" t="s">
        <v>143</v>
      </c>
      <c r="AE39" t="s">
        <v>145</v>
      </c>
      <c r="AF39" t="s">
        <v>143</v>
      </c>
      <c r="AG39" t="s">
        <v>147</v>
      </c>
      <c r="AP39" t="s">
        <v>143</v>
      </c>
      <c r="AQ39" t="s">
        <v>145</v>
      </c>
      <c r="AR39" t="s">
        <v>146</v>
      </c>
      <c r="AS39" t="s">
        <v>147</v>
      </c>
      <c r="AT39" t="s">
        <v>143</v>
      </c>
      <c r="AU39" t="s">
        <v>144</v>
      </c>
      <c r="AW39" t="s">
        <v>146</v>
      </c>
      <c r="AX39" t="s">
        <v>147</v>
      </c>
      <c r="AY39" t="s">
        <v>143</v>
      </c>
      <c r="AZ39" t="s">
        <v>144</v>
      </c>
      <c r="BA39" t="s">
        <v>143</v>
      </c>
      <c r="BB39" t="s">
        <v>144</v>
      </c>
      <c r="BC39" t="s">
        <v>146</v>
      </c>
      <c r="BD39" t="s">
        <v>147</v>
      </c>
      <c r="BE39" t="s">
        <v>146</v>
      </c>
      <c r="BF39" t="s">
        <v>147</v>
      </c>
      <c r="BG39" t="s">
        <v>143</v>
      </c>
      <c r="BH39" t="s">
        <v>144</v>
      </c>
      <c r="BI39" t="s">
        <v>146</v>
      </c>
      <c r="BJ39" t="s">
        <v>147</v>
      </c>
      <c r="BK39" t="s">
        <v>146</v>
      </c>
      <c r="BL39" t="s">
        <v>147</v>
      </c>
      <c r="BM39" t="s">
        <v>146</v>
      </c>
      <c r="BN39" t="s">
        <v>147</v>
      </c>
      <c r="BO39" t="s">
        <v>143</v>
      </c>
      <c r="BP39" t="s">
        <v>144</v>
      </c>
      <c r="BQ39" t="s">
        <v>146</v>
      </c>
      <c r="BR39" t="s">
        <v>147</v>
      </c>
      <c r="BS39" t="s">
        <v>146</v>
      </c>
      <c r="BT39" t="s">
        <v>147</v>
      </c>
      <c r="BU39" t="s">
        <v>146</v>
      </c>
      <c r="BV39" t="s">
        <v>147</v>
      </c>
      <c r="BW39" t="s">
        <v>143</v>
      </c>
      <c r="BX39" t="s">
        <v>144</v>
      </c>
      <c r="BY39" t="s">
        <v>146</v>
      </c>
      <c r="BZ39" t="s">
        <v>147</v>
      </c>
      <c r="CA39" t="s">
        <v>146</v>
      </c>
      <c r="CB39" t="s">
        <v>147</v>
      </c>
      <c r="CC39" t="s">
        <v>143</v>
      </c>
      <c r="CD39" t="s">
        <v>144</v>
      </c>
      <c r="CE39" t="s">
        <v>143</v>
      </c>
      <c r="CF39" t="s">
        <v>147</v>
      </c>
      <c r="CG39" t="s">
        <v>146</v>
      </c>
      <c r="CH39" t="s">
        <v>147</v>
      </c>
      <c r="CI39" t="s">
        <v>146</v>
      </c>
      <c r="CJ39" t="s">
        <v>147</v>
      </c>
      <c r="CK39" t="s">
        <v>143</v>
      </c>
      <c r="CL39" t="s">
        <v>144</v>
      </c>
      <c r="CM39" t="s">
        <v>143</v>
      </c>
      <c r="CN39" t="s">
        <v>145</v>
      </c>
      <c r="CO39" t="s">
        <v>143</v>
      </c>
      <c r="CP39" t="s">
        <v>144</v>
      </c>
      <c r="CQ39" t="s">
        <v>146</v>
      </c>
      <c r="CR39" t="s">
        <v>147</v>
      </c>
      <c r="CS39" t="s">
        <v>146</v>
      </c>
      <c r="CT39" t="s">
        <v>147</v>
      </c>
      <c r="CU39" t="s">
        <v>146</v>
      </c>
      <c r="CV39" t="s">
        <v>147</v>
      </c>
      <c r="CW39" t="s">
        <v>143</v>
      </c>
      <c r="CX39" t="s">
        <v>145</v>
      </c>
      <c r="CY39" t="s">
        <v>143</v>
      </c>
      <c r="CZ39" t="s">
        <v>145</v>
      </c>
      <c r="DA39" t="s">
        <v>143</v>
      </c>
      <c r="DB39" t="s">
        <v>145</v>
      </c>
      <c r="DC39" t="s">
        <v>143</v>
      </c>
      <c r="DD39" t="s">
        <v>144</v>
      </c>
      <c r="DE39" t="s">
        <v>146</v>
      </c>
      <c r="DF39" t="s">
        <v>147</v>
      </c>
      <c r="DG39" t="s">
        <v>143</v>
      </c>
      <c r="DH39" t="s">
        <v>145</v>
      </c>
      <c r="DI39" t="s">
        <v>146</v>
      </c>
      <c r="DJ39" t="s">
        <v>147</v>
      </c>
      <c r="DK39" t="s">
        <v>146</v>
      </c>
      <c r="DL39" t="s">
        <v>147</v>
      </c>
      <c r="DM39" t="s">
        <v>146</v>
      </c>
      <c r="DN39" t="s">
        <v>147</v>
      </c>
      <c r="DO39" t="s">
        <v>143</v>
      </c>
      <c r="DP39" t="s">
        <v>147</v>
      </c>
      <c r="DQ39" t="s">
        <v>143</v>
      </c>
      <c r="DR39" t="s">
        <v>145</v>
      </c>
      <c r="DS39" t="s">
        <v>146</v>
      </c>
      <c r="DT39" t="s">
        <v>147</v>
      </c>
      <c r="DU39" t="s">
        <v>143</v>
      </c>
      <c r="DV39" t="s">
        <v>145</v>
      </c>
      <c r="DW39" t="s">
        <v>146</v>
      </c>
      <c r="DX39" t="s">
        <v>147</v>
      </c>
      <c r="DY39" t="s">
        <v>146</v>
      </c>
      <c r="DZ39" t="s">
        <v>147</v>
      </c>
      <c r="EA39" t="s">
        <v>143</v>
      </c>
      <c r="EB39" t="s">
        <v>144</v>
      </c>
      <c r="EC39" t="s">
        <v>143</v>
      </c>
      <c r="ED39" t="s">
        <v>145</v>
      </c>
      <c r="EE39" t="s">
        <v>143</v>
      </c>
      <c r="EF39" t="s">
        <v>147</v>
      </c>
      <c r="EG39" t="s">
        <v>143</v>
      </c>
      <c r="EH39" t="s">
        <v>144</v>
      </c>
      <c r="EI39" t="s">
        <v>146</v>
      </c>
      <c r="EJ39" t="s">
        <v>147</v>
      </c>
      <c r="EK39" t="s">
        <v>146</v>
      </c>
      <c r="EL39" t="s">
        <v>147</v>
      </c>
      <c r="EM39" t="s">
        <v>143</v>
      </c>
      <c r="EN39" t="s">
        <v>144</v>
      </c>
      <c r="EO39" t="s">
        <v>146</v>
      </c>
      <c r="EP39" t="s">
        <v>147</v>
      </c>
      <c r="EQ39" t="s">
        <v>146</v>
      </c>
      <c r="ER39" t="s">
        <v>147</v>
      </c>
      <c r="ES39" t="s">
        <v>143</v>
      </c>
      <c r="ET39" t="s">
        <v>144</v>
      </c>
      <c r="EU39" t="s">
        <v>143</v>
      </c>
      <c r="EV39" t="s">
        <v>147</v>
      </c>
      <c r="EW39" t="s">
        <v>143</v>
      </c>
      <c r="EX39" t="s">
        <v>144</v>
      </c>
      <c r="EY39" t="s">
        <v>143</v>
      </c>
      <c r="EZ39" t="s">
        <v>147</v>
      </c>
    </row>
    <row r="40" spans="1:156" x14ac:dyDescent="0.2">
      <c r="A40">
        <v>38</v>
      </c>
      <c r="B40" t="s">
        <v>279</v>
      </c>
      <c r="C40" s="7" t="s">
        <v>190</v>
      </c>
      <c r="D40" t="s">
        <v>188</v>
      </c>
      <c r="E40" s="1">
        <v>43374</v>
      </c>
      <c r="F40" t="s">
        <v>143</v>
      </c>
      <c r="G40" t="s">
        <v>144</v>
      </c>
      <c r="H40" t="s">
        <v>146</v>
      </c>
      <c r="I40" t="s">
        <v>147</v>
      </c>
      <c r="J40" t="s">
        <v>146</v>
      </c>
      <c r="K40" t="s">
        <v>147</v>
      </c>
      <c r="L40" t="s">
        <v>146</v>
      </c>
      <c r="M40" t="s">
        <v>144</v>
      </c>
      <c r="N40" t="s">
        <v>143</v>
      </c>
      <c r="O40" t="s">
        <v>145</v>
      </c>
      <c r="P40" t="s">
        <v>146</v>
      </c>
      <c r="Q40" t="s">
        <v>147</v>
      </c>
      <c r="R40" t="s">
        <v>143</v>
      </c>
      <c r="S40" t="s">
        <v>147</v>
      </c>
      <c r="T40" t="s">
        <v>146</v>
      </c>
      <c r="U40" t="s">
        <v>147</v>
      </c>
      <c r="V40" t="s">
        <v>146</v>
      </c>
      <c r="W40" t="s">
        <v>147</v>
      </c>
      <c r="X40" t="s">
        <v>146</v>
      </c>
      <c r="Y40" t="s">
        <v>147</v>
      </c>
      <c r="Z40" t="s">
        <v>146</v>
      </c>
      <c r="AA40" t="s">
        <v>147</v>
      </c>
      <c r="AB40" t="s">
        <v>146</v>
      </c>
      <c r="AC40" t="s">
        <v>147</v>
      </c>
      <c r="AD40" t="s">
        <v>143</v>
      </c>
      <c r="AE40" t="s">
        <v>145</v>
      </c>
      <c r="AF40" t="s">
        <v>143</v>
      </c>
      <c r="AG40" t="s">
        <v>147</v>
      </c>
      <c r="AP40" t="s">
        <v>143</v>
      </c>
      <c r="AQ40" t="s">
        <v>145</v>
      </c>
      <c r="AR40" t="s">
        <v>146</v>
      </c>
      <c r="AS40" t="s">
        <v>147</v>
      </c>
      <c r="AT40" t="s">
        <v>143</v>
      </c>
      <c r="AU40" t="s">
        <v>144</v>
      </c>
      <c r="AW40" t="s">
        <v>146</v>
      </c>
      <c r="AX40" t="s">
        <v>147</v>
      </c>
      <c r="AY40" t="s">
        <v>143</v>
      </c>
      <c r="AZ40" t="s">
        <v>144</v>
      </c>
      <c r="BA40" t="s">
        <v>143</v>
      </c>
      <c r="BB40" t="s">
        <v>144</v>
      </c>
      <c r="BC40" t="s">
        <v>146</v>
      </c>
      <c r="BD40" t="s">
        <v>147</v>
      </c>
      <c r="BE40" t="s">
        <v>146</v>
      </c>
      <c r="BF40" t="s">
        <v>147</v>
      </c>
      <c r="BG40" t="s">
        <v>143</v>
      </c>
      <c r="BH40" t="s">
        <v>144</v>
      </c>
      <c r="BI40" t="s">
        <v>146</v>
      </c>
      <c r="BJ40" t="s">
        <v>147</v>
      </c>
      <c r="BK40" t="s">
        <v>146</v>
      </c>
      <c r="BL40" t="s">
        <v>147</v>
      </c>
      <c r="BM40" t="s">
        <v>146</v>
      </c>
      <c r="BN40" t="s">
        <v>147</v>
      </c>
      <c r="BO40" t="s">
        <v>143</v>
      </c>
      <c r="BP40" t="s">
        <v>144</v>
      </c>
      <c r="BQ40" t="s">
        <v>146</v>
      </c>
      <c r="BR40" t="s">
        <v>147</v>
      </c>
      <c r="BS40" t="s">
        <v>146</v>
      </c>
      <c r="BT40" t="s">
        <v>147</v>
      </c>
      <c r="BU40" t="s">
        <v>146</v>
      </c>
      <c r="BV40" t="s">
        <v>147</v>
      </c>
      <c r="BW40" t="s">
        <v>143</v>
      </c>
      <c r="BX40" t="s">
        <v>144</v>
      </c>
      <c r="BY40" t="s">
        <v>146</v>
      </c>
      <c r="BZ40" t="s">
        <v>147</v>
      </c>
      <c r="CA40" t="s">
        <v>146</v>
      </c>
      <c r="CB40" t="s">
        <v>147</v>
      </c>
      <c r="CC40" t="s">
        <v>143</v>
      </c>
      <c r="CD40" t="s">
        <v>144</v>
      </c>
      <c r="CE40" t="s">
        <v>143</v>
      </c>
      <c r="CF40" t="s">
        <v>147</v>
      </c>
      <c r="CG40" t="s">
        <v>146</v>
      </c>
      <c r="CH40" t="s">
        <v>147</v>
      </c>
      <c r="CI40" t="s">
        <v>146</v>
      </c>
      <c r="CJ40" t="s">
        <v>147</v>
      </c>
      <c r="CK40" t="s">
        <v>143</v>
      </c>
      <c r="CL40" t="s">
        <v>144</v>
      </c>
      <c r="CM40" t="s">
        <v>143</v>
      </c>
      <c r="CN40" t="s">
        <v>145</v>
      </c>
      <c r="CO40" t="s">
        <v>143</v>
      </c>
      <c r="CP40" t="s">
        <v>144</v>
      </c>
      <c r="CQ40" t="s">
        <v>146</v>
      </c>
      <c r="CR40" t="s">
        <v>147</v>
      </c>
      <c r="CS40" t="s">
        <v>146</v>
      </c>
      <c r="CT40" t="s">
        <v>147</v>
      </c>
      <c r="CU40" t="s">
        <v>146</v>
      </c>
      <c r="CV40" t="s">
        <v>147</v>
      </c>
      <c r="CW40" t="s">
        <v>143</v>
      </c>
      <c r="CX40" t="s">
        <v>145</v>
      </c>
      <c r="CY40" t="s">
        <v>143</v>
      </c>
      <c r="CZ40" t="s">
        <v>145</v>
      </c>
      <c r="DA40" t="s">
        <v>143</v>
      </c>
      <c r="DB40" t="s">
        <v>145</v>
      </c>
      <c r="DC40" t="s">
        <v>143</v>
      </c>
      <c r="DD40" t="s">
        <v>144</v>
      </c>
      <c r="DE40" t="s">
        <v>146</v>
      </c>
      <c r="DF40" t="s">
        <v>147</v>
      </c>
      <c r="DG40" t="s">
        <v>143</v>
      </c>
      <c r="DH40" t="s">
        <v>145</v>
      </c>
      <c r="DI40" t="s">
        <v>146</v>
      </c>
      <c r="DJ40" t="s">
        <v>147</v>
      </c>
      <c r="DK40" t="s">
        <v>146</v>
      </c>
      <c r="DL40" t="s">
        <v>147</v>
      </c>
      <c r="DM40" t="s">
        <v>146</v>
      </c>
      <c r="DN40" t="s">
        <v>147</v>
      </c>
      <c r="DO40" t="s">
        <v>143</v>
      </c>
      <c r="DP40" t="s">
        <v>147</v>
      </c>
      <c r="DQ40" t="s">
        <v>143</v>
      </c>
      <c r="DR40" t="s">
        <v>145</v>
      </c>
      <c r="DS40" t="s">
        <v>146</v>
      </c>
      <c r="DT40" t="s">
        <v>147</v>
      </c>
      <c r="DU40" t="s">
        <v>143</v>
      </c>
      <c r="DV40" t="s">
        <v>145</v>
      </c>
      <c r="DW40" t="s">
        <v>146</v>
      </c>
      <c r="DX40" t="s">
        <v>147</v>
      </c>
      <c r="DY40" t="s">
        <v>146</v>
      </c>
      <c r="DZ40" t="s">
        <v>147</v>
      </c>
      <c r="EA40" t="s">
        <v>143</v>
      </c>
      <c r="EB40" t="s">
        <v>144</v>
      </c>
      <c r="EC40" t="s">
        <v>143</v>
      </c>
      <c r="ED40" t="s">
        <v>145</v>
      </c>
      <c r="EE40" t="s">
        <v>143</v>
      </c>
      <c r="EF40" t="s">
        <v>147</v>
      </c>
      <c r="EG40" t="s">
        <v>143</v>
      </c>
      <c r="EH40" t="s">
        <v>144</v>
      </c>
      <c r="EI40" t="s">
        <v>146</v>
      </c>
      <c r="EJ40" t="s">
        <v>147</v>
      </c>
      <c r="EK40" t="s">
        <v>146</v>
      </c>
      <c r="EL40" t="s">
        <v>147</v>
      </c>
      <c r="EM40" t="s">
        <v>143</v>
      </c>
      <c r="EN40" t="s">
        <v>144</v>
      </c>
      <c r="EO40" t="s">
        <v>146</v>
      </c>
      <c r="EP40" t="s">
        <v>147</v>
      </c>
      <c r="EQ40" t="s">
        <v>146</v>
      </c>
      <c r="ER40" t="s">
        <v>147</v>
      </c>
      <c r="ES40" t="s">
        <v>143</v>
      </c>
      <c r="ET40" t="s">
        <v>144</v>
      </c>
      <c r="EU40" t="s">
        <v>143</v>
      </c>
      <c r="EV40" t="s">
        <v>147</v>
      </c>
      <c r="EW40" t="s">
        <v>143</v>
      </c>
      <c r="EX40" t="s">
        <v>144</v>
      </c>
      <c r="EY40" t="s">
        <v>143</v>
      </c>
      <c r="EZ40" t="s">
        <v>147</v>
      </c>
    </row>
    <row r="41" spans="1:156" x14ac:dyDescent="0.2">
      <c r="A41">
        <v>39</v>
      </c>
      <c r="B41" t="s">
        <v>284</v>
      </c>
      <c r="C41" s="7" t="s">
        <v>190</v>
      </c>
      <c r="D41" t="s">
        <v>187</v>
      </c>
      <c r="E41" s="1">
        <v>43374</v>
      </c>
      <c r="F41" t="s">
        <v>143</v>
      </c>
      <c r="G41" t="s">
        <v>144</v>
      </c>
      <c r="H41" t="s">
        <v>146</v>
      </c>
      <c r="I41" t="s">
        <v>147</v>
      </c>
      <c r="J41" t="s">
        <v>146</v>
      </c>
      <c r="K41" t="s">
        <v>147</v>
      </c>
      <c r="L41" t="s">
        <v>146</v>
      </c>
      <c r="M41" t="s">
        <v>144</v>
      </c>
      <c r="N41" t="s">
        <v>143</v>
      </c>
      <c r="O41" t="s">
        <v>145</v>
      </c>
      <c r="P41" t="s">
        <v>146</v>
      </c>
      <c r="Q41" t="s">
        <v>147</v>
      </c>
      <c r="R41" t="s">
        <v>143</v>
      </c>
      <c r="S41" t="s">
        <v>147</v>
      </c>
      <c r="T41" t="s">
        <v>146</v>
      </c>
      <c r="U41" t="s">
        <v>147</v>
      </c>
      <c r="V41" t="s">
        <v>146</v>
      </c>
      <c r="W41" t="s">
        <v>147</v>
      </c>
      <c r="X41" t="s">
        <v>146</v>
      </c>
      <c r="Y41" t="s">
        <v>147</v>
      </c>
      <c r="Z41" t="s">
        <v>146</v>
      </c>
      <c r="AA41" t="s">
        <v>147</v>
      </c>
      <c r="AB41" t="s">
        <v>146</v>
      </c>
      <c r="AC41" t="s">
        <v>147</v>
      </c>
      <c r="AD41" t="s">
        <v>143</v>
      </c>
      <c r="AE41" t="s">
        <v>145</v>
      </c>
      <c r="AF41" t="s">
        <v>143</v>
      </c>
      <c r="AG41" t="s">
        <v>147</v>
      </c>
      <c r="AP41" t="s">
        <v>143</v>
      </c>
      <c r="AQ41" t="s">
        <v>145</v>
      </c>
      <c r="AR41" t="s">
        <v>146</v>
      </c>
      <c r="AS41" t="s">
        <v>147</v>
      </c>
      <c r="AT41" t="s">
        <v>143</v>
      </c>
      <c r="AU41" t="s">
        <v>144</v>
      </c>
      <c r="AW41" t="s">
        <v>146</v>
      </c>
      <c r="AX41" t="s">
        <v>147</v>
      </c>
      <c r="AY41" t="s">
        <v>143</v>
      </c>
      <c r="AZ41" t="s">
        <v>144</v>
      </c>
      <c r="BA41" t="s">
        <v>143</v>
      </c>
      <c r="BB41" t="s">
        <v>144</v>
      </c>
      <c r="BC41" t="s">
        <v>146</v>
      </c>
      <c r="BD41" t="s">
        <v>147</v>
      </c>
      <c r="BE41" t="s">
        <v>146</v>
      </c>
      <c r="BF41" t="s">
        <v>147</v>
      </c>
      <c r="BG41" t="s">
        <v>143</v>
      </c>
      <c r="BH41" t="s">
        <v>144</v>
      </c>
      <c r="BI41" t="s">
        <v>146</v>
      </c>
      <c r="BJ41" t="s">
        <v>147</v>
      </c>
      <c r="BK41" t="s">
        <v>146</v>
      </c>
      <c r="BL41" t="s">
        <v>147</v>
      </c>
      <c r="BM41" t="s">
        <v>146</v>
      </c>
      <c r="BN41" t="s">
        <v>147</v>
      </c>
      <c r="BO41" t="s">
        <v>143</v>
      </c>
      <c r="BP41" t="s">
        <v>144</v>
      </c>
      <c r="BQ41" t="s">
        <v>146</v>
      </c>
      <c r="BR41" t="s">
        <v>147</v>
      </c>
      <c r="BS41" t="s">
        <v>146</v>
      </c>
      <c r="BT41" t="s">
        <v>147</v>
      </c>
      <c r="BU41" t="s">
        <v>146</v>
      </c>
      <c r="BV41" t="s">
        <v>147</v>
      </c>
      <c r="BW41" t="s">
        <v>143</v>
      </c>
      <c r="BX41" t="s">
        <v>144</v>
      </c>
      <c r="BY41" t="s">
        <v>146</v>
      </c>
      <c r="BZ41" t="s">
        <v>147</v>
      </c>
      <c r="CA41" t="s">
        <v>146</v>
      </c>
      <c r="CB41" t="s">
        <v>147</v>
      </c>
      <c r="CC41" t="s">
        <v>143</v>
      </c>
      <c r="CD41" t="s">
        <v>144</v>
      </c>
      <c r="CE41" t="s">
        <v>143</v>
      </c>
      <c r="CF41" t="s">
        <v>147</v>
      </c>
      <c r="CG41" t="s">
        <v>146</v>
      </c>
      <c r="CH41" t="s">
        <v>147</v>
      </c>
      <c r="CI41" t="s">
        <v>146</v>
      </c>
      <c r="CJ41" t="s">
        <v>147</v>
      </c>
      <c r="CK41" t="s">
        <v>143</v>
      </c>
      <c r="CL41" t="s">
        <v>144</v>
      </c>
      <c r="CM41" t="s">
        <v>143</v>
      </c>
      <c r="CN41" t="s">
        <v>145</v>
      </c>
      <c r="CO41" t="s">
        <v>143</v>
      </c>
      <c r="CP41" t="s">
        <v>144</v>
      </c>
      <c r="CQ41" t="s">
        <v>146</v>
      </c>
      <c r="CR41" t="s">
        <v>147</v>
      </c>
      <c r="CS41" t="s">
        <v>146</v>
      </c>
      <c r="CT41" t="s">
        <v>147</v>
      </c>
      <c r="CU41" t="s">
        <v>146</v>
      </c>
      <c r="CV41" t="s">
        <v>147</v>
      </c>
      <c r="CW41" t="s">
        <v>143</v>
      </c>
      <c r="CX41" t="s">
        <v>145</v>
      </c>
      <c r="CY41" t="s">
        <v>143</v>
      </c>
      <c r="CZ41" t="s">
        <v>145</v>
      </c>
      <c r="DA41" t="s">
        <v>143</v>
      </c>
      <c r="DB41" t="s">
        <v>145</v>
      </c>
      <c r="DC41" t="s">
        <v>143</v>
      </c>
      <c r="DD41" t="s">
        <v>144</v>
      </c>
      <c r="DE41" t="s">
        <v>146</v>
      </c>
      <c r="DF41" t="s">
        <v>147</v>
      </c>
      <c r="DG41" t="s">
        <v>143</v>
      </c>
      <c r="DH41" t="s">
        <v>145</v>
      </c>
      <c r="DI41" t="s">
        <v>146</v>
      </c>
      <c r="DJ41" t="s">
        <v>147</v>
      </c>
      <c r="DK41" t="s">
        <v>146</v>
      </c>
      <c r="DL41" t="s">
        <v>147</v>
      </c>
      <c r="DM41" t="s">
        <v>146</v>
      </c>
      <c r="DN41" t="s">
        <v>147</v>
      </c>
      <c r="DO41" t="s">
        <v>143</v>
      </c>
      <c r="DP41" t="s">
        <v>147</v>
      </c>
      <c r="DQ41" t="s">
        <v>143</v>
      </c>
      <c r="DR41" t="s">
        <v>145</v>
      </c>
      <c r="DS41" t="s">
        <v>146</v>
      </c>
      <c r="DT41" t="s">
        <v>147</v>
      </c>
      <c r="DU41" t="s">
        <v>143</v>
      </c>
      <c r="DV41" t="s">
        <v>145</v>
      </c>
      <c r="DW41" t="s">
        <v>146</v>
      </c>
      <c r="DX41" t="s">
        <v>147</v>
      </c>
      <c r="DY41" t="s">
        <v>146</v>
      </c>
      <c r="DZ41" t="s">
        <v>147</v>
      </c>
      <c r="EA41" t="s">
        <v>143</v>
      </c>
      <c r="EB41" t="s">
        <v>144</v>
      </c>
      <c r="EC41" t="s">
        <v>143</v>
      </c>
      <c r="ED41" t="s">
        <v>145</v>
      </c>
      <c r="EE41" t="s">
        <v>143</v>
      </c>
      <c r="EF41" t="s">
        <v>147</v>
      </c>
      <c r="EG41" t="s">
        <v>143</v>
      </c>
      <c r="EH41" t="s">
        <v>144</v>
      </c>
      <c r="EI41" t="s">
        <v>146</v>
      </c>
      <c r="EJ41" t="s">
        <v>147</v>
      </c>
      <c r="EK41" t="s">
        <v>146</v>
      </c>
      <c r="EL41" t="s">
        <v>147</v>
      </c>
      <c r="EM41" t="s">
        <v>143</v>
      </c>
      <c r="EN41" t="s">
        <v>144</v>
      </c>
      <c r="EO41" t="s">
        <v>146</v>
      </c>
      <c r="EP41" t="s">
        <v>147</v>
      </c>
      <c r="EQ41" t="s">
        <v>146</v>
      </c>
      <c r="ER41" t="s">
        <v>147</v>
      </c>
      <c r="ES41" t="s">
        <v>143</v>
      </c>
      <c r="ET41" t="s">
        <v>144</v>
      </c>
      <c r="EU41" t="s">
        <v>143</v>
      </c>
      <c r="EV41" t="s">
        <v>147</v>
      </c>
      <c r="EW41" t="s">
        <v>143</v>
      </c>
      <c r="EX41" t="s">
        <v>144</v>
      </c>
      <c r="EY41" t="s">
        <v>143</v>
      </c>
      <c r="EZ41" t="s">
        <v>147</v>
      </c>
    </row>
    <row r="42" spans="1:156" x14ac:dyDescent="0.2">
      <c r="A42">
        <v>23</v>
      </c>
      <c r="B42" t="s">
        <v>285</v>
      </c>
      <c r="C42" s="4" t="s">
        <v>196</v>
      </c>
      <c r="D42" t="s">
        <v>188</v>
      </c>
      <c r="E42" s="1">
        <v>43466</v>
      </c>
      <c r="F42" t="s">
        <v>143</v>
      </c>
      <c r="G42" t="s">
        <v>145</v>
      </c>
      <c r="H42" t="s">
        <v>143</v>
      </c>
      <c r="I42" t="s">
        <v>147</v>
      </c>
      <c r="J42" t="s">
        <v>143</v>
      </c>
      <c r="K42" t="s">
        <v>145</v>
      </c>
      <c r="L42" t="s">
        <v>143</v>
      </c>
      <c r="M42" t="s">
        <v>145</v>
      </c>
      <c r="N42" t="s">
        <v>143</v>
      </c>
      <c r="O42" t="s">
        <v>144</v>
      </c>
      <c r="P42" t="s">
        <v>143</v>
      </c>
      <c r="Q42" t="s">
        <v>147</v>
      </c>
      <c r="R42" t="s">
        <v>143</v>
      </c>
      <c r="S42" t="s">
        <v>144</v>
      </c>
      <c r="T42" t="s">
        <v>143</v>
      </c>
      <c r="U42" t="s">
        <v>144</v>
      </c>
      <c r="V42" t="s">
        <v>143</v>
      </c>
      <c r="W42" t="s">
        <v>144</v>
      </c>
      <c r="X42" t="s">
        <v>143</v>
      </c>
      <c r="Y42" t="s">
        <v>144</v>
      </c>
      <c r="Z42" t="s">
        <v>143</v>
      </c>
      <c r="AA42" t="s">
        <v>144</v>
      </c>
      <c r="AB42" t="s">
        <v>143</v>
      </c>
      <c r="AC42" t="s">
        <v>144</v>
      </c>
      <c r="AD42" t="s">
        <v>143</v>
      </c>
      <c r="AE42" t="s">
        <v>145</v>
      </c>
      <c r="AF42" t="s">
        <v>143</v>
      </c>
      <c r="AG42" t="s">
        <v>144</v>
      </c>
      <c r="AP42" t="s">
        <v>143</v>
      </c>
      <c r="AQ42" t="s">
        <v>145</v>
      </c>
      <c r="AR42" t="s">
        <v>146</v>
      </c>
      <c r="AS42" t="s">
        <v>145</v>
      </c>
      <c r="AT42" t="s">
        <v>146</v>
      </c>
      <c r="AU42" t="s">
        <v>145</v>
      </c>
      <c r="AW42" t="s">
        <v>146</v>
      </c>
      <c r="AX42" t="s">
        <v>145</v>
      </c>
      <c r="AY42" t="s">
        <v>143</v>
      </c>
      <c r="AZ42" t="s">
        <v>144</v>
      </c>
      <c r="BA42" t="s">
        <v>143</v>
      </c>
      <c r="BB42" t="s">
        <v>144</v>
      </c>
      <c r="BC42" t="s">
        <v>143</v>
      </c>
      <c r="BD42" t="s">
        <v>144</v>
      </c>
      <c r="BE42" t="s">
        <v>143</v>
      </c>
      <c r="BF42" t="s">
        <v>144</v>
      </c>
      <c r="BG42" t="s">
        <v>143</v>
      </c>
      <c r="BH42" t="s">
        <v>144</v>
      </c>
      <c r="BI42" t="s">
        <v>143</v>
      </c>
      <c r="BJ42" t="s">
        <v>144</v>
      </c>
      <c r="BK42" t="s">
        <v>143</v>
      </c>
      <c r="BL42" t="s">
        <v>144</v>
      </c>
      <c r="BM42" t="s">
        <v>143</v>
      </c>
      <c r="BN42" t="s">
        <v>145</v>
      </c>
      <c r="BO42" t="s">
        <v>143</v>
      </c>
      <c r="BP42" t="s">
        <v>144</v>
      </c>
      <c r="BQ42" t="s">
        <v>143</v>
      </c>
      <c r="BR42" t="s">
        <v>144</v>
      </c>
      <c r="BS42" t="s">
        <v>143</v>
      </c>
      <c r="BT42" t="s">
        <v>144</v>
      </c>
      <c r="BU42" t="s">
        <v>143</v>
      </c>
      <c r="BV42" t="s">
        <v>144</v>
      </c>
      <c r="BW42" t="s">
        <v>143</v>
      </c>
      <c r="BX42" t="s">
        <v>144</v>
      </c>
      <c r="BY42" t="s">
        <v>143</v>
      </c>
      <c r="BZ42" t="s">
        <v>144</v>
      </c>
      <c r="CA42" t="s">
        <v>143</v>
      </c>
      <c r="CB42" t="s">
        <v>144</v>
      </c>
      <c r="CC42" t="s">
        <v>143</v>
      </c>
      <c r="CD42" t="s">
        <v>144</v>
      </c>
      <c r="CE42" t="s">
        <v>143</v>
      </c>
      <c r="CF42" t="s">
        <v>145</v>
      </c>
      <c r="CG42" t="s">
        <v>143</v>
      </c>
      <c r="CH42" t="s">
        <v>147</v>
      </c>
      <c r="CI42" t="s">
        <v>143</v>
      </c>
      <c r="CJ42" t="s">
        <v>145</v>
      </c>
      <c r="CK42" t="s">
        <v>143</v>
      </c>
      <c r="CL42" t="s">
        <v>144</v>
      </c>
      <c r="CM42" t="s">
        <v>143</v>
      </c>
      <c r="CN42" t="s">
        <v>145</v>
      </c>
      <c r="CO42" t="s">
        <v>143</v>
      </c>
      <c r="CP42" t="s">
        <v>144</v>
      </c>
      <c r="CQ42" t="s">
        <v>143</v>
      </c>
      <c r="CR42" t="s">
        <v>147</v>
      </c>
      <c r="CS42" t="s">
        <v>143</v>
      </c>
      <c r="CT42" t="s">
        <v>147</v>
      </c>
      <c r="CU42" t="s">
        <v>143</v>
      </c>
      <c r="CV42" t="s">
        <v>145</v>
      </c>
      <c r="CW42" t="s">
        <v>143</v>
      </c>
      <c r="CX42" t="s">
        <v>145</v>
      </c>
      <c r="CY42" t="s">
        <v>143</v>
      </c>
      <c r="CZ42" t="s">
        <v>145</v>
      </c>
      <c r="DA42" t="s">
        <v>143</v>
      </c>
      <c r="DB42" t="s">
        <v>145</v>
      </c>
      <c r="DC42" t="s">
        <v>143</v>
      </c>
      <c r="DD42" t="s">
        <v>144</v>
      </c>
      <c r="DE42" t="s">
        <v>143</v>
      </c>
      <c r="DF42" t="s">
        <v>145</v>
      </c>
      <c r="DG42" t="s">
        <v>143</v>
      </c>
      <c r="DH42" t="s">
        <v>145</v>
      </c>
      <c r="DI42" t="s">
        <v>143</v>
      </c>
      <c r="DJ42" t="s">
        <v>147</v>
      </c>
      <c r="DK42" t="s">
        <v>143</v>
      </c>
      <c r="DL42" t="s">
        <v>144</v>
      </c>
      <c r="DM42" t="s">
        <v>143</v>
      </c>
      <c r="DN42" t="s">
        <v>144</v>
      </c>
      <c r="DO42" t="s">
        <v>143</v>
      </c>
      <c r="DP42" t="s">
        <v>144</v>
      </c>
      <c r="DQ42" t="s">
        <v>143</v>
      </c>
      <c r="DR42" t="s">
        <v>144</v>
      </c>
      <c r="DS42" t="s">
        <v>143</v>
      </c>
      <c r="DT42" t="s">
        <v>144</v>
      </c>
      <c r="DU42" t="s">
        <v>143</v>
      </c>
      <c r="DV42" t="s">
        <v>144</v>
      </c>
      <c r="DW42" t="s">
        <v>143</v>
      </c>
      <c r="DX42" t="s">
        <v>144</v>
      </c>
      <c r="DY42" t="s">
        <v>143</v>
      </c>
      <c r="DZ42" t="s">
        <v>145</v>
      </c>
      <c r="EA42" t="s">
        <v>143</v>
      </c>
      <c r="EB42" t="s">
        <v>144</v>
      </c>
      <c r="EC42" t="s">
        <v>143</v>
      </c>
      <c r="ED42" t="s">
        <v>145</v>
      </c>
      <c r="EE42" t="s">
        <v>143</v>
      </c>
      <c r="EF42" t="s">
        <v>144</v>
      </c>
      <c r="EG42" t="s">
        <v>146</v>
      </c>
      <c r="EH42" t="s">
        <v>147</v>
      </c>
      <c r="EI42" t="s">
        <v>146</v>
      </c>
      <c r="EJ42" t="s">
        <v>147</v>
      </c>
      <c r="EK42" t="s">
        <v>146</v>
      </c>
      <c r="EL42" t="s">
        <v>147</v>
      </c>
      <c r="EM42" t="s">
        <v>146</v>
      </c>
      <c r="EN42" t="s">
        <v>147</v>
      </c>
      <c r="EO42" t="s">
        <v>146</v>
      </c>
      <c r="EP42" t="s">
        <v>147</v>
      </c>
      <c r="EQ42" t="s">
        <v>146</v>
      </c>
      <c r="ER42" t="s">
        <v>147</v>
      </c>
      <c r="ES42" t="s">
        <v>143</v>
      </c>
      <c r="ET42" t="s">
        <v>144</v>
      </c>
      <c r="EU42" t="s">
        <v>143</v>
      </c>
      <c r="EV42" t="s">
        <v>147</v>
      </c>
      <c r="EW42" t="s">
        <v>143</v>
      </c>
      <c r="EX42" t="s">
        <v>144</v>
      </c>
      <c r="EY42" t="s">
        <v>143</v>
      </c>
      <c r="EZ42" t="s">
        <v>145</v>
      </c>
    </row>
    <row r="43" spans="1:156" x14ac:dyDescent="0.2">
      <c r="A43">
        <v>24</v>
      </c>
      <c r="B43" t="s">
        <v>286</v>
      </c>
      <c r="C43" s="4" t="s">
        <v>196</v>
      </c>
      <c r="D43" t="s">
        <v>188</v>
      </c>
      <c r="E43" s="1">
        <v>43101</v>
      </c>
      <c r="F43" t="s">
        <v>143</v>
      </c>
      <c r="G43" t="s">
        <v>145</v>
      </c>
      <c r="H43" t="s">
        <v>143</v>
      </c>
      <c r="I43" t="s">
        <v>147</v>
      </c>
      <c r="J43" t="s">
        <v>143</v>
      </c>
      <c r="K43" t="s">
        <v>145</v>
      </c>
      <c r="L43" t="s">
        <v>143</v>
      </c>
      <c r="M43" t="s">
        <v>145</v>
      </c>
      <c r="N43" t="s">
        <v>143</v>
      </c>
      <c r="O43" t="s">
        <v>144</v>
      </c>
      <c r="P43" t="s">
        <v>143</v>
      </c>
      <c r="Q43" t="s">
        <v>147</v>
      </c>
      <c r="R43" t="s">
        <v>143</v>
      </c>
      <c r="S43" t="s">
        <v>144</v>
      </c>
      <c r="T43" t="s">
        <v>143</v>
      </c>
      <c r="U43" t="s">
        <v>144</v>
      </c>
      <c r="V43" t="s">
        <v>143</v>
      </c>
      <c r="W43" t="s">
        <v>144</v>
      </c>
      <c r="X43" t="s">
        <v>143</v>
      </c>
      <c r="Y43" t="s">
        <v>144</v>
      </c>
      <c r="Z43" t="s">
        <v>143</v>
      </c>
      <c r="AA43" t="s">
        <v>144</v>
      </c>
      <c r="AB43" t="s">
        <v>143</v>
      </c>
      <c r="AC43" t="s">
        <v>144</v>
      </c>
      <c r="AD43" t="s">
        <v>143</v>
      </c>
      <c r="AE43" t="s">
        <v>145</v>
      </c>
      <c r="AF43" t="s">
        <v>143</v>
      </c>
      <c r="AG43" t="s">
        <v>144</v>
      </c>
      <c r="AP43" t="s">
        <v>143</v>
      </c>
      <c r="AQ43" t="s">
        <v>145</v>
      </c>
      <c r="AR43" t="s">
        <v>146</v>
      </c>
      <c r="AS43" t="s">
        <v>145</v>
      </c>
      <c r="AT43" t="s">
        <v>146</v>
      </c>
      <c r="AU43" t="s">
        <v>145</v>
      </c>
      <c r="AW43" t="s">
        <v>146</v>
      </c>
      <c r="AX43" t="s">
        <v>145</v>
      </c>
      <c r="AY43" t="s">
        <v>143</v>
      </c>
      <c r="AZ43" t="s">
        <v>144</v>
      </c>
      <c r="BA43" t="s">
        <v>143</v>
      </c>
      <c r="BB43" t="s">
        <v>144</v>
      </c>
      <c r="BC43" t="s">
        <v>143</v>
      </c>
      <c r="BD43" t="s">
        <v>144</v>
      </c>
      <c r="BE43" t="s">
        <v>143</v>
      </c>
      <c r="BF43" t="s">
        <v>144</v>
      </c>
      <c r="BG43" t="s">
        <v>143</v>
      </c>
      <c r="BH43" t="s">
        <v>144</v>
      </c>
      <c r="BI43" t="s">
        <v>143</v>
      </c>
      <c r="BJ43" t="s">
        <v>144</v>
      </c>
      <c r="BK43" t="s">
        <v>143</v>
      </c>
      <c r="BL43" t="s">
        <v>144</v>
      </c>
      <c r="BM43" t="s">
        <v>143</v>
      </c>
      <c r="BN43" t="s">
        <v>145</v>
      </c>
      <c r="BO43" t="s">
        <v>143</v>
      </c>
      <c r="BP43" t="s">
        <v>144</v>
      </c>
      <c r="BQ43" t="s">
        <v>143</v>
      </c>
      <c r="BR43" t="s">
        <v>144</v>
      </c>
      <c r="BS43" t="s">
        <v>143</v>
      </c>
      <c r="BT43" t="s">
        <v>144</v>
      </c>
      <c r="BU43" t="s">
        <v>143</v>
      </c>
      <c r="BV43" t="s">
        <v>144</v>
      </c>
      <c r="BW43" t="s">
        <v>143</v>
      </c>
      <c r="BX43" t="s">
        <v>144</v>
      </c>
      <c r="BY43" t="s">
        <v>143</v>
      </c>
      <c r="BZ43" t="s">
        <v>144</v>
      </c>
      <c r="CA43" t="s">
        <v>143</v>
      </c>
      <c r="CB43" t="s">
        <v>144</v>
      </c>
      <c r="CC43" t="s">
        <v>143</v>
      </c>
      <c r="CD43" t="s">
        <v>144</v>
      </c>
      <c r="CE43" t="s">
        <v>143</v>
      </c>
      <c r="CF43" t="s">
        <v>145</v>
      </c>
      <c r="CG43" t="s">
        <v>143</v>
      </c>
      <c r="CH43" t="s">
        <v>147</v>
      </c>
      <c r="CI43" t="s">
        <v>143</v>
      </c>
      <c r="CJ43" t="s">
        <v>145</v>
      </c>
      <c r="CK43" t="s">
        <v>143</v>
      </c>
      <c r="CL43" t="s">
        <v>144</v>
      </c>
      <c r="CM43" t="s">
        <v>143</v>
      </c>
      <c r="CN43" t="s">
        <v>145</v>
      </c>
      <c r="CO43" t="s">
        <v>143</v>
      </c>
      <c r="CP43" t="s">
        <v>144</v>
      </c>
      <c r="CQ43" t="s">
        <v>143</v>
      </c>
      <c r="CR43" t="s">
        <v>147</v>
      </c>
      <c r="CS43" t="s">
        <v>143</v>
      </c>
      <c r="CT43" t="s">
        <v>147</v>
      </c>
      <c r="CU43" t="s">
        <v>143</v>
      </c>
      <c r="CV43" t="s">
        <v>145</v>
      </c>
      <c r="CW43" t="s">
        <v>143</v>
      </c>
      <c r="CX43" t="s">
        <v>145</v>
      </c>
      <c r="CY43" t="s">
        <v>143</v>
      </c>
      <c r="CZ43" t="s">
        <v>145</v>
      </c>
      <c r="DA43" t="s">
        <v>143</v>
      </c>
      <c r="DB43" t="s">
        <v>145</v>
      </c>
      <c r="DC43" t="s">
        <v>143</v>
      </c>
      <c r="DD43" t="s">
        <v>144</v>
      </c>
      <c r="DE43" t="s">
        <v>143</v>
      </c>
      <c r="DF43" t="s">
        <v>145</v>
      </c>
      <c r="DG43" t="s">
        <v>143</v>
      </c>
      <c r="DH43" t="s">
        <v>145</v>
      </c>
      <c r="DI43" t="s">
        <v>143</v>
      </c>
      <c r="DJ43" t="s">
        <v>147</v>
      </c>
      <c r="DK43" t="s">
        <v>143</v>
      </c>
      <c r="DL43" t="s">
        <v>144</v>
      </c>
      <c r="DM43" t="s">
        <v>143</v>
      </c>
      <c r="DN43" t="s">
        <v>144</v>
      </c>
      <c r="DO43" t="s">
        <v>143</v>
      </c>
      <c r="DP43" t="s">
        <v>144</v>
      </c>
      <c r="DQ43" t="s">
        <v>143</v>
      </c>
      <c r="DR43" t="s">
        <v>144</v>
      </c>
      <c r="DS43" t="s">
        <v>143</v>
      </c>
      <c r="DT43" t="s">
        <v>144</v>
      </c>
      <c r="DU43" t="s">
        <v>143</v>
      </c>
      <c r="DV43" t="s">
        <v>144</v>
      </c>
      <c r="DW43" t="s">
        <v>143</v>
      </c>
      <c r="DX43" t="s">
        <v>144</v>
      </c>
      <c r="DY43" t="s">
        <v>143</v>
      </c>
      <c r="DZ43" t="s">
        <v>145</v>
      </c>
      <c r="EA43" t="s">
        <v>143</v>
      </c>
      <c r="EB43" t="s">
        <v>144</v>
      </c>
      <c r="EC43" t="s">
        <v>143</v>
      </c>
      <c r="ED43" t="s">
        <v>145</v>
      </c>
      <c r="EE43" t="s">
        <v>143</v>
      </c>
      <c r="EF43" t="s">
        <v>144</v>
      </c>
      <c r="EG43" t="s">
        <v>146</v>
      </c>
      <c r="EH43" t="s">
        <v>147</v>
      </c>
      <c r="EI43" t="s">
        <v>146</v>
      </c>
      <c r="EJ43" t="s">
        <v>147</v>
      </c>
      <c r="EK43" t="s">
        <v>146</v>
      </c>
      <c r="EL43" t="s">
        <v>147</v>
      </c>
      <c r="EM43" t="s">
        <v>146</v>
      </c>
      <c r="EN43" t="s">
        <v>147</v>
      </c>
      <c r="EO43" t="s">
        <v>146</v>
      </c>
      <c r="EP43" t="s">
        <v>147</v>
      </c>
      <c r="EQ43" t="s">
        <v>146</v>
      </c>
      <c r="ER43" t="s">
        <v>147</v>
      </c>
      <c r="ES43" t="s">
        <v>143</v>
      </c>
      <c r="ET43" t="s">
        <v>144</v>
      </c>
      <c r="EU43" t="s">
        <v>143</v>
      </c>
      <c r="EV43" t="s">
        <v>147</v>
      </c>
      <c r="EW43" t="s">
        <v>143</v>
      </c>
      <c r="EX43" t="s">
        <v>144</v>
      </c>
      <c r="EY43" t="s">
        <v>143</v>
      </c>
      <c r="EZ43" t="s">
        <v>145</v>
      </c>
    </row>
    <row r="44" spans="1:156" x14ac:dyDescent="0.2">
      <c r="A44">
        <v>40</v>
      </c>
      <c r="B44" t="s">
        <v>287</v>
      </c>
      <c r="C44" s="4" t="s">
        <v>196</v>
      </c>
      <c r="D44" t="s">
        <v>188</v>
      </c>
      <c r="E44" s="6">
        <v>43101</v>
      </c>
      <c r="F44" t="s">
        <v>143</v>
      </c>
      <c r="G44" t="s">
        <v>144</v>
      </c>
      <c r="H44" t="s">
        <v>143</v>
      </c>
      <c r="I44" t="s">
        <v>147</v>
      </c>
      <c r="J44" t="s">
        <v>146</v>
      </c>
      <c r="K44" t="s">
        <v>147</v>
      </c>
      <c r="L44" t="s">
        <v>143</v>
      </c>
      <c r="M44" t="s">
        <v>144</v>
      </c>
      <c r="N44" t="s">
        <v>143</v>
      </c>
      <c r="O44" t="s">
        <v>144</v>
      </c>
      <c r="P44" t="s">
        <v>143</v>
      </c>
      <c r="Q44" t="s">
        <v>144</v>
      </c>
      <c r="R44" t="s">
        <v>143</v>
      </c>
      <c r="S44" t="s">
        <v>144</v>
      </c>
      <c r="T44" t="s">
        <v>143</v>
      </c>
      <c r="U44" t="s">
        <v>144</v>
      </c>
      <c r="V44" t="s">
        <v>143</v>
      </c>
      <c r="W44" t="s">
        <v>144</v>
      </c>
      <c r="X44" t="s">
        <v>143</v>
      </c>
      <c r="Y44" t="s">
        <v>144</v>
      </c>
      <c r="Z44" t="s">
        <v>143</v>
      </c>
      <c r="AA44" t="s">
        <v>144</v>
      </c>
      <c r="AB44" t="s">
        <v>143</v>
      </c>
      <c r="AC44" t="s">
        <v>144</v>
      </c>
      <c r="AD44" t="s">
        <v>143</v>
      </c>
      <c r="AE44" t="s">
        <v>145</v>
      </c>
      <c r="AF44" t="s">
        <v>143</v>
      </c>
      <c r="AG44" t="s">
        <v>144</v>
      </c>
      <c r="AP44" t="s">
        <v>143</v>
      </c>
      <c r="AQ44" t="s">
        <v>145</v>
      </c>
      <c r="AR44" t="s">
        <v>146</v>
      </c>
      <c r="AS44" t="s">
        <v>147</v>
      </c>
      <c r="AT44" t="s">
        <v>143</v>
      </c>
      <c r="AU44" t="s">
        <v>144</v>
      </c>
      <c r="AW44" t="s">
        <v>143</v>
      </c>
      <c r="AX44" t="s">
        <v>144</v>
      </c>
      <c r="AY44" t="s">
        <v>143</v>
      </c>
      <c r="AZ44" t="s">
        <v>144</v>
      </c>
      <c r="BA44" t="s">
        <v>143</v>
      </c>
      <c r="BB44" t="s">
        <v>144</v>
      </c>
      <c r="BC44" t="s">
        <v>143</v>
      </c>
      <c r="BD44" t="s">
        <v>147</v>
      </c>
      <c r="BE44" t="s">
        <v>143</v>
      </c>
      <c r="BF44" t="s">
        <v>147</v>
      </c>
      <c r="BG44" t="s">
        <v>143</v>
      </c>
      <c r="BH44" t="s">
        <v>144</v>
      </c>
      <c r="BI44" t="s">
        <v>143</v>
      </c>
      <c r="BJ44" t="s">
        <v>144</v>
      </c>
      <c r="BK44" t="s">
        <v>143</v>
      </c>
      <c r="BL44" t="s">
        <v>144</v>
      </c>
      <c r="BM44" t="s">
        <v>143</v>
      </c>
      <c r="BN44" t="s">
        <v>144</v>
      </c>
      <c r="BO44" t="s">
        <v>143</v>
      </c>
      <c r="BP44" t="s">
        <v>144</v>
      </c>
      <c r="BQ44" t="s">
        <v>143</v>
      </c>
      <c r="BR44" t="s">
        <v>145</v>
      </c>
      <c r="BS44" t="s">
        <v>143</v>
      </c>
      <c r="BT44" t="s">
        <v>147</v>
      </c>
      <c r="BU44" t="s">
        <v>143</v>
      </c>
      <c r="BV44" t="s">
        <v>145</v>
      </c>
      <c r="BW44" t="s">
        <v>143</v>
      </c>
      <c r="BX44" t="s">
        <v>144</v>
      </c>
      <c r="BY44" t="s">
        <v>143</v>
      </c>
      <c r="BZ44" t="s">
        <v>144</v>
      </c>
      <c r="CA44" t="s">
        <v>143</v>
      </c>
      <c r="CB44" t="s">
        <v>144</v>
      </c>
      <c r="CC44" t="s">
        <v>143</v>
      </c>
      <c r="CD44" t="s">
        <v>144</v>
      </c>
      <c r="CE44" t="s">
        <v>143</v>
      </c>
      <c r="CF44" t="s">
        <v>145</v>
      </c>
      <c r="CG44" t="s">
        <v>143</v>
      </c>
      <c r="CH44" t="s">
        <v>147</v>
      </c>
      <c r="CI44" t="s">
        <v>143</v>
      </c>
      <c r="CJ44" t="s">
        <v>145</v>
      </c>
      <c r="CK44" t="s">
        <v>143</v>
      </c>
      <c r="CL44" t="s">
        <v>144</v>
      </c>
      <c r="CM44" t="s">
        <v>143</v>
      </c>
      <c r="CN44" t="s">
        <v>144</v>
      </c>
      <c r="CO44" t="s">
        <v>143</v>
      </c>
      <c r="CP44" t="s">
        <v>144</v>
      </c>
      <c r="CQ44" t="s">
        <v>143</v>
      </c>
      <c r="CR44" t="s">
        <v>145</v>
      </c>
      <c r="CS44" t="s">
        <v>143</v>
      </c>
      <c r="CT44" t="s">
        <v>145</v>
      </c>
      <c r="CU44" t="s">
        <v>143</v>
      </c>
      <c r="CV44" t="s">
        <v>145</v>
      </c>
      <c r="CW44" t="s">
        <v>143</v>
      </c>
      <c r="CX44" t="s">
        <v>145</v>
      </c>
      <c r="CY44" t="s">
        <v>143</v>
      </c>
      <c r="CZ44" t="s">
        <v>145</v>
      </c>
      <c r="DA44" t="s">
        <v>143</v>
      </c>
      <c r="DB44" t="s">
        <v>145</v>
      </c>
      <c r="DC44" t="s">
        <v>143</v>
      </c>
      <c r="DD44" t="s">
        <v>144</v>
      </c>
      <c r="DE44" t="s">
        <v>146</v>
      </c>
      <c r="DF44" t="s">
        <v>147</v>
      </c>
      <c r="DG44" t="s">
        <v>143</v>
      </c>
      <c r="DH44" t="s">
        <v>144</v>
      </c>
      <c r="DI44" t="s">
        <v>146</v>
      </c>
      <c r="DJ44" t="s">
        <v>147</v>
      </c>
      <c r="DK44" t="s">
        <v>146</v>
      </c>
      <c r="DL44" t="s">
        <v>147</v>
      </c>
      <c r="DM44" t="s">
        <v>146</v>
      </c>
      <c r="DN44" t="s">
        <v>147</v>
      </c>
      <c r="DO44" t="s">
        <v>143</v>
      </c>
      <c r="DP44" t="s">
        <v>144</v>
      </c>
      <c r="DQ44" t="s">
        <v>143</v>
      </c>
      <c r="DR44" t="s">
        <v>145</v>
      </c>
      <c r="DS44" t="s">
        <v>143</v>
      </c>
      <c r="DT44" t="s">
        <v>145</v>
      </c>
      <c r="DU44" t="s">
        <v>143</v>
      </c>
      <c r="DV44" t="s">
        <v>144</v>
      </c>
      <c r="DW44" t="s">
        <v>143</v>
      </c>
      <c r="DX44" t="s">
        <v>144</v>
      </c>
      <c r="DY44" t="s">
        <v>143</v>
      </c>
      <c r="DZ44" t="s">
        <v>145</v>
      </c>
      <c r="EA44" t="s">
        <v>143</v>
      </c>
      <c r="EB44" t="s">
        <v>144</v>
      </c>
      <c r="EC44" t="s">
        <v>143</v>
      </c>
      <c r="ED44" t="s">
        <v>145</v>
      </c>
      <c r="EE44" t="s">
        <v>143</v>
      </c>
      <c r="EF44" t="s">
        <v>144</v>
      </c>
      <c r="EG44" t="s">
        <v>143</v>
      </c>
      <c r="EH44" t="s">
        <v>144</v>
      </c>
      <c r="EI44" t="s">
        <v>143</v>
      </c>
      <c r="EJ44" t="s">
        <v>144</v>
      </c>
      <c r="EK44" t="s">
        <v>143</v>
      </c>
      <c r="EL44" t="s">
        <v>144</v>
      </c>
      <c r="EM44" t="s">
        <v>143</v>
      </c>
      <c r="EN44" t="s">
        <v>144</v>
      </c>
      <c r="EO44" t="s">
        <v>143</v>
      </c>
      <c r="EP44" t="s">
        <v>144</v>
      </c>
      <c r="EQ44" t="s">
        <v>143</v>
      </c>
      <c r="ER44" t="s">
        <v>144</v>
      </c>
      <c r="ES44" t="s">
        <v>143</v>
      </c>
      <c r="ET44" t="s">
        <v>144</v>
      </c>
      <c r="EU44" t="s">
        <v>143</v>
      </c>
      <c r="EV44" t="s">
        <v>145</v>
      </c>
      <c r="EW44" t="s">
        <v>143</v>
      </c>
      <c r="EX44" t="s">
        <v>144</v>
      </c>
      <c r="EY44" t="s">
        <v>143</v>
      </c>
      <c r="EZ44" t="s">
        <v>145</v>
      </c>
    </row>
    <row r="45" spans="1:156" x14ac:dyDescent="0.2">
      <c r="A45">
        <v>41</v>
      </c>
      <c r="B45" t="s">
        <v>288</v>
      </c>
      <c r="C45" s="4" t="s">
        <v>196</v>
      </c>
      <c r="D45" t="s">
        <v>188</v>
      </c>
      <c r="E45" s="6">
        <v>43101</v>
      </c>
      <c r="F45" t="s">
        <v>143</v>
      </c>
      <c r="G45" t="s">
        <v>144</v>
      </c>
      <c r="H45" t="s">
        <v>143</v>
      </c>
      <c r="I45" t="s">
        <v>147</v>
      </c>
      <c r="J45" t="s">
        <v>146</v>
      </c>
      <c r="K45" t="s">
        <v>147</v>
      </c>
      <c r="L45" t="s">
        <v>143</v>
      </c>
      <c r="M45" t="s">
        <v>144</v>
      </c>
      <c r="N45" t="s">
        <v>143</v>
      </c>
      <c r="O45" t="s">
        <v>144</v>
      </c>
      <c r="P45" t="s">
        <v>143</v>
      </c>
      <c r="Q45" t="s">
        <v>144</v>
      </c>
      <c r="R45" t="s">
        <v>143</v>
      </c>
      <c r="S45" t="s">
        <v>144</v>
      </c>
      <c r="T45" t="s">
        <v>143</v>
      </c>
      <c r="U45" t="s">
        <v>144</v>
      </c>
      <c r="V45" t="s">
        <v>143</v>
      </c>
      <c r="W45" t="s">
        <v>144</v>
      </c>
      <c r="X45" t="s">
        <v>143</v>
      </c>
      <c r="Y45" t="s">
        <v>144</v>
      </c>
      <c r="Z45" t="s">
        <v>143</v>
      </c>
      <c r="AA45" t="s">
        <v>144</v>
      </c>
      <c r="AB45" t="s">
        <v>143</v>
      </c>
      <c r="AC45" t="s">
        <v>144</v>
      </c>
      <c r="AD45" t="s">
        <v>143</v>
      </c>
      <c r="AE45" t="s">
        <v>145</v>
      </c>
      <c r="AF45" t="s">
        <v>143</v>
      </c>
      <c r="AG45" t="s">
        <v>144</v>
      </c>
      <c r="AP45" t="s">
        <v>143</v>
      </c>
      <c r="AQ45" t="s">
        <v>145</v>
      </c>
      <c r="AR45" t="s">
        <v>146</v>
      </c>
      <c r="AS45" t="s">
        <v>147</v>
      </c>
      <c r="AT45" t="s">
        <v>143</v>
      </c>
      <c r="AU45" t="s">
        <v>144</v>
      </c>
      <c r="AW45" t="s">
        <v>143</v>
      </c>
      <c r="AX45" t="s">
        <v>144</v>
      </c>
      <c r="AY45" t="s">
        <v>143</v>
      </c>
      <c r="AZ45" t="s">
        <v>144</v>
      </c>
      <c r="BA45" t="s">
        <v>143</v>
      </c>
      <c r="BB45" t="s">
        <v>144</v>
      </c>
      <c r="BC45" t="s">
        <v>143</v>
      </c>
      <c r="BD45" t="s">
        <v>147</v>
      </c>
      <c r="BE45" t="s">
        <v>143</v>
      </c>
      <c r="BF45" t="s">
        <v>147</v>
      </c>
      <c r="BG45" t="s">
        <v>143</v>
      </c>
      <c r="BH45" t="s">
        <v>144</v>
      </c>
      <c r="BI45" t="s">
        <v>143</v>
      </c>
      <c r="BJ45" t="s">
        <v>144</v>
      </c>
      <c r="BK45" t="s">
        <v>143</v>
      </c>
      <c r="BL45" t="s">
        <v>144</v>
      </c>
      <c r="BM45" t="s">
        <v>143</v>
      </c>
      <c r="BN45" t="s">
        <v>144</v>
      </c>
      <c r="BO45" t="s">
        <v>143</v>
      </c>
      <c r="BP45" t="s">
        <v>144</v>
      </c>
      <c r="BQ45" t="s">
        <v>143</v>
      </c>
      <c r="BR45" t="s">
        <v>145</v>
      </c>
      <c r="BS45" t="s">
        <v>143</v>
      </c>
      <c r="BT45" t="s">
        <v>147</v>
      </c>
      <c r="BU45" t="s">
        <v>143</v>
      </c>
      <c r="BV45" t="s">
        <v>145</v>
      </c>
      <c r="BW45" t="s">
        <v>143</v>
      </c>
      <c r="BX45" t="s">
        <v>144</v>
      </c>
      <c r="BY45" t="s">
        <v>143</v>
      </c>
      <c r="BZ45" t="s">
        <v>144</v>
      </c>
      <c r="CA45" t="s">
        <v>143</v>
      </c>
      <c r="CB45" t="s">
        <v>144</v>
      </c>
      <c r="CC45" t="s">
        <v>143</v>
      </c>
      <c r="CD45" t="s">
        <v>144</v>
      </c>
      <c r="CE45" t="s">
        <v>143</v>
      </c>
      <c r="CF45" t="s">
        <v>145</v>
      </c>
      <c r="CG45" t="s">
        <v>143</v>
      </c>
      <c r="CH45" t="s">
        <v>147</v>
      </c>
      <c r="CI45" t="s">
        <v>143</v>
      </c>
      <c r="CJ45" t="s">
        <v>145</v>
      </c>
      <c r="CK45" t="s">
        <v>143</v>
      </c>
      <c r="CL45" t="s">
        <v>144</v>
      </c>
      <c r="CM45" t="s">
        <v>143</v>
      </c>
      <c r="CN45" t="s">
        <v>144</v>
      </c>
      <c r="CO45" t="s">
        <v>143</v>
      </c>
      <c r="CP45" t="s">
        <v>144</v>
      </c>
      <c r="CQ45" t="s">
        <v>143</v>
      </c>
      <c r="CR45" t="s">
        <v>145</v>
      </c>
      <c r="CS45" t="s">
        <v>143</v>
      </c>
      <c r="CT45" t="s">
        <v>145</v>
      </c>
      <c r="CU45" t="s">
        <v>143</v>
      </c>
      <c r="CV45" t="s">
        <v>145</v>
      </c>
      <c r="CW45" t="s">
        <v>143</v>
      </c>
      <c r="CX45" t="s">
        <v>145</v>
      </c>
      <c r="CY45" t="s">
        <v>143</v>
      </c>
      <c r="CZ45" t="s">
        <v>145</v>
      </c>
      <c r="DA45" t="s">
        <v>143</v>
      </c>
      <c r="DB45" t="s">
        <v>145</v>
      </c>
      <c r="DC45" t="s">
        <v>143</v>
      </c>
      <c r="DD45" t="s">
        <v>144</v>
      </c>
      <c r="DE45" t="s">
        <v>146</v>
      </c>
      <c r="DF45" t="s">
        <v>147</v>
      </c>
      <c r="DG45" t="s">
        <v>143</v>
      </c>
      <c r="DH45" t="s">
        <v>144</v>
      </c>
      <c r="DI45" t="s">
        <v>146</v>
      </c>
      <c r="DJ45" t="s">
        <v>147</v>
      </c>
      <c r="DK45" t="s">
        <v>146</v>
      </c>
      <c r="DL45" t="s">
        <v>147</v>
      </c>
      <c r="DM45" t="s">
        <v>146</v>
      </c>
      <c r="DN45" t="s">
        <v>147</v>
      </c>
      <c r="DO45" t="s">
        <v>143</v>
      </c>
      <c r="DP45" t="s">
        <v>144</v>
      </c>
      <c r="DQ45" t="s">
        <v>143</v>
      </c>
      <c r="DR45" t="s">
        <v>145</v>
      </c>
      <c r="DS45" t="s">
        <v>143</v>
      </c>
      <c r="DT45" t="s">
        <v>145</v>
      </c>
      <c r="DU45" t="s">
        <v>143</v>
      </c>
      <c r="DV45" t="s">
        <v>144</v>
      </c>
      <c r="DW45" t="s">
        <v>143</v>
      </c>
      <c r="DX45" t="s">
        <v>144</v>
      </c>
      <c r="DY45" t="s">
        <v>143</v>
      </c>
      <c r="DZ45" t="s">
        <v>145</v>
      </c>
      <c r="EA45" t="s">
        <v>143</v>
      </c>
      <c r="EB45" t="s">
        <v>144</v>
      </c>
      <c r="EC45" t="s">
        <v>143</v>
      </c>
      <c r="ED45" t="s">
        <v>145</v>
      </c>
      <c r="EE45" t="s">
        <v>143</v>
      </c>
      <c r="EF45" t="s">
        <v>144</v>
      </c>
      <c r="EG45" t="s">
        <v>143</v>
      </c>
      <c r="EH45" t="s">
        <v>144</v>
      </c>
      <c r="EI45" t="s">
        <v>143</v>
      </c>
      <c r="EJ45" t="s">
        <v>144</v>
      </c>
      <c r="EK45" t="s">
        <v>143</v>
      </c>
      <c r="EL45" t="s">
        <v>144</v>
      </c>
      <c r="EM45" t="s">
        <v>143</v>
      </c>
      <c r="EN45" t="s">
        <v>144</v>
      </c>
      <c r="EO45" t="s">
        <v>143</v>
      </c>
      <c r="EP45" t="s">
        <v>144</v>
      </c>
      <c r="EQ45" t="s">
        <v>143</v>
      </c>
      <c r="ER45" t="s">
        <v>144</v>
      </c>
      <c r="ES45" t="s">
        <v>143</v>
      </c>
      <c r="ET45" t="s">
        <v>144</v>
      </c>
      <c r="EU45" t="s">
        <v>143</v>
      </c>
      <c r="EV45" t="s">
        <v>145</v>
      </c>
      <c r="EW45" t="s">
        <v>143</v>
      </c>
      <c r="EX45" t="s">
        <v>144</v>
      </c>
      <c r="EY45" t="s">
        <v>143</v>
      </c>
      <c r="EZ45" t="s">
        <v>145</v>
      </c>
    </row>
    <row r="46" spans="1:156" x14ac:dyDescent="0.2">
      <c r="A46">
        <v>42</v>
      </c>
      <c r="B46" t="s">
        <v>289</v>
      </c>
      <c r="C46" s="4" t="s">
        <v>196</v>
      </c>
      <c r="D46" t="s">
        <v>188</v>
      </c>
      <c r="E46" s="6">
        <v>43101</v>
      </c>
      <c r="F46" t="s">
        <v>143</v>
      </c>
      <c r="G46" t="s">
        <v>144</v>
      </c>
      <c r="H46" t="s">
        <v>143</v>
      </c>
      <c r="I46" t="s">
        <v>147</v>
      </c>
      <c r="J46" t="s">
        <v>146</v>
      </c>
      <c r="K46" t="s">
        <v>147</v>
      </c>
      <c r="L46" t="s">
        <v>143</v>
      </c>
      <c r="M46" t="s">
        <v>144</v>
      </c>
      <c r="N46" t="s">
        <v>143</v>
      </c>
      <c r="O46" t="s">
        <v>144</v>
      </c>
      <c r="P46" t="s">
        <v>143</v>
      </c>
      <c r="Q46" t="s">
        <v>144</v>
      </c>
      <c r="R46" t="s">
        <v>143</v>
      </c>
      <c r="S46" t="s">
        <v>144</v>
      </c>
      <c r="T46" t="s">
        <v>143</v>
      </c>
      <c r="U46" t="s">
        <v>144</v>
      </c>
      <c r="V46" t="s">
        <v>143</v>
      </c>
      <c r="W46" t="s">
        <v>144</v>
      </c>
      <c r="X46" t="s">
        <v>143</v>
      </c>
      <c r="Y46" t="s">
        <v>144</v>
      </c>
      <c r="Z46" t="s">
        <v>143</v>
      </c>
      <c r="AA46" t="s">
        <v>144</v>
      </c>
      <c r="AB46" t="s">
        <v>143</v>
      </c>
      <c r="AC46" t="s">
        <v>144</v>
      </c>
      <c r="AD46" t="s">
        <v>143</v>
      </c>
      <c r="AE46" t="s">
        <v>145</v>
      </c>
      <c r="AF46" t="s">
        <v>143</v>
      </c>
      <c r="AG46" t="s">
        <v>144</v>
      </c>
      <c r="AP46" t="s">
        <v>143</v>
      </c>
      <c r="AQ46" t="s">
        <v>145</v>
      </c>
      <c r="AR46" t="s">
        <v>146</v>
      </c>
      <c r="AS46" t="s">
        <v>147</v>
      </c>
      <c r="AT46" t="s">
        <v>143</v>
      </c>
      <c r="AU46" t="s">
        <v>144</v>
      </c>
      <c r="AW46" t="s">
        <v>143</v>
      </c>
      <c r="AX46" t="s">
        <v>144</v>
      </c>
      <c r="AY46" t="s">
        <v>143</v>
      </c>
      <c r="AZ46" t="s">
        <v>144</v>
      </c>
      <c r="BA46" t="s">
        <v>143</v>
      </c>
      <c r="BB46" t="s">
        <v>144</v>
      </c>
      <c r="BC46" t="s">
        <v>143</v>
      </c>
      <c r="BD46" t="s">
        <v>147</v>
      </c>
      <c r="BE46" t="s">
        <v>143</v>
      </c>
      <c r="BF46" t="s">
        <v>147</v>
      </c>
      <c r="BG46" t="s">
        <v>143</v>
      </c>
      <c r="BH46" t="s">
        <v>144</v>
      </c>
      <c r="BI46" t="s">
        <v>143</v>
      </c>
      <c r="BJ46" t="s">
        <v>144</v>
      </c>
      <c r="BK46" t="s">
        <v>143</v>
      </c>
      <c r="BL46" t="s">
        <v>144</v>
      </c>
      <c r="BM46" t="s">
        <v>143</v>
      </c>
      <c r="BN46" t="s">
        <v>144</v>
      </c>
      <c r="BO46" t="s">
        <v>143</v>
      </c>
      <c r="BP46" t="s">
        <v>144</v>
      </c>
      <c r="BQ46" t="s">
        <v>143</v>
      </c>
      <c r="BR46" t="s">
        <v>145</v>
      </c>
      <c r="BS46" t="s">
        <v>143</v>
      </c>
      <c r="BT46" t="s">
        <v>147</v>
      </c>
      <c r="BU46" t="s">
        <v>143</v>
      </c>
      <c r="BV46" t="s">
        <v>145</v>
      </c>
      <c r="BW46" t="s">
        <v>143</v>
      </c>
      <c r="BX46" t="s">
        <v>144</v>
      </c>
      <c r="BY46" t="s">
        <v>143</v>
      </c>
      <c r="BZ46" t="s">
        <v>144</v>
      </c>
      <c r="CA46" t="s">
        <v>143</v>
      </c>
      <c r="CB46" t="s">
        <v>144</v>
      </c>
      <c r="CC46" t="s">
        <v>143</v>
      </c>
      <c r="CD46" t="s">
        <v>144</v>
      </c>
      <c r="CE46" t="s">
        <v>143</v>
      </c>
      <c r="CF46" t="s">
        <v>145</v>
      </c>
      <c r="CG46" t="s">
        <v>143</v>
      </c>
      <c r="CH46" t="s">
        <v>147</v>
      </c>
      <c r="CI46" t="s">
        <v>143</v>
      </c>
      <c r="CJ46" t="s">
        <v>145</v>
      </c>
      <c r="CK46" t="s">
        <v>143</v>
      </c>
      <c r="CL46" t="s">
        <v>144</v>
      </c>
      <c r="CM46" t="s">
        <v>143</v>
      </c>
      <c r="CN46" t="s">
        <v>144</v>
      </c>
      <c r="CO46" t="s">
        <v>143</v>
      </c>
      <c r="CP46" t="s">
        <v>144</v>
      </c>
      <c r="CQ46" t="s">
        <v>143</v>
      </c>
      <c r="CR46" t="s">
        <v>145</v>
      </c>
      <c r="CS46" t="s">
        <v>143</v>
      </c>
      <c r="CT46" t="s">
        <v>145</v>
      </c>
      <c r="CU46" t="s">
        <v>143</v>
      </c>
      <c r="CV46" t="s">
        <v>145</v>
      </c>
      <c r="CW46" t="s">
        <v>143</v>
      </c>
      <c r="CX46" t="s">
        <v>145</v>
      </c>
      <c r="CY46" t="s">
        <v>143</v>
      </c>
      <c r="CZ46" t="s">
        <v>145</v>
      </c>
      <c r="DA46" t="s">
        <v>143</v>
      </c>
      <c r="DB46" t="s">
        <v>145</v>
      </c>
      <c r="DC46" t="s">
        <v>143</v>
      </c>
      <c r="DD46" t="s">
        <v>144</v>
      </c>
      <c r="DE46" t="s">
        <v>146</v>
      </c>
      <c r="DF46" t="s">
        <v>147</v>
      </c>
      <c r="DG46" t="s">
        <v>143</v>
      </c>
      <c r="DH46" t="s">
        <v>144</v>
      </c>
      <c r="DI46" t="s">
        <v>146</v>
      </c>
      <c r="DJ46" t="s">
        <v>147</v>
      </c>
      <c r="DK46" t="s">
        <v>146</v>
      </c>
      <c r="DL46" t="s">
        <v>147</v>
      </c>
      <c r="DM46" t="s">
        <v>146</v>
      </c>
      <c r="DN46" t="s">
        <v>147</v>
      </c>
      <c r="DO46" t="s">
        <v>143</v>
      </c>
      <c r="DP46" t="s">
        <v>144</v>
      </c>
      <c r="DQ46" t="s">
        <v>143</v>
      </c>
      <c r="DR46" t="s">
        <v>145</v>
      </c>
      <c r="DS46" t="s">
        <v>143</v>
      </c>
      <c r="DT46" t="s">
        <v>145</v>
      </c>
      <c r="DU46" t="s">
        <v>143</v>
      </c>
      <c r="DV46" t="s">
        <v>144</v>
      </c>
      <c r="DW46" t="s">
        <v>143</v>
      </c>
      <c r="DX46" t="s">
        <v>144</v>
      </c>
      <c r="DY46" t="s">
        <v>143</v>
      </c>
      <c r="DZ46" t="s">
        <v>145</v>
      </c>
      <c r="EA46" t="s">
        <v>143</v>
      </c>
      <c r="EB46" t="s">
        <v>144</v>
      </c>
      <c r="EC46" t="s">
        <v>143</v>
      </c>
      <c r="ED46" t="s">
        <v>145</v>
      </c>
      <c r="EE46" t="s">
        <v>143</v>
      </c>
      <c r="EF46" t="s">
        <v>144</v>
      </c>
      <c r="EG46" t="s">
        <v>143</v>
      </c>
      <c r="EH46" t="s">
        <v>144</v>
      </c>
      <c r="EI46" t="s">
        <v>143</v>
      </c>
      <c r="EJ46" t="s">
        <v>144</v>
      </c>
      <c r="EK46" t="s">
        <v>143</v>
      </c>
      <c r="EL46" t="s">
        <v>144</v>
      </c>
      <c r="EM46" t="s">
        <v>143</v>
      </c>
      <c r="EN46" t="s">
        <v>144</v>
      </c>
      <c r="EO46" t="s">
        <v>143</v>
      </c>
      <c r="EP46" t="s">
        <v>144</v>
      </c>
      <c r="EQ46" t="s">
        <v>143</v>
      </c>
      <c r="ER46" t="s">
        <v>144</v>
      </c>
      <c r="ES46" t="s">
        <v>143</v>
      </c>
      <c r="ET46" t="s">
        <v>144</v>
      </c>
      <c r="EU46" t="s">
        <v>143</v>
      </c>
      <c r="EV46" t="s">
        <v>145</v>
      </c>
      <c r="EW46" t="s">
        <v>143</v>
      </c>
      <c r="EX46" t="s">
        <v>144</v>
      </c>
      <c r="EY46" t="s">
        <v>143</v>
      </c>
      <c r="EZ46" t="s">
        <v>145</v>
      </c>
    </row>
    <row r="47" spans="1:156" x14ac:dyDescent="0.2">
      <c r="A47">
        <v>22</v>
      </c>
      <c r="B47" t="s">
        <v>290</v>
      </c>
      <c r="C47" s="4" t="s">
        <v>195</v>
      </c>
      <c r="D47" t="s">
        <v>188</v>
      </c>
      <c r="E47" s="1">
        <v>43503</v>
      </c>
      <c r="F47" t="s">
        <v>143</v>
      </c>
      <c r="G47" t="s">
        <v>144</v>
      </c>
      <c r="H47" t="s">
        <v>143</v>
      </c>
      <c r="I47" t="s">
        <v>144</v>
      </c>
      <c r="J47" t="s">
        <v>143</v>
      </c>
      <c r="K47" t="s">
        <v>145</v>
      </c>
      <c r="L47" t="s">
        <v>143</v>
      </c>
      <c r="M47" t="s">
        <v>145</v>
      </c>
      <c r="N47" t="s">
        <v>143</v>
      </c>
      <c r="O47" t="s">
        <v>144</v>
      </c>
      <c r="P47" t="s">
        <v>143</v>
      </c>
      <c r="Q47" t="s">
        <v>144</v>
      </c>
      <c r="R47" t="s">
        <v>143</v>
      </c>
      <c r="S47" t="s">
        <v>144</v>
      </c>
      <c r="T47" t="s">
        <v>146</v>
      </c>
      <c r="U47" t="s">
        <v>147</v>
      </c>
      <c r="V47" t="s">
        <v>146</v>
      </c>
      <c r="W47" t="s">
        <v>147</v>
      </c>
      <c r="X47" t="s">
        <v>146</v>
      </c>
      <c r="Y47" t="s">
        <v>147</v>
      </c>
      <c r="Z47" t="s">
        <v>146</v>
      </c>
      <c r="AA47" t="s">
        <v>147</v>
      </c>
      <c r="AB47" t="s">
        <v>146</v>
      </c>
      <c r="AC47" t="s">
        <v>147</v>
      </c>
      <c r="AD47" t="s">
        <v>146</v>
      </c>
      <c r="AE47" t="s">
        <v>147</v>
      </c>
      <c r="AF47" t="s">
        <v>143</v>
      </c>
      <c r="AG47" t="s">
        <v>144</v>
      </c>
      <c r="AP47" t="s">
        <v>143</v>
      </c>
      <c r="AQ47" t="s">
        <v>145</v>
      </c>
      <c r="AR47" t="s">
        <v>146</v>
      </c>
      <c r="AS47" t="s">
        <v>147</v>
      </c>
      <c r="AT47" t="s">
        <v>143</v>
      </c>
      <c r="AU47" t="s">
        <v>145</v>
      </c>
      <c r="AW47" t="s">
        <v>143</v>
      </c>
      <c r="AX47" t="s">
        <v>145</v>
      </c>
      <c r="AY47" t="s">
        <v>143</v>
      </c>
      <c r="AZ47" t="s">
        <v>147</v>
      </c>
      <c r="BA47" t="s">
        <v>143</v>
      </c>
      <c r="BB47" t="s">
        <v>144</v>
      </c>
      <c r="BC47" t="s">
        <v>143</v>
      </c>
      <c r="BD47" t="s">
        <v>147</v>
      </c>
      <c r="BE47" t="s">
        <v>143</v>
      </c>
      <c r="BF47" t="s">
        <v>147</v>
      </c>
      <c r="BG47" t="s">
        <v>143</v>
      </c>
      <c r="BH47" t="s">
        <v>144</v>
      </c>
      <c r="BI47" t="s">
        <v>143</v>
      </c>
      <c r="BJ47" t="s">
        <v>144</v>
      </c>
      <c r="BK47" t="s">
        <v>146</v>
      </c>
      <c r="BL47" t="s">
        <v>147</v>
      </c>
      <c r="BM47" t="s">
        <v>146</v>
      </c>
      <c r="BN47" t="s">
        <v>147</v>
      </c>
      <c r="BO47" t="s">
        <v>143</v>
      </c>
      <c r="BP47" t="s">
        <v>147</v>
      </c>
      <c r="BQ47" t="s">
        <v>146</v>
      </c>
      <c r="BR47" t="s">
        <v>147</v>
      </c>
      <c r="BS47" t="s">
        <v>146</v>
      </c>
      <c r="BT47" t="s">
        <v>147</v>
      </c>
      <c r="BU47" t="s">
        <v>143</v>
      </c>
      <c r="BV47" t="s">
        <v>145</v>
      </c>
      <c r="BW47" t="s">
        <v>143</v>
      </c>
      <c r="BX47" t="s">
        <v>145</v>
      </c>
      <c r="BY47" t="s">
        <v>146</v>
      </c>
      <c r="BZ47" t="s">
        <v>147</v>
      </c>
      <c r="CA47" t="s">
        <v>146</v>
      </c>
      <c r="CB47" t="s">
        <v>147</v>
      </c>
      <c r="CC47" t="s">
        <v>143</v>
      </c>
      <c r="CD47" t="s">
        <v>145</v>
      </c>
      <c r="CE47" t="s">
        <v>143</v>
      </c>
      <c r="CF47" t="s">
        <v>145</v>
      </c>
      <c r="CG47" t="s">
        <v>146</v>
      </c>
      <c r="CH47" t="s">
        <v>147</v>
      </c>
      <c r="CI47" t="s">
        <v>143</v>
      </c>
      <c r="CJ47" t="s">
        <v>145</v>
      </c>
      <c r="CK47" t="s">
        <v>143</v>
      </c>
      <c r="CL47" t="s">
        <v>147</v>
      </c>
      <c r="CM47" t="s">
        <v>143</v>
      </c>
      <c r="CN47" t="s">
        <v>145</v>
      </c>
      <c r="CO47" t="s">
        <v>143</v>
      </c>
      <c r="CP47" t="s">
        <v>144</v>
      </c>
      <c r="CQ47" t="s">
        <v>146</v>
      </c>
      <c r="CR47" t="s">
        <v>147</v>
      </c>
      <c r="CS47" t="s">
        <v>143</v>
      </c>
      <c r="CT47" t="s">
        <v>145</v>
      </c>
      <c r="CU47" t="s">
        <v>146</v>
      </c>
      <c r="CV47" t="s">
        <v>147</v>
      </c>
      <c r="CW47" t="s">
        <v>143</v>
      </c>
      <c r="CX47" t="s">
        <v>145</v>
      </c>
      <c r="CY47" t="s">
        <v>146</v>
      </c>
      <c r="CZ47" t="s">
        <v>147</v>
      </c>
      <c r="DA47" t="s">
        <v>146</v>
      </c>
      <c r="DB47" t="s">
        <v>147</v>
      </c>
      <c r="DC47" t="s">
        <v>143</v>
      </c>
      <c r="DD47" t="s">
        <v>147</v>
      </c>
      <c r="DE47" t="s">
        <v>146</v>
      </c>
      <c r="DF47" t="s">
        <v>147</v>
      </c>
      <c r="DG47" t="s">
        <v>143</v>
      </c>
      <c r="DH47" t="s">
        <v>145</v>
      </c>
      <c r="DI47" t="s">
        <v>146</v>
      </c>
      <c r="DJ47" t="s">
        <v>147</v>
      </c>
      <c r="DK47" t="s">
        <v>146</v>
      </c>
      <c r="DL47" t="s">
        <v>147</v>
      </c>
      <c r="DM47" t="s">
        <v>146</v>
      </c>
      <c r="DN47" t="s">
        <v>147</v>
      </c>
      <c r="DO47" t="s">
        <v>143</v>
      </c>
      <c r="DP47" t="s">
        <v>147</v>
      </c>
      <c r="DQ47" t="s">
        <v>143</v>
      </c>
      <c r="DR47" t="s">
        <v>147</v>
      </c>
      <c r="DS47" t="s">
        <v>146</v>
      </c>
      <c r="DT47" t="s">
        <v>147</v>
      </c>
      <c r="DU47" t="s">
        <v>143</v>
      </c>
      <c r="DV47" t="s">
        <v>147</v>
      </c>
      <c r="DW47" t="s">
        <v>146</v>
      </c>
      <c r="DX47" t="s">
        <v>147</v>
      </c>
      <c r="DY47" t="s">
        <v>146</v>
      </c>
      <c r="DZ47" t="s">
        <v>147</v>
      </c>
      <c r="EA47" t="s">
        <v>143</v>
      </c>
      <c r="EB47" t="s">
        <v>147</v>
      </c>
      <c r="EC47" t="s">
        <v>146</v>
      </c>
      <c r="ED47" t="s">
        <v>147</v>
      </c>
      <c r="EE47" t="s">
        <v>143</v>
      </c>
      <c r="EF47" t="s">
        <v>147</v>
      </c>
      <c r="EG47" t="s">
        <v>143</v>
      </c>
      <c r="EH47" t="s">
        <v>145</v>
      </c>
      <c r="EI47" t="s">
        <v>146</v>
      </c>
      <c r="EJ47" t="s">
        <v>147</v>
      </c>
      <c r="EK47" t="s">
        <v>143</v>
      </c>
      <c r="EL47" t="s">
        <v>145</v>
      </c>
      <c r="EM47" t="s">
        <v>143</v>
      </c>
      <c r="EN47" t="s">
        <v>145</v>
      </c>
      <c r="EO47" t="s">
        <v>146</v>
      </c>
      <c r="EP47" t="s">
        <v>147</v>
      </c>
      <c r="EQ47" t="s">
        <v>146</v>
      </c>
      <c r="ER47" t="s">
        <v>147</v>
      </c>
      <c r="ES47" t="s">
        <v>143</v>
      </c>
      <c r="ET47" t="s">
        <v>147</v>
      </c>
      <c r="EU47" t="s">
        <v>143</v>
      </c>
      <c r="EV47" t="s">
        <v>147</v>
      </c>
      <c r="EW47" t="s">
        <v>143</v>
      </c>
      <c r="EX47" t="s">
        <v>144</v>
      </c>
      <c r="EY47" t="s">
        <v>143</v>
      </c>
      <c r="EZ47" t="s">
        <v>145</v>
      </c>
    </row>
    <row r="48" spans="1:156" x14ac:dyDescent="0.2">
      <c r="A48">
        <v>43</v>
      </c>
      <c r="B48" t="s">
        <v>291</v>
      </c>
      <c r="C48" s="7" t="s">
        <v>195</v>
      </c>
      <c r="D48" t="s">
        <v>188</v>
      </c>
      <c r="E48" s="6">
        <v>43137</v>
      </c>
      <c r="F48" t="s">
        <v>143</v>
      </c>
      <c r="G48" t="s">
        <v>144</v>
      </c>
      <c r="H48" t="s">
        <v>143</v>
      </c>
      <c r="I48" t="s">
        <v>144</v>
      </c>
      <c r="J48" t="s">
        <v>143</v>
      </c>
      <c r="K48" t="s">
        <v>145</v>
      </c>
      <c r="L48" t="s">
        <v>143</v>
      </c>
      <c r="M48" t="s">
        <v>145</v>
      </c>
      <c r="N48" t="s">
        <v>143</v>
      </c>
      <c r="O48" t="s">
        <v>144</v>
      </c>
      <c r="P48" t="s">
        <v>143</v>
      </c>
      <c r="Q48" t="s">
        <v>144</v>
      </c>
      <c r="R48" t="s">
        <v>143</v>
      </c>
      <c r="S48" t="s">
        <v>144</v>
      </c>
      <c r="T48" t="s">
        <v>146</v>
      </c>
      <c r="U48" t="s">
        <v>147</v>
      </c>
      <c r="V48" t="s">
        <v>146</v>
      </c>
      <c r="W48" t="s">
        <v>147</v>
      </c>
      <c r="X48" t="s">
        <v>146</v>
      </c>
      <c r="Y48" t="s">
        <v>147</v>
      </c>
      <c r="Z48" t="s">
        <v>146</v>
      </c>
      <c r="AA48" t="s">
        <v>147</v>
      </c>
      <c r="AB48" t="s">
        <v>146</v>
      </c>
      <c r="AC48" t="s">
        <v>147</v>
      </c>
      <c r="AD48" t="s">
        <v>146</v>
      </c>
      <c r="AE48" t="s">
        <v>147</v>
      </c>
      <c r="AF48" t="s">
        <v>143</v>
      </c>
      <c r="AG48" t="s">
        <v>144</v>
      </c>
      <c r="AP48" t="s">
        <v>143</v>
      </c>
      <c r="AQ48" t="s">
        <v>145</v>
      </c>
      <c r="AR48" t="s">
        <v>146</v>
      </c>
      <c r="AS48" t="s">
        <v>147</v>
      </c>
      <c r="AT48" t="s">
        <v>143</v>
      </c>
      <c r="AU48" t="s">
        <v>145</v>
      </c>
      <c r="AW48" t="s">
        <v>143</v>
      </c>
      <c r="AX48" t="s">
        <v>145</v>
      </c>
      <c r="AY48" t="s">
        <v>143</v>
      </c>
      <c r="AZ48" t="s">
        <v>147</v>
      </c>
      <c r="BA48" t="s">
        <v>143</v>
      </c>
      <c r="BB48" t="s">
        <v>144</v>
      </c>
      <c r="BC48" t="s">
        <v>143</v>
      </c>
      <c r="BD48" t="s">
        <v>147</v>
      </c>
      <c r="BE48" t="s">
        <v>143</v>
      </c>
      <c r="BF48" t="s">
        <v>147</v>
      </c>
      <c r="BG48" t="s">
        <v>143</v>
      </c>
      <c r="BH48" t="s">
        <v>144</v>
      </c>
      <c r="BI48" t="s">
        <v>143</v>
      </c>
      <c r="BJ48" t="s">
        <v>144</v>
      </c>
      <c r="BK48" t="s">
        <v>146</v>
      </c>
      <c r="BL48" t="s">
        <v>147</v>
      </c>
      <c r="BM48" t="s">
        <v>146</v>
      </c>
      <c r="BN48" t="s">
        <v>147</v>
      </c>
      <c r="BO48" t="s">
        <v>143</v>
      </c>
      <c r="BP48" t="s">
        <v>147</v>
      </c>
      <c r="BQ48" t="s">
        <v>146</v>
      </c>
      <c r="BR48" t="s">
        <v>147</v>
      </c>
      <c r="BS48" t="s">
        <v>146</v>
      </c>
      <c r="BT48" t="s">
        <v>147</v>
      </c>
      <c r="BU48" t="s">
        <v>143</v>
      </c>
      <c r="BV48" t="s">
        <v>145</v>
      </c>
      <c r="BW48" t="s">
        <v>143</v>
      </c>
      <c r="BX48" t="s">
        <v>145</v>
      </c>
      <c r="BY48" t="s">
        <v>146</v>
      </c>
      <c r="BZ48" t="s">
        <v>147</v>
      </c>
      <c r="CA48" t="s">
        <v>146</v>
      </c>
      <c r="CB48" t="s">
        <v>147</v>
      </c>
      <c r="CC48" t="s">
        <v>143</v>
      </c>
      <c r="CD48" t="s">
        <v>145</v>
      </c>
      <c r="CE48" t="s">
        <v>143</v>
      </c>
      <c r="CF48" t="s">
        <v>145</v>
      </c>
      <c r="CG48" t="s">
        <v>146</v>
      </c>
      <c r="CH48" t="s">
        <v>147</v>
      </c>
      <c r="CI48" t="s">
        <v>143</v>
      </c>
      <c r="CJ48" t="s">
        <v>145</v>
      </c>
      <c r="CK48" t="s">
        <v>143</v>
      </c>
      <c r="CL48" t="s">
        <v>147</v>
      </c>
      <c r="CM48" t="s">
        <v>143</v>
      </c>
      <c r="CN48" t="s">
        <v>145</v>
      </c>
      <c r="CO48" t="s">
        <v>143</v>
      </c>
      <c r="CP48" t="s">
        <v>144</v>
      </c>
      <c r="CQ48" t="s">
        <v>146</v>
      </c>
      <c r="CR48" t="s">
        <v>147</v>
      </c>
      <c r="CS48" t="s">
        <v>143</v>
      </c>
      <c r="CT48" t="s">
        <v>145</v>
      </c>
      <c r="CU48" t="s">
        <v>146</v>
      </c>
      <c r="CV48" t="s">
        <v>147</v>
      </c>
      <c r="CW48" t="s">
        <v>143</v>
      </c>
      <c r="CX48" t="s">
        <v>145</v>
      </c>
      <c r="CY48" t="s">
        <v>146</v>
      </c>
      <c r="CZ48" t="s">
        <v>147</v>
      </c>
      <c r="DA48" t="s">
        <v>146</v>
      </c>
      <c r="DB48" t="s">
        <v>147</v>
      </c>
      <c r="DC48" t="s">
        <v>143</v>
      </c>
      <c r="DD48" t="s">
        <v>147</v>
      </c>
      <c r="DE48" t="s">
        <v>146</v>
      </c>
      <c r="DF48" t="s">
        <v>147</v>
      </c>
      <c r="DG48" t="s">
        <v>143</v>
      </c>
      <c r="DH48" t="s">
        <v>145</v>
      </c>
      <c r="DI48" t="s">
        <v>146</v>
      </c>
      <c r="DJ48" t="s">
        <v>147</v>
      </c>
      <c r="DK48" t="s">
        <v>146</v>
      </c>
      <c r="DL48" t="s">
        <v>147</v>
      </c>
      <c r="DM48" t="s">
        <v>146</v>
      </c>
      <c r="DN48" t="s">
        <v>147</v>
      </c>
      <c r="DO48" t="s">
        <v>143</v>
      </c>
      <c r="DP48" t="s">
        <v>147</v>
      </c>
      <c r="DQ48" t="s">
        <v>143</v>
      </c>
      <c r="DR48" t="s">
        <v>147</v>
      </c>
      <c r="DS48" t="s">
        <v>146</v>
      </c>
      <c r="DT48" t="s">
        <v>147</v>
      </c>
      <c r="DU48" t="s">
        <v>143</v>
      </c>
      <c r="DV48" t="s">
        <v>147</v>
      </c>
      <c r="DW48" t="s">
        <v>146</v>
      </c>
      <c r="DX48" t="s">
        <v>147</v>
      </c>
      <c r="DY48" t="s">
        <v>146</v>
      </c>
      <c r="DZ48" t="s">
        <v>147</v>
      </c>
      <c r="EA48" t="s">
        <v>143</v>
      </c>
      <c r="EB48" t="s">
        <v>147</v>
      </c>
      <c r="EC48" t="s">
        <v>146</v>
      </c>
      <c r="ED48" t="s">
        <v>147</v>
      </c>
      <c r="EE48" t="s">
        <v>143</v>
      </c>
      <c r="EF48" t="s">
        <v>147</v>
      </c>
      <c r="EG48" t="s">
        <v>143</v>
      </c>
      <c r="EH48" t="s">
        <v>145</v>
      </c>
      <c r="EI48" t="s">
        <v>146</v>
      </c>
      <c r="EJ48" t="s">
        <v>147</v>
      </c>
      <c r="EK48" t="s">
        <v>143</v>
      </c>
      <c r="EL48" t="s">
        <v>145</v>
      </c>
      <c r="EM48" t="s">
        <v>143</v>
      </c>
      <c r="EN48" t="s">
        <v>145</v>
      </c>
      <c r="EO48" t="s">
        <v>146</v>
      </c>
      <c r="EP48" t="s">
        <v>147</v>
      </c>
      <c r="EQ48" t="s">
        <v>146</v>
      </c>
      <c r="ER48" t="s">
        <v>147</v>
      </c>
      <c r="ES48" t="s">
        <v>143</v>
      </c>
      <c r="ET48" t="s">
        <v>147</v>
      </c>
      <c r="EU48" t="s">
        <v>143</v>
      </c>
      <c r="EV48" t="s">
        <v>147</v>
      </c>
      <c r="EW48" t="s">
        <v>143</v>
      </c>
      <c r="EX48" t="s">
        <v>144</v>
      </c>
      <c r="EY48" t="s">
        <v>143</v>
      </c>
      <c r="EZ48" t="s">
        <v>145</v>
      </c>
    </row>
    <row r="49" spans="1:156" x14ac:dyDescent="0.2">
      <c r="A49">
        <v>44</v>
      </c>
      <c r="B49" t="s">
        <v>292</v>
      </c>
      <c r="C49" s="7" t="s">
        <v>195</v>
      </c>
      <c r="D49" t="s">
        <v>188</v>
      </c>
      <c r="E49" s="6">
        <v>43692</v>
      </c>
      <c r="F49" t="s">
        <v>143</v>
      </c>
      <c r="G49" t="s">
        <v>144</v>
      </c>
      <c r="H49" t="s">
        <v>143</v>
      </c>
      <c r="I49" t="s">
        <v>144</v>
      </c>
      <c r="J49" t="s">
        <v>143</v>
      </c>
      <c r="K49" t="s">
        <v>145</v>
      </c>
      <c r="L49" t="s">
        <v>143</v>
      </c>
      <c r="M49" t="s">
        <v>145</v>
      </c>
      <c r="N49" t="s">
        <v>143</v>
      </c>
      <c r="O49" t="s">
        <v>144</v>
      </c>
      <c r="P49" t="s">
        <v>143</v>
      </c>
      <c r="Q49" t="s">
        <v>144</v>
      </c>
      <c r="R49" t="s">
        <v>143</v>
      </c>
      <c r="S49" t="s">
        <v>144</v>
      </c>
      <c r="T49" t="s">
        <v>146</v>
      </c>
      <c r="U49" t="s">
        <v>147</v>
      </c>
      <c r="V49" t="s">
        <v>146</v>
      </c>
      <c r="W49" t="s">
        <v>147</v>
      </c>
      <c r="X49" t="s">
        <v>146</v>
      </c>
      <c r="Y49" t="s">
        <v>147</v>
      </c>
      <c r="Z49" t="s">
        <v>146</v>
      </c>
      <c r="AA49" t="s">
        <v>147</v>
      </c>
      <c r="AB49" t="s">
        <v>146</v>
      </c>
      <c r="AC49" t="s">
        <v>147</v>
      </c>
      <c r="AD49" t="s">
        <v>146</v>
      </c>
      <c r="AE49" t="s">
        <v>147</v>
      </c>
      <c r="AF49" t="s">
        <v>143</v>
      </c>
      <c r="AG49" t="s">
        <v>144</v>
      </c>
      <c r="AP49" t="s">
        <v>143</v>
      </c>
      <c r="AQ49" t="s">
        <v>145</v>
      </c>
      <c r="AR49" t="s">
        <v>146</v>
      </c>
      <c r="AS49" t="s">
        <v>147</v>
      </c>
      <c r="AT49" t="s">
        <v>143</v>
      </c>
      <c r="AU49" t="s">
        <v>145</v>
      </c>
      <c r="AW49" t="s">
        <v>143</v>
      </c>
      <c r="AX49" t="s">
        <v>145</v>
      </c>
      <c r="AY49" t="s">
        <v>143</v>
      </c>
      <c r="AZ49" t="s">
        <v>147</v>
      </c>
      <c r="BA49" t="s">
        <v>143</v>
      </c>
      <c r="BB49" t="s">
        <v>144</v>
      </c>
      <c r="BC49" t="s">
        <v>143</v>
      </c>
      <c r="BD49" t="s">
        <v>147</v>
      </c>
      <c r="BE49" t="s">
        <v>143</v>
      </c>
      <c r="BF49" t="s">
        <v>147</v>
      </c>
      <c r="BG49" t="s">
        <v>143</v>
      </c>
      <c r="BH49" t="s">
        <v>144</v>
      </c>
      <c r="BI49" t="s">
        <v>143</v>
      </c>
      <c r="BJ49" t="s">
        <v>144</v>
      </c>
      <c r="BK49" t="s">
        <v>146</v>
      </c>
      <c r="BL49" t="s">
        <v>147</v>
      </c>
      <c r="BM49" t="s">
        <v>146</v>
      </c>
      <c r="BN49" t="s">
        <v>147</v>
      </c>
      <c r="BO49" t="s">
        <v>143</v>
      </c>
      <c r="BP49" t="s">
        <v>147</v>
      </c>
      <c r="BQ49" t="s">
        <v>146</v>
      </c>
      <c r="BR49" t="s">
        <v>147</v>
      </c>
      <c r="BS49" t="s">
        <v>146</v>
      </c>
      <c r="BT49" t="s">
        <v>147</v>
      </c>
      <c r="BU49" t="s">
        <v>143</v>
      </c>
      <c r="BV49" t="s">
        <v>145</v>
      </c>
      <c r="BW49" t="s">
        <v>143</v>
      </c>
      <c r="BX49" t="s">
        <v>145</v>
      </c>
      <c r="BY49" t="s">
        <v>146</v>
      </c>
      <c r="BZ49" t="s">
        <v>147</v>
      </c>
      <c r="CA49" t="s">
        <v>146</v>
      </c>
      <c r="CB49" t="s">
        <v>147</v>
      </c>
      <c r="CC49" t="s">
        <v>143</v>
      </c>
      <c r="CD49" t="s">
        <v>145</v>
      </c>
      <c r="CE49" t="s">
        <v>143</v>
      </c>
      <c r="CF49" t="s">
        <v>145</v>
      </c>
      <c r="CG49" t="s">
        <v>146</v>
      </c>
      <c r="CH49" t="s">
        <v>147</v>
      </c>
      <c r="CI49" t="s">
        <v>143</v>
      </c>
      <c r="CJ49" t="s">
        <v>145</v>
      </c>
      <c r="CK49" t="s">
        <v>143</v>
      </c>
      <c r="CL49" t="s">
        <v>147</v>
      </c>
      <c r="CM49" t="s">
        <v>143</v>
      </c>
      <c r="CN49" t="s">
        <v>145</v>
      </c>
      <c r="CO49" t="s">
        <v>143</v>
      </c>
      <c r="CP49" t="s">
        <v>144</v>
      </c>
      <c r="CQ49" t="s">
        <v>146</v>
      </c>
      <c r="CR49" t="s">
        <v>147</v>
      </c>
      <c r="CS49" t="s">
        <v>143</v>
      </c>
      <c r="CT49" t="s">
        <v>145</v>
      </c>
      <c r="CU49" t="s">
        <v>146</v>
      </c>
      <c r="CV49" t="s">
        <v>147</v>
      </c>
      <c r="CW49" t="s">
        <v>143</v>
      </c>
      <c r="CX49" t="s">
        <v>145</v>
      </c>
      <c r="CY49" t="s">
        <v>146</v>
      </c>
      <c r="CZ49" t="s">
        <v>147</v>
      </c>
      <c r="DA49" t="s">
        <v>146</v>
      </c>
      <c r="DB49" t="s">
        <v>147</v>
      </c>
      <c r="DC49" t="s">
        <v>143</v>
      </c>
      <c r="DD49" t="s">
        <v>147</v>
      </c>
      <c r="DE49" t="s">
        <v>146</v>
      </c>
      <c r="DF49" t="s">
        <v>147</v>
      </c>
      <c r="DG49" t="s">
        <v>143</v>
      </c>
      <c r="DH49" t="s">
        <v>145</v>
      </c>
      <c r="DI49" t="s">
        <v>146</v>
      </c>
      <c r="DJ49" t="s">
        <v>147</v>
      </c>
      <c r="DK49" t="s">
        <v>146</v>
      </c>
      <c r="DL49" t="s">
        <v>147</v>
      </c>
      <c r="DM49" t="s">
        <v>146</v>
      </c>
      <c r="DN49" t="s">
        <v>147</v>
      </c>
      <c r="DO49" t="s">
        <v>143</v>
      </c>
      <c r="DP49" t="s">
        <v>147</v>
      </c>
      <c r="DQ49" t="s">
        <v>143</v>
      </c>
      <c r="DR49" t="s">
        <v>147</v>
      </c>
      <c r="DS49" t="s">
        <v>146</v>
      </c>
      <c r="DT49" t="s">
        <v>147</v>
      </c>
      <c r="DU49" t="s">
        <v>143</v>
      </c>
      <c r="DV49" t="s">
        <v>147</v>
      </c>
      <c r="DW49" t="s">
        <v>146</v>
      </c>
      <c r="DX49" t="s">
        <v>147</v>
      </c>
      <c r="DY49" t="s">
        <v>146</v>
      </c>
      <c r="DZ49" t="s">
        <v>147</v>
      </c>
      <c r="EA49" t="s">
        <v>143</v>
      </c>
      <c r="EB49" t="s">
        <v>147</v>
      </c>
      <c r="EC49" t="s">
        <v>146</v>
      </c>
      <c r="ED49" t="s">
        <v>147</v>
      </c>
      <c r="EE49" t="s">
        <v>143</v>
      </c>
      <c r="EF49" t="s">
        <v>147</v>
      </c>
      <c r="EG49" t="s">
        <v>143</v>
      </c>
      <c r="EH49" t="s">
        <v>145</v>
      </c>
      <c r="EI49" t="s">
        <v>146</v>
      </c>
      <c r="EJ49" t="s">
        <v>147</v>
      </c>
      <c r="EK49" t="s">
        <v>143</v>
      </c>
      <c r="EL49" t="s">
        <v>145</v>
      </c>
      <c r="EM49" t="s">
        <v>143</v>
      </c>
      <c r="EN49" t="s">
        <v>145</v>
      </c>
      <c r="EO49" t="s">
        <v>146</v>
      </c>
      <c r="EP49" t="s">
        <v>147</v>
      </c>
      <c r="EQ49" t="s">
        <v>146</v>
      </c>
      <c r="ER49" t="s">
        <v>147</v>
      </c>
      <c r="ES49" t="s">
        <v>143</v>
      </c>
      <c r="ET49" t="s">
        <v>147</v>
      </c>
      <c r="EU49" t="s">
        <v>143</v>
      </c>
      <c r="EV49" t="s">
        <v>147</v>
      </c>
      <c r="EW49" t="s">
        <v>143</v>
      </c>
      <c r="EX49" t="s">
        <v>144</v>
      </c>
      <c r="EY49" t="s">
        <v>143</v>
      </c>
      <c r="EZ49" t="s">
        <v>145</v>
      </c>
    </row>
    <row r="50" spans="1:156" x14ac:dyDescent="0.2">
      <c r="A50">
        <v>45</v>
      </c>
      <c r="B50" t="s">
        <v>293</v>
      </c>
      <c r="C50" s="7" t="s">
        <v>195</v>
      </c>
      <c r="D50" t="s">
        <v>188</v>
      </c>
      <c r="E50" s="6">
        <v>43539</v>
      </c>
      <c r="F50" t="s">
        <v>143</v>
      </c>
      <c r="G50" t="s">
        <v>144</v>
      </c>
      <c r="H50" t="s">
        <v>143</v>
      </c>
      <c r="I50" t="s">
        <v>144</v>
      </c>
      <c r="J50" t="s">
        <v>143</v>
      </c>
      <c r="K50" t="s">
        <v>145</v>
      </c>
      <c r="L50" t="s">
        <v>143</v>
      </c>
      <c r="M50" t="s">
        <v>145</v>
      </c>
      <c r="N50" t="s">
        <v>143</v>
      </c>
      <c r="O50" t="s">
        <v>144</v>
      </c>
      <c r="P50" t="s">
        <v>143</v>
      </c>
      <c r="Q50" t="s">
        <v>144</v>
      </c>
      <c r="R50" t="s">
        <v>143</v>
      </c>
      <c r="S50" t="s">
        <v>144</v>
      </c>
      <c r="T50" t="s">
        <v>146</v>
      </c>
      <c r="U50" t="s">
        <v>147</v>
      </c>
      <c r="V50" t="s">
        <v>146</v>
      </c>
      <c r="W50" t="s">
        <v>147</v>
      </c>
      <c r="X50" t="s">
        <v>146</v>
      </c>
      <c r="Y50" t="s">
        <v>147</v>
      </c>
      <c r="Z50" t="s">
        <v>146</v>
      </c>
      <c r="AA50" t="s">
        <v>147</v>
      </c>
      <c r="AB50" t="s">
        <v>146</v>
      </c>
      <c r="AC50" t="s">
        <v>147</v>
      </c>
      <c r="AD50" t="s">
        <v>146</v>
      </c>
      <c r="AE50" t="s">
        <v>147</v>
      </c>
      <c r="AF50" t="s">
        <v>143</v>
      </c>
      <c r="AG50" t="s">
        <v>144</v>
      </c>
      <c r="AP50" t="s">
        <v>143</v>
      </c>
      <c r="AQ50" t="s">
        <v>145</v>
      </c>
      <c r="AR50" t="s">
        <v>146</v>
      </c>
      <c r="AS50" t="s">
        <v>147</v>
      </c>
      <c r="AT50" t="s">
        <v>143</v>
      </c>
      <c r="AU50" t="s">
        <v>145</v>
      </c>
      <c r="AW50" t="s">
        <v>143</v>
      </c>
      <c r="AX50" t="s">
        <v>145</v>
      </c>
      <c r="AY50" t="s">
        <v>143</v>
      </c>
      <c r="AZ50" t="s">
        <v>147</v>
      </c>
      <c r="BA50" t="s">
        <v>143</v>
      </c>
      <c r="BB50" t="s">
        <v>144</v>
      </c>
      <c r="BC50" t="s">
        <v>143</v>
      </c>
      <c r="BD50" t="s">
        <v>147</v>
      </c>
      <c r="BE50" t="s">
        <v>143</v>
      </c>
      <c r="BF50" t="s">
        <v>147</v>
      </c>
      <c r="BG50" t="s">
        <v>143</v>
      </c>
      <c r="BH50" t="s">
        <v>144</v>
      </c>
      <c r="BI50" t="s">
        <v>143</v>
      </c>
      <c r="BJ50" t="s">
        <v>144</v>
      </c>
      <c r="BK50" t="s">
        <v>146</v>
      </c>
      <c r="BL50" t="s">
        <v>147</v>
      </c>
      <c r="BM50" t="s">
        <v>146</v>
      </c>
      <c r="BN50" t="s">
        <v>147</v>
      </c>
      <c r="BO50" t="s">
        <v>143</v>
      </c>
      <c r="BP50" t="s">
        <v>147</v>
      </c>
      <c r="BQ50" t="s">
        <v>146</v>
      </c>
      <c r="BR50" t="s">
        <v>147</v>
      </c>
      <c r="BS50" t="s">
        <v>146</v>
      </c>
      <c r="BT50" t="s">
        <v>147</v>
      </c>
      <c r="BU50" t="s">
        <v>143</v>
      </c>
      <c r="BV50" t="s">
        <v>145</v>
      </c>
      <c r="BW50" t="s">
        <v>143</v>
      </c>
      <c r="BX50" t="s">
        <v>145</v>
      </c>
      <c r="BY50" t="s">
        <v>146</v>
      </c>
      <c r="BZ50" t="s">
        <v>147</v>
      </c>
      <c r="CA50" t="s">
        <v>146</v>
      </c>
      <c r="CB50" t="s">
        <v>147</v>
      </c>
      <c r="CC50" t="s">
        <v>143</v>
      </c>
      <c r="CD50" t="s">
        <v>145</v>
      </c>
      <c r="CE50" t="s">
        <v>143</v>
      </c>
      <c r="CF50" t="s">
        <v>145</v>
      </c>
      <c r="CG50" t="s">
        <v>146</v>
      </c>
      <c r="CH50" t="s">
        <v>147</v>
      </c>
      <c r="CI50" t="s">
        <v>143</v>
      </c>
      <c r="CJ50" t="s">
        <v>145</v>
      </c>
      <c r="CK50" t="s">
        <v>143</v>
      </c>
      <c r="CL50" t="s">
        <v>147</v>
      </c>
      <c r="CM50" t="s">
        <v>143</v>
      </c>
      <c r="CN50" t="s">
        <v>145</v>
      </c>
      <c r="CO50" t="s">
        <v>143</v>
      </c>
      <c r="CP50" t="s">
        <v>144</v>
      </c>
      <c r="CQ50" t="s">
        <v>146</v>
      </c>
      <c r="CR50" t="s">
        <v>147</v>
      </c>
      <c r="CS50" t="s">
        <v>143</v>
      </c>
      <c r="CT50" t="s">
        <v>145</v>
      </c>
      <c r="CU50" t="s">
        <v>146</v>
      </c>
      <c r="CV50" t="s">
        <v>147</v>
      </c>
      <c r="CW50" t="s">
        <v>143</v>
      </c>
      <c r="CX50" t="s">
        <v>145</v>
      </c>
      <c r="CY50" t="s">
        <v>146</v>
      </c>
      <c r="CZ50" t="s">
        <v>147</v>
      </c>
      <c r="DA50" t="s">
        <v>146</v>
      </c>
      <c r="DB50" t="s">
        <v>147</v>
      </c>
      <c r="DC50" t="s">
        <v>143</v>
      </c>
      <c r="DD50" t="s">
        <v>147</v>
      </c>
      <c r="DE50" t="s">
        <v>146</v>
      </c>
      <c r="DF50" t="s">
        <v>147</v>
      </c>
      <c r="DG50" t="s">
        <v>143</v>
      </c>
      <c r="DH50" t="s">
        <v>145</v>
      </c>
      <c r="DI50" t="s">
        <v>146</v>
      </c>
      <c r="DJ50" t="s">
        <v>147</v>
      </c>
      <c r="DK50" t="s">
        <v>146</v>
      </c>
      <c r="DL50" t="s">
        <v>147</v>
      </c>
      <c r="DM50" t="s">
        <v>146</v>
      </c>
      <c r="DN50" t="s">
        <v>147</v>
      </c>
      <c r="DO50" t="s">
        <v>143</v>
      </c>
      <c r="DP50" t="s">
        <v>147</v>
      </c>
      <c r="DQ50" t="s">
        <v>143</v>
      </c>
      <c r="DR50" t="s">
        <v>147</v>
      </c>
      <c r="DS50" t="s">
        <v>146</v>
      </c>
      <c r="DT50" t="s">
        <v>147</v>
      </c>
      <c r="DU50" t="s">
        <v>143</v>
      </c>
      <c r="DV50" t="s">
        <v>147</v>
      </c>
      <c r="DW50" t="s">
        <v>146</v>
      </c>
      <c r="DX50" t="s">
        <v>147</v>
      </c>
      <c r="DY50" t="s">
        <v>146</v>
      </c>
      <c r="DZ50" t="s">
        <v>147</v>
      </c>
      <c r="EA50" t="s">
        <v>143</v>
      </c>
      <c r="EB50" t="s">
        <v>147</v>
      </c>
      <c r="EC50" t="s">
        <v>146</v>
      </c>
      <c r="ED50" t="s">
        <v>147</v>
      </c>
      <c r="EE50" t="s">
        <v>143</v>
      </c>
      <c r="EF50" t="s">
        <v>147</v>
      </c>
      <c r="EG50" t="s">
        <v>143</v>
      </c>
      <c r="EH50" t="s">
        <v>145</v>
      </c>
      <c r="EI50" t="s">
        <v>146</v>
      </c>
      <c r="EJ50" t="s">
        <v>147</v>
      </c>
      <c r="EK50" t="s">
        <v>143</v>
      </c>
      <c r="EL50" t="s">
        <v>145</v>
      </c>
      <c r="EM50" t="s">
        <v>143</v>
      </c>
      <c r="EN50" t="s">
        <v>145</v>
      </c>
      <c r="EO50" t="s">
        <v>146</v>
      </c>
      <c r="EP50" t="s">
        <v>147</v>
      </c>
      <c r="EQ50" t="s">
        <v>146</v>
      </c>
      <c r="ER50" t="s">
        <v>147</v>
      </c>
      <c r="ES50" t="s">
        <v>143</v>
      </c>
      <c r="ET50" t="s">
        <v>147</v>
      </c>
      <c r="EU50" t="s">
        <v>143</v>
      </c>
      <c r="EV50" t="s">
        <v>147</v>
      </c>
      <c r="EW50" t="s">
        <v>143</v>
      </c>
      <c r="EX50" t="s">
        <v>144</v>
      </c>
      <c r="EY50" t="s">
        <v>143</v>
      </c>
      <c r="EZ50" t="s">
        <v>145</v>
      </c>
    </row>
    <row r="51" spans="1:156" x14ac:dyDescent="0.2">
      <c r="A51">
        <v>46</v>
      </c>
      <c r="B51" t="s">
        <v>294</v>
      </c>
      <c r="C51" s="7" t="s">
        <v>195</v>
      </c>
      <c r="D51" t="s">
        <v>188</v>
      </c>
      <c r="E51" s="6">
        <v>43699</v>
      </c>
      <c r="F51" t="s">
        <v>143</v>
      </c>
      <c r="G51" t="s">
        <v>144</v>
      </c>
      <c r="H51" t="s">
        <v>143</v>
      </c>
      <c r="I51" t="s">
        <v>144</v>
      </c>
      <c r="J51" t="s">
        <v>143</v>
      </c>
      <c r="K51" t="s">
        <v>145</v>
      </c>
      <c r="L51" t="s">
        <v>143</v>
      </c>
      <c r="M51" t="s">
        <v>145</v>
      </c>
      <c r="N51" t="s">
        <v>143</v>
      </c>
      <c r="O51" t="s">
        <v>144</v>
      </c>
      <c r="P51" t="s">
        <v>143</v>
      </c>
      <c r="Q51" t="s">
        <v>144</v>
      </c>
      <c r="R51" t="s">
        <v>143</v>
      </c>
      <c r="S51" t="s">
        <v>144</v>
      </c>
      <c r="T51" t="s">
        <v>146</v>
      </c>
      <c r="U51" t="s">
        <v>147</v>
      </c>
      <c r="V51" t="s">
        <v>146</v>
      </c>
      <c r="W51" t="s">
        <v>147</v>
      </c>
      <c r="X51" t="s">
        <v>146</v>
      </c>
      <c r="Y51" t="s">
        <v>147</v>
      </c>
      <c r="Z51" t="s">
        <v>146</v>
      </c>
      <c r="AA51" t="s">
        <v>147</v>
      </c>
      <c r="AB51" t="s">
        <v>146</v>
      </c>
      <c r="AC51" t="s">
        <v>147</v>
      </c>
      <c r="AD51" t="s">
        <v>146</v>
      </c>
      <c r="AE51" t="s">
        <v>147</v>
      </c>
      <c r="AF51" t="s">
        <v>143</v>
      </c>
      <c r="AG51" t="s">
        <v>144</v>
      </c>
      <c r="AP51" t="s">
        <v>143</v>
      </c>
      <c r="AQ51" t="s">
        <v>145</v>
      </c>
      <c r="AR51" t="s">
        <v>146</v>
      </c>
      <c r="AS51" t="s">
        <v>147</v>
      </c>
      <c r="AT51" t="s">
        <v>143</v>
      </c>
      <c r="AU51" t="s">
        <v>145</v>
      </c>
      <c r="AW51" t="s">
        <v>143</v>
      </c>
      <c r="AX51" t="s">
        <v>145</v>
      </c>
      <c r="AY51" t="s">
        <v>143</v>
      </c>
      <c r="AZ51" t="s">
        <v>147</v>
      </c>
      <c r="BA51" t="s">
        <v>143</v>
      </c>
      <c r="BB51" t="s">
        <v>144</v>
      </c>
      <c r="BC51" t="s">
        <v>143</v>
      </c>
      <c r="BD51" t="s">
        <v>147</v>
      </c>
      <c r="BE51" t="s">
        <v>143</v>
      </c>
      <c r="BF51" t="s">
        <v>147</v>
      </c>
      <c r="BG51" t="s">
        <v>143</v>
      </c>
      <c r="BH51" t="s">
        <v>144</v>
      </c>
      <c r="BI51" t="s">
        <v>143</v>
      </c>
      <c r="BJ51" t="s">
        <v>144</v>
      </c>
      <c r="BK51" t="s">
        <v>146</v>
      </c>
      <c r="BL51" t="s">
        <v>147</v>
      </c>
      <c r="BM51" t="s">
        <v>146</v>
      </c>
      <c r="BN51" t="s">
        <v>147</v>
      </c>
      <c r="BO51" t="s">
        <v>143</v>
      </c>
      <c r="BP51" t="s">
        <v>147</v>
      </c>
      <c r="BQ51" t="s">
        <v>146</v>
      </c>
      <c r="BR51" t="s">
        <v>147</v>
      </c>
      <c r="BS51" t="s">
        <v>146</v>
      </c>
      <c r="BT51" t="s">
        <v>147</v>
      </c>
      <c r="BU51" t="s">
        <v>143</v>
      </c>
      <c r="BV51" t="s">
        <v>145</v>
      </c>
      <c r="BW51" t="s">
        <v>143</v>
      </c>
      <c r="BX51" t="s">
        <v>145</v>
      </c>
      <c r="BY51" t="s">
        <v>146</v>
      </c>
      <c r="BZ51" t="s">
        <v>147</v>
      </c>
      <c r="CA51" t="s">
        <v>146</v>
      </c>
      <c r="CB51" t="s">
        <v>147</v>
      </c>
      <c r="CC51" t="s">
        <v>143</v>
      </c>
      <c r="CD51" t="s">
        <v>145</v>
      </c>
      <c r="CE51" t="s">
        <v>143</v>
      </c>
      <c r="CF51" t="s">
        <v>145</v>
      </c>
      <c r="CG51" t="s">
        <v>146</v>
      </c>
      <c r="CH51" t="s">
        <v>147</v>
      </c>
      <c r="CI51" t="s">
        <v>143</v>
      </c>
      <c r="CJ51" t="s">
        <v>145</v>
      </c>
      <c r="CK51" t="s">
        <v>143</v>
      </c>
      <c r="CL51" t="s">
        <v>147</v>
      </c>
      <c r="CM51" t="s">
        <v>143</v>
      </c>
      <c r="CN51" t="s">
        <v>145</v>
      </c>
      <c r="CO51" t="s">
        <v>143</v>
      </c>
      <c r="CP51" t="s">
        <v>144</v>
      </c>
      <c r="CQ51" t="s">
        <v>146</v>
      </c>
      <c r="CR51" t="s">
        <v>147</v>
      </c>
      <c r="CS51" t="s">
        <v>143</v>
      </c>
      <c r="CT51" t="s">
        <v>145</v>
      </c>
      <c r="CU51" t="s">
        <v>146</v>
      </c>
      <c r="CV51" t="s">
        <v>147</v>
      </c>
      <c r="CW51" t="s">
        <v>143</v>
      </c>
      <c r="CX51" t="s">
        <v>145</v>
      </c>
      <c r="CY51" t="s">
        <v>146</v>
      </c>
      <c r="CZ51" t="s">
        <v>147</v>
      </c>
      <c r="DA51" t="s">
        <v>146</v>
      </c>
      <c r="DB51" t="s">
        <v>147</v>
      </c>
      <c r="DC51" t="s">
        <v>143</v>
      </c>
      <c r="DD51" t="s">
        <v>147</v>
      </c>
      <c r="DE51" t="s">
        <v>146</v>
      </c>
      <c r="DF51" t="s">
        <v>147</v>
      </c>
      <c r="DG51" t="s">
        <v>143</v>
      </c>
      <c r="DH51" t="s">
        <v>145</v>
      </c>
      <c r="DI51" t="s">
        <v>146</v>
      </c>
      <c r="DJ51" t="s">
        <v>147</v>
      </c>
      <c r="DK51" t="s">
        <v>146</v>
      </c>
      <c r="DL51" t="s">
        <v>147</v>
      </c>
      <c r="DM51" t="s">
        <v>146</v>
      </c>
      <c r="DN51" t="s">
        <v>147</v>
      </c>
      <c r="DO51" t="s">
        <v>143</v>
      </c>
      <c r="DP51" t="s">
        <v>147</v>
      </c>
      <c r="DQ51" t="s">
        <v>143</v>
      </c>
      <c r="DR51" t="s">
        <v>147</v>
      </c>
      <c r="DS51" t="s">
        <v>146</v>
      </c>
      <c r="DT51" t="s">
        <v>147</v>
      </c>
      <c r="DU51" t="s">
        <v>143</v>
      </c>
      <c r="DV51" t="s">
        <v>147</v>
      </c>
      <c r="DW51" t="s">
        <v>146</v>
      </c>
      <c r="DX51" t="s">
        <v>147</v>
      </c>
      <c r="DY51" t="s">
        <v>146</v>
      </c>
      <c r="DZ51" t="s">
        <v>147</v>
      </c>
      <c r="EA51" t="s">
        <v>143</v>
      </c>
      <c r="EB51" t="s">
        <v>147</v>
      </c>
      <c r="EC51" t="s">
        <v>146</v>
      </c>
      <c r="ED51" t="s">
        <v>147</v>
      </c>
      <c r="EE51" t="s">
        <v>143</v>
      </c>
      <c r="EF51" t="s">
        <v>147</v>
      </c>
      <c r="EG51" t="s">
        <v>143</v>
      </c>
      <c r="EH51" t="s">
        <v>145</v>
      </c>
      <c r="EI51" t="s">
        <v>146</v>
      </c>
      <c r="EJ51" t="s">
        <v>147</v>
      </c>
      <c r="EK51" t="s">
        <v>143</v>
      </c>
      <c r="EL51" t="s">
        <v>145</v>
      </c>
      <c r="EM51" t="s">
        <v>143</v>
      </c>
      <c r="EN51" t="s">
        <v>145</v>
      </c>
      <c r="EO51" t="s">
        <v>146</v>
      </c>
      <c r="EP51" t="s">
        <v>147</v>
      </c>
      <c r="EQ51" t="s">
        <v>146</v>
      </c>
      <c r="ER51" t="s">
        <v>147</v>
      </c>
      <c r="ES51" t="s">
        <v>143</v>
      </c>
      <c r="ET51" t="s">
        <v>147</v>
      </c>
      <c r="EU51" t="s">
        <v>143</v>
      </c>
      <c r="EV51" t="s">
        <v>147</v>
      </c>
      <c r="EW51" t="s">
        <v>143</v>
      </c>
      <c r="EX51" t="s">
        <v>144</v>
      </c>
      <c r="EY51" t="s">
        <v>143</v>
      </c>
      <c r="EZ51" t="s">
        <v>145</v>
      </c>
    </row>
    <row r="52" spans="1:156" x14ac:dyDescent="0.2">
      <c r="E52" t="s">
        <v>144</v>
      </c>
      <c r="G52" s="3">
        <f>COUNTIF(G$2:G$51,$E$52)/50</f>
        <v>0.84</v>
      </c>
      <c r="I52" s="3">
        <f t="shared" ref="I52" si="0">COUNTIF(I$2:I$51,$E$52)/50</f>
        <v>0.3</v>
      </c>
      <c r="K52" s="3">
        <f t="shared" ref="K52" si="1">COUNTIF(K$2:K$51,$E$52)/50</f>
        <v>0.22</v>
      </c>
      <c r="M52" s="3">
        <f t="shared" ref="M52" si="2">COUNTIF(M$2:M$51,$E$52)/50</f>
        <v>0.82</v>
      </c>
      <c r="O52" s="3">
        <f t="shared" ref="O52" si="3">COUNTIF(O$2:O$51,$E$52)/50</f>
        <v>0.8</v>
      </c>
      <c r="Q52" s="3">
        <f t="shared" ref="Q52" si="4">COUNTIF(Q$2:Q$51,$E$52)/50</f>
        <v>0.54</v>
      </c>
      <c r="S52" s="3">
        <f t="shared" ref="S52" si="5">COUNTIF(S$2:S$51,$E$52)/50</f>
        <v>0.8</v>
      </c>
      <c r="U52" s="3">
        <f t="shared" ref="U52" si="6">COUNTIF(U$2:U$51,$E$52)/50</f>
        <v>0.64</v>
      </c>
      <c r="W52" s="3">
        <f t="shared" ref="W52" si="7">COUNTIF(W$2:W$51,$E$52)/50</f>
        <v>0.66</v>
      </c>
      <c r="Y52" s="3">
        <f t="shared" ref="Y52" si="8">COUNTIF(Y$2:Y$51,$E$52)/50</f>
        <v>0.64</v>
      </c>
      <c r="AA52" s="3">
        <f t="shared" ref="AA52" si="9">COUNTIF(AA$2:AA$51,$E$52)/50</f>
        <v>0.66</v>
      </c>
      <c r="AC52" s="3">
        <f t="shared" ref="AC52" si="10">COUNTIF(AC$2:AC$51,$E$52)/50</f>
        <v>0.64</v>
      </c>
      <c r="AE52" s="3">
        <f t="shared" ref="AE52" si="11">COUNTIF(AE$2:AE$51,$E$52)/50</f>
        <v>0.3</v>
      </c>
      <c r="AG52" s="3">
        <f t="shared" ref="AG52" si="12">COUNTIF(AG$2:AG$51,$E$52)/50</f>
        <v>0.8</v>
      </c>
      <c r="AI52" s="3">
        <f t="shared" ref="AI52" si="13">COUNTIF(AI$2:AI$51,$E$52)/50</f>
        <v>0</v>
      </c>
      <c r="AK52" s="3">
        <f t="shared" ref="AK52" si="14">COUNTIF(AK$2:AK$51,$E$52)/50</f>
        <v>0</v>
      </c>
      <c r="AM52" s="3">
        <f t="shared" ref="AM52" si="15">COUNTIF(AM$2:AM$51,$E$52)/50</f>
        <v>0</v>
      </c>
      <c r="AO52" s="3">
        <f t="shared" ref="AO52" si="16">COUNTIF(AO$2:AO$51,$E$52)/50</f>
        <v>0</v>
      </c>
      <c r="AQ52" s="3">
        <f t="shared" ref="AQ52" si="17">COUNTIF(AQ$2:AQ$51,$E$52)/50</f>
        <v>0.26</v>
      </c>
      <c r="AS52" s="3">
        <f t="shared" ref="AS52" si="18">COUNTIF(AS$2:AS$51,$E$52)/50</f>
        <v>0.12</v>
      </c>
      <c r="AU52" s="3">
        <f t="shared" ref="AU52" si="19">COUNTIF(AU$2:AU$51,$E$52)/50</f>
        <v>0.64</v>
      </c>
      <c r="AX52" s="3">
        <f t="shared" ref="AX52" si="20">COUNTIF(AX$2:AX$51,$E$52)/50</f>
        <v>0.44</v>
      </c>
      <c r="AZ52" s="3">
        <f t="shared" ref="AZ52" si="21">COUNTIF(AZ$2:AZ$51,$E$52)/50</f>
        <v>0.9</v>
      </c>
      <c r="BB52" s="3">
        <f t="shared" ref="BB52" si="22">COUNTIF(BB$2:BB$51,$E$52)/50</f>
        <v>1</v>
      </c>
      <c r="BD52" s="3">
        <f t="shared" ref="BD52" si="23">COUNTIF(BD$2:BD$51,$E$52)/50</f>
        <v>0.26</v>
      </c>
      <c r="BF52" s="3">
        <f t="shared" ref="BF52" si="24">COUNTIF(BF$2:BF$51,$E$52)/50</f>
        <v>0.26</v>
      </c>
      <c r="BH52" s="3">
        <f t="shared" ref="BH52" si="25">COUNTIF(BH$2:BH$51,$E$52)/50</f>
        <v>1</v>
      </c>
      <c r="BJ52" s="3">
        <f t="shared" ref="BJ52" si="26">COUNTIF(BJ$2:BJ$51,$E$52)/50</f>
        <v>0.7</v>
      </c>
      <c r="BL52" s="3">
        <f t="shared" ref="BL52" si="27">COUNTIF(BL$2:BL$51,$E$52)/50</f>
        <v>0.57999999999999996</v>
      </c>
      <c r="BN52" s="3">
        <f t="shared" ref="BN52" si="28">COUNTIF(BN$2:BN$51,$E$52)/50</f>
        <v>0.56000000000000005</v>
      </c>
      <c r="BP52" s="3">
        <f t="shared" ref="BP52" si="29">COUNTIF(BP$2:BP$51,$E$52)/50</f>
        <v>0.9</v>
      </c>
      <c r="BR52" s="3">
        <f t="shared" ref="BR52" si="30">COUNTIF(BR$2:BR$51,$E$52)/50</f>
        <v>0.32</v>
      </c>
      <c r="BT52" s="3">
        <f t="shared" ref="BT52" si="31">COUNTIF(BT$2:BT$51,$E$52)/50</f>
        <v>0.24</v>
      </c>
      <c r="BV52" s="3">
        <f t="shared" ref="BV52" si="32">COUNTIF(BV$2:BV$51,$E$52)/50</f>
        <v>0.28000000000000003</v>
      </c>
      <c r="BX52" s="3">
        <f t="shared" ref="BX52" si="33">COUNTIF(BX$2:BX$51,$E$52)/50</f>
        <v>0.9</v>
      </c>
      <c r="BZ52" s="3">
        <f t="shared" ref="BZ52" si="34">COUNTIF(BZ$2:BZ$51,$E$52)/50</f>
        <v>0.7</v>
      </c>
      <c r="CB52" s="3">
        <f t="shared" ref="CB52" si="35">COUNTIF(CB$2:CB$51,$E$52)/50</f>
        <v>0.62</v>
      </c>
      <c r="CD52" s="3">
        <f t="shared" ref="CD52" si="36">COUNTIF(CD$2:CD$51,$E$52)/50</f>
        <v>0.9</v>
      </c>
      <c r="CF52" s="3">
        <f t="shared" ref="CF52" si="37">COUNTIF(CF$2:CF$51,$E$52)/50</f>
        <v>0.16</v>
      </c>
      <c r="CH52" s="3">
        <f t="shared" ref="CH52" si="38">COUNTIF(CH$2:CH$51,$E$52)/50</f>
        <v>0.14000000000000001</v>
      </c>
      <c r="CJ52" s="3">
        <f t="shared" ref="CJ52" si="39">COUNTIF(CJ$2:CJ$51,$E$52)/50</f>
        <v>0.22</v>
      </c>
      <c r="CL52" s="3">
        <f t="shared" ref="CL52" si="40">COUNTIF(CL$2:CL$51,$E$52)/50</f>
        <v>0.9</v>
      </c>
      <c r="CN52" s="3">
        <f t="shared" ref="CN52" si="41">COUNTIF(CN$2:CN$51,$E$52)/50</f>
        <v>0.54</v>
      </c>
      <c r="CP52" s="3">
        <f t="shared" ref="CP52" si="42">COUNTIF(CP$2:CP$51,$E$52)/50</f>
        <v>1</v>
      </c>
      <c r="CR52" s="3">
        <f t="shared" ref="CR52" si="43">COUNTIF(CR$2:CR$51,$E$52)/50</f>
        <v>0.12</v>
      </c>
      <c r="CT52" s="3">
        <f t="shared" ref="CT52" si="44">COUNTIF(CT$2:CT$51,$E$52)/50</f>
        <v>0.24</v>
      </c>
      <c r="CV52" s="3">
        <f t="shared" ref="CV52" si="45">COUNTIF(CV$2:CV$51,$E$52)/50</f>
        <v>0.12</v>
      </c>
      <c r="CX52" s="3">
        <f t="shared" ref="CX52" si="46">COUNTIF(CX$2:CX$51,$E$52)/50</f>
        <v>0.26</v>
      </c>
      <c r="CZ52" s="3">
        <f t="shared" ref="CZ52" si="47">COUNTIF(CZ$2:CZ$51,$E$52)/50</f>
        <v>0.26</v>
      </c>
      <c r="DB52" s="3">
        <f t="shared" ref="DB52" si="48">COUNTIF(DB$2:DB$51,$E$52)/50</f>
        <v>0.06</v>
      </c>
      <c r="DD52" s="3">
        <f t="shared" ref="DD52" si="49">COUNTIF(DD$2:DD$51,$E$52)/50</f>
        <v>0.9</v>
      </c>
      <c r="DF52" s="3">
        <f t="shared" ref="DF52" si="50">COUNTIF(DF$2:DF$51,$E$52)/50</f>
        <v>0.1</v>
      </c>
      <c r="DH52" s="3">
        <f t="shared" ref="DH52" si="51">COUNTIF(DH$2:DH$51,$E$52)/50</f>
        <v>0.62</v>
      </c>
      <c r="DJ52" s="3">
        <f t="shared" ref="DJ52" si="52">COUNTIF(DJ$2:DJ$51,$E$52)/50</f>
        <v>0.26</v>
      </c>
      <c r="DL52" s="3">
        <f t="shared" ref="DL52" si="53">COUNTIF(DL$2:DL$51,$E$52)/50</f>
        <v>0.24</v>
      </c>
      <c r="DN52" s="3">
        <f t="shared" ref="DN52" si="54">COUNTIF(DN$2:DN$51,$E$52)/50</f>
        <v>0.26</v>
      </c>
      <c r="DP52" s="3">
        <f t="shared" ref="DP52" si="55">COUNTIF(DP$2:DP$51,$E$52)/50</f>
        <v>0.57999999999999996</v>
      </c>
      <c r="DR52" s="3">
        <f t="shared" ref="DR52" si="56">COUNTIF(DR$2:DR$51,$E$52)/50</f>
        <v>0.18</v>
      </c>
      <c r="DT52" s="3">
        <f t="shared" ref="DT52" si="57">COUNTIF(DT$2:DT$51,$E$52)/50</f>
        <v>0.12</v>
      </c>
      <c r="DV52" s="3">
        <f t="shared" ref="DV52" si="58">COUNTIF(DV$2:DV$51,$E$52)/50</f>
        <v>0.34</v>
      </c>
      <c r="DX52" s="3">
        <f t="shared" ref="DX52" si="59">COUNTIF(DX$2:DX$51,$E$52)/50</f>
        <v>0.32</v>
      </c>
      <c r="DZ52" s="3">
        <f t="shared" ref="DZ52" si="60">COUNTIF(DZ$2:DZ$51,$E$52)/50</f>
        <v>0.14000000000000001</v>
      </c>
      <c r="EB52" s="3">
        <f t="shared" ref="EB52" si="61">COUNTIF(EB$2:EB$51,$E$52)/50</f>
        <v>0.8</v>
      </c>
      <c r="ED52" s="3">
        <f t="shared" ref="ED52" si="62">COUNTIF(ED$2:ED$51,$E$52)/50</f>
        <v>0.2</v>
      </c>
      <c r="EF52" s="3">
        <f t="shared" ref="EF52" si="63">COUNTIF(EF$2:EF$51,$E$52)/50</f>
        <v>0.6</v>
      </c>
      <c r="EH52" s="3">
        <f t="shared" ref="EH52" si="64">COUNTIF(EH$2:EH$51,$E$52)/50</f>
        <v>0.68</v>
      </c>
      <c r="EJ52" s="3">
        <f t="shared" ref="EJ52" si="65">COUNTIF(EJ$2:EJ$51,$E$52)/50</f>
        <v>0.48</v>
      </c>
      <c r="EL52" s="3">
        <f t="shared" ref="EL52" si="66">COUNTIF(EL$2:EL$51,$E$52)/50</f>
        <v>0.48</v>
      </c>
      <c r="EN52" s="3">
        <f t="shared" ref="EN52" si="67">COUNTIF(EN$2:EN$51,$E$52)/50</f>
        <v>0.68</v>
      </c>
      <c r="EP52" s="3">
        <f t="shared" ref="EP52" si="68">COUNTIF(EP$2:EP$51,$E$52)/50</f>
        <v>0.48</v>
      </c>
      <c r="ER52" s="3">
        <f t="shared" ref="ER52" si="69">COUNTIF(ER$2:ER$51,$E$52)/50</f>
        <v>0.48</v>
      </c>
      <c r="ET52" s="3">
        <f t="shared" ref="ET52" si="70">COUNTIF(ET$2:ET$51,$E$52)/50</f>
        <v>0.8</v>
      </c>
      <c r="EV52" s="3">
        <f t="shared" ref="EV52" si="71">COUNTIF(EV$2:EV$51,$E$52)/50</f>
        <v>0.02</v>
      </c>
      <c r="EX52" s="3">
        <f t="shared" ref="EX52" si="72">COUNTIF(EX$2:EX$51,$E$52)/50</f>
        <v>1</v>
      </c>
      <c r="EZ52" s="3">
        <f t="shared" ref="EZ52" si="73">COUNTIF(EZ$2:EZ$51,$E$52)/50</f>
        <v>0.1</v>
      </c>
    </row>
    <row r="53" spans="1:156" x14ac:dyDescent="0.2">
      <c r="E53" t="s">
        <v>145</v>
      </c>
      <c r="G53" s="3">
        <f>COUNTIF(G$2:G$51,$E$53)/50</f>
        <v>0.04</v>
      </c>
      <c r="I53" s="3">
        <f t="shared" ref="I53" si="74">COUNTIF(I$2:I$51,$E$53)/50</f>
        <v>0.14000000000000001</v>
      </c>
      <c r="K53" s="3">
        <f t="shared" ref="K53" si="75">COUNTIF(K$2:K$51,$E$53)/50</f>
        <v>0.28000000000000003</v>
      </c>
      <c r="M53" s="3">
        <f t="shared" ref="M53" si="76">COUNTIF(M$2:M$51,$E$53)/50</f>
        <v>0.18</v>
      </c>
      <c r="O53" s="3">
        <f t="shared" ref="O53" si="77">COUNTIF(O$2:O$51,$E$53)/50</f>
        <v>0.2</v>
      </c>
      <c r="Q53" s="3">
        <f t="shared" ref="Q53" si="78">COUNTIF(Q$2:Q$51,$E$53)/50</f>
        <v>0.12</v>
      </c>
      <c r="S53" s="3">
        <f t="shared" ref="S53" si="79">COUNTIF(S$2:S$51,$E$53)/50</f>
        <v>0</v>
      </c>
      <c r="U53" s="3">
        <f t="shared" ref="U53" si="80">COUNTIF(U$2:U$51,$E$53)/50</f>
        <v>0</v>
      </c>
      <c r="W53" s="3">
        <f t="shared" ref="W53" si="81">COUNTIF(W$2:W$51,$E$53)/50</f>
        <v>0</v>
      </c>
      <c r="Y53" s="3">
        <f t="shared" ref="Y53" si="82">COUNTIF(Y$2:Y$51,$E$53)/50</f>
        <v>0</v>
      </c>
      <c r="AA53" s="3">
        <f t="shared" ref="AA53" si="83">COUNTIF(AA$2:AA$51,$E$53)/50</f>
        <v>0</v>
      </c>
      <c r="AC53" s="3">
        <f t="shared" ref="AC53" si="84">COUNTIF(AC$2:AC$51,$E$53)/50</f>
        <v>0</v>
      </c>
      <c r="AE53" s="3">
        <f t="shared" ref="AE53" si="85">COUNTIF(AE$2:AE$51,$E$53)/50</f>
        <v>0.54</v>
      </c>
      <c r="AG53" s="3">
        <f t="shared" ref="AG53" si="86">COUNTIF(AG$2:AG$51,$E$53)/50</f>
        <v>0</v>
      </c>
      <c r="AI53" s="3">
        <f t="shared" ref="AI53" si="87">COUNTIF(AI$2:AI$51,$E$53)/50</f>
        <v>0</v>
      </c>
      <c r="AK53" s="3">
        <f t="shared" ref="AK53" si="88">COUNTIF(AK$2:AK$51,$E$53)/50</f>
        <v>0</v>
      </c>
      <c r="AM53" s="3">
        <f t="shared" ref="AM53" si="89">COUNTIF(AM$2:AM$51,$E$53)/50</f>
        <v>0</v>
      </c>
      <c r="AO53" s="3">
        <f t="shared" ref="AO53" si="90">COUNTIF(AO$2:AO$51,$E$53)/50</f>
        <v>0</v>
      </c>
      <c r="AQ53" s="3">
        <f t="shared" ref="AQ53" si="91">COUNTIF(AQ$2:AQ$51,$E$53)/50</f>
        <v>0.74</v>
      </c>
      <c r="AS53" s="3">
        <f t="shared" ref="AS53" si="92">COUNTIF(AS$2:AS$51,$E$53)/50</f>
        <v>0.1</v>
      </c>
      <c r="AU53" s="3">
        <f t="shared" ref="AU53" si="93">COUNTIF(AU$2:AU$51,$E$53)/50</f>
        <v>0.32</v>
      </c>
      <c r="AX53" s="3">
        <f t="shared" ref="AX53" si="94">COUNTIF(AX$2:AX$51,$E$53)/50</f>
        <v>0.24</v>
      </c>
      <c r="AZ53" s="3">
        <f t="shared" ref="AZ53" si="95">COUNTIF(AZ$2:AZ$51,$E$53)/50</f>
        <v>0</v>
      </c>
      <c r="BB53" s="3">
        <f t="shared" ref="BB53" si="96">COUNTIF(BB$2:BB$51,$E$53)/50</f>
        <v>0</v>
      </c>
      <c r="BD53" s="3">
        <f t="shared" ref="BD53" si="97">COUNTIF(BD$2:BD$51,$E$53)/50</f>
        <v>0.02</v>
      </c>
      <c r="BF53" s="3">
        <f t="shared" ref="BF53" si="98">COUNTIF(BF$2:BF$51,$E$53)/50</f>
        <v>0.12</v>
      </c>
      <c r="BH53" s="3">
        <f t="shared" ref="BH53" si="99">COUNTIF(BH$2:BH$51,$E$53)/50</f>
        <v>0</v>
      </c>
      <c r="BJ53" s="3">
        <f t="shared" ref="BJ53" si="100">COUNTIF(BJ$2:BJ$51,$E$53)/50</f>
        <v>0.02</v>
      </c>
      <c r="BL53" s="3">
        <f t="shared" ref="BL53" si="101">COUNTIF(BL$2:BL$51,$E$53)/50</f>
        <v>0.02</v>
      </c>
      <c r="BN53" s="3">
        <f t="shared" ref="BN53" si="102">COUNTIF(BN$2:BN$51,$E$53)/50</f>
        <v>0.04</v>
      </c>
      <c r="BP53" s="3">
        <f t="shared" ref="BP53" si="103">COUNTIF(BP$2:BP$51,$E$53)/50</f>
        <v>0</v>
      </c>
      <c r="BR53" s="3">
        <f t="shared" ref="BR53" si="104">COUNTIF(BR$2:BR$51,$E$53)/50</f>
        <v>0.26</v>
      </c>
      <c r="BT53" s="3">
        <f t="shared" ref="BT53" si="105">COUNTIF(BT$2:BT$51,$E$53)/50</f>
        <v>0.24</v>
      </c>
      <c r="BV53" s="3">
        <f t="shared" ref="BV53" si="106">COUNTIF(BV$2:BV$51,$E$53)/50</f>
        <v>0.42</v>
      </c>
      <c r="BX53" s="3">
        <f t="shared" ref="BX53" si="107">COUNTIF(BX$2:BX$51,$E$53)/50</f>
        <v>0.1</v>
      </c>
      <c r="BZ53" s="3">
        <f t="shared" ref="BZ53" si="108">COUNTIF(BZ$2:BZ$51,$E$53)/50</f>
        <v>0</v>
      </c>
      <c r="CB53" s="3">
        <f t="shared" ref="CB53" si="109">COUNTIF(CB$2:CB$51,$E$53)/50</f>
        <v>0.02</v>
      </c>
      <c r="CD53" s="3">
        <f t="shared" ref="CD53" si="110">COUNTIF(CD$2:CD$51,$E$53)/50</f>
        <v>0.1</v>
      </c>
      <c r="CF53" s="3">
        <f t="shared" ref="CF53" si="111">COUNTIF(CF$2:CF$51,$E$53)/50</f>
        <v>0.64</v>
      </c>
      <c r="CH53" s="3">
        <f t="shared" ref="CH53" si="112">COUNTIF(CH$2:CH$51,$E$53)/50</f>
        <v>0.26</v>
      </c>
      <c r="CJ53" s="3">
        <f t="shared" ref="CJ53" si="113">COUNTIF(CJ$2:CJ$51,$E$53)/50</f>
        <v>0.56000000000000005</v>
      </c>
      <c r="CL53" s="3">
        <f t="shared" ref="CL53" si="114">COUNTIF(CL$2:CL$51,$E$53)/50</f>
        <v>0</v>
      </c>
      <c r="CN53" s="3">
        <f t="shared" ref="CN53" si="115">COUNTIF(CN$2:CN$51,$E$53)/50</f>
        <v>0.46</v>
      </c>
      <c r="CP53" s="3">
        <f t="shared" ref="CP53" si="116">COUNTIF(CP$2:CP$51,$E$53)/50</f>
        <v>0</v>
      </c>
      <c r="CR53" s="3">
        <f t="shared" ref="CR53" si="117">COUNTIF(CR$2:CR$51,$E$53)/50</f>
        <v>0.4</v>
      </c>
      <c r="CT53" s="3">
        <f t="shared" ref="CT53" si="118">COUNTIF(CT$2:CT$51,$E$53)/50</f>
        <v>0.48</v>
      </c>
      <c r="CV53" s="3">
        <f t="shared" ref="CV53" si="119">COUNTIF(CV$2:CV$51,$E$53)/50</f>
        <v>0.48</v>
      </c>
      <c r="CX53" s="3">
        <f t="shared" ref="CX53" si="120">COUNTIF(CX$2:CX$51,$E$53)/50</f>
        <v>0.64</v>
      </c>
      <c r="CZ53" s="3">
        <f t="shared" ref="CZ53" si="121">COUNTIF(CZ$2:CZ$51,$E$53)/50</f>
        <v>0.64</v>
      </c>
      <c r="DB53" s="3">
        <f t="shared" ref="DB53" si="122">COUNTIF(DB$2:DB$51,$E$53)/50</f>
        <v>0.78</v>
      </c>
      <c r="DD53" s="3">
        <f t="shared" ref="DD53" si="123">COUNTIF(DD$2:DD$51,$E$53)/50</f>
        <v>0</v>
      </c>
      <c r="DF53" s="3">
        <f t="shared" ref="DF53" si="124">COUNTIF(DF$2:DF$51,$E$53)/50</f>
        <v>0.14000000000000001</v>
      </c>
      <c r="DH53" s="3">
        <f t="shared" ref="DH53" si="125">COUNTIF(DH$2:DH$51,$E$53)/50</f>
        <v>0.36</v>
      </c>
      <c r="DJ53" s="3">
        <f t="shared" ref="DJ53" si="126">COUNTIF(DJ$2:DJ$51,$E$53)/50</f>
        <v>0</v>
      </c>
      <c r="DL53" s="3">
        <f t="shared" ref="DL53" si="127">COUNTIF(DL$2:DL$51,$E$53)/50</f>
        <v>0.08</v>
      </c>
      <c r="DN53" s="3">
        <f t="shared" ref="DN53" si="128">COUNTIF(DN$2:DN$51,$E$53)/50</f>
        <v>0.24</v>
      </c>
      <c r="DP53" s="3">
        <f t="shared" ref="DP53" si="129">COUNTIF(DP$2:DP$51,$E$53)/50</f>
        <v>0</v>
      </c>
      <c r="DR53" s="3">
        <f t="shared" ref="DR53" si="130">COUNTIF(DR$2:DR$51,$E$53)/50</f>
        <v>0.56000000000000005</v>
      </c>
      <c r="DT53" s="3">
        <f t="shared" ref="DT53" si="131">COUNTIF(DT$2:DT$51,$E$53)/50</f>
        <v>0.42</v>
      </c>
      <c r="DV53" s="3">
        <f t="shared" ref="DV53" si="132">COUNTIF(DV$2:DV$51,$E$53)/50</f>
        <v>0.4</v>
      </c>
      <c r="DX53" s="3">
        <f t="shared" ref="DX53" si="133">COUNTIF(DX$2:DX$51,$E$53)/50</f>
        <v>0.22</v>
      </c>
      <c r="DZ53" s="3">
        <f t="shared" ref="DZ53" si="134">COUNTIF(DZ$2:DZ$51,$E$53)/50</f>
        <v>0.38</v>
      </c>
      <c r="EB53" s="3">
        <f t="shared" ref="EB53" si="135">COUNTIF(EB$2:EB$51,$E$53)/50</f>
        <v>0</v>
      </c>
      <c r="ED53" s="3">
        <f t="shared" ref="ED53" si="136">COUNTIF(ED$2:ED$51,$E$53)/50</f>
        <v>0.6</v>
      </c>
      <c r="EF53" s="3">
        <f t="shared" ref="EF53" si="137">COUNTIF(EF$2:EF$51,$E$53)/50</f>
        <v>0</v>
      </c>
      <c r="EH53" s="3">
        <f t="shared" ref="EH53" si="138">COUNTIF(EH$2:EH$51,$E$53)/50</f>
        <v>0.14000000000000001</v>
      </c>
      <c r="EJ53" s="3">
        <f t="shared" ref="EJ53" si="139">COUNTIF(EJ$2:EJ$51,$E$53)/50</f>
        <v>0.04</v>
      </c>
      <c r="EL53" s="3">
        <f t="shared" ref="EL53" si="140">COUNTIF(EL$2:EL$51,$E$53)/50</f>
        <v>0.12</v>
      </c>
      <c r="EN53" s="3">
        <f t="shared" ref="EN53" si="141">COUNTIF(EN$2:EN$51,$E$53)/50</f>
        <v>0.12</v>
      </c>
      <c r="EP53" s="3">
        <f t="shared" ref="EP53" si="142">COUNTIF(EP$2:EP$51,$E$53)/50</f>
        <v>0.06</v>
      </c>
      <c r="ER53" s="3">
        <f t="shared" ref="ER53" si="143">COUNTIF(ER$2:ER$51,$E$53)/50</f>
        <v>0</v>
      </c>
      <c r="ET53" s="3">
        <f t="shared" ref="ET53" si="144">COUNTIF(ET$2:ET$51,$E$53)/50</f>
        <v>0</v>
      </c>
      <c r="EV53" s="3">
        <f t="shared" ref="EV53" si="145">COUNTIF(EV$2:EV$51,$E$53)/50</f>
        <v>0.34</v>
      </c>
      <c r="EX53" s="3">
        <f t="shared" ref="EX53" si="146">COUNTIF(EX$2:EX$51,$E$53)/50</f>
        <v>0</v>
      </c>
      <c r="EZ53" s="3">
        <f t="shared" ref="EZ53" si="147">COUNTIF(EZ$2:EZ$51,$E$53)/50</f>
        <v>0.7</v>
      </c>
    </row>
    <row r="54" spans="1:156" x14ac:dyDescent="0.2">
      <c r="E54" t="s">
        <v>147</v>
      </c>
      <c r="G54" s="3">
        <f>COUNTIF(G$2:G$51,$E$54)/50</f>
        <v>0.12</v>
      </c>
      <c r="I54" s="3">
        <f t="shared" ref="I54" si="148">COUNTIF(I$2:I$51,$E$54)/50</f>
        <v>0.56000000000000005</v>
      </c>
      <c r="K54" s="3">
        <f t="shared" ref="K54" si="149">COUNTIF(K$2:K$51,$E$54)/50</f>
        <v>0.5</v>
      </c>
      <c r="M54" s="3">
        <f t="shared" ref="M54" si="150">COUNTIF(M$2:M$51,$E$54)/50</f>
        <v>0</v>
      </c>
      <c r="O54" s="3">
        <f t="shared" ref="O54" si="151">COUNTIF(O$2:O$51,$E$54)/50</f>
        <v>0</v>
      </c>
      <c r="Q54" s="3">
        <f t="shared" ref="Q54" si="152">COUNTIF(Q$2:Q$51,$E$54)/50</f>
        <v>0.34</v>
      </c>
      <c r="S54" s="3">
        <f t="shared" ref="S54" si="153">COUNTIF(S$2:S$51,$E$54)/50</f>
        <v>0.2</v>
      </c>
      <c r="U54" s="3">
        <f t="shared" ref="U54" si="154">COUNTIF(U$2:U$51,$E$54)/50</f>
        <v>0.36</v>
      </c>
      <c r="W54" s="3">
        <f t="shared" ref="W54" si="155">COUNTIF(W$2:W$51,$E$54)/50</f>
        <v>0.34</v>
      </c>
      <c r="Y54" s="3">
        <f t="shared" ref="Y54" si="156">COUNTIF(Y$2:Y$51,$E$54)/50</f>
        <v>0.36</v>
      </c>
      <c r="AA54" s="3">
        <f t="shared" ref="AA54" si="157">COUNTIF(AA$2:AA$51,$E$54)/50</f>
        <v>0.34</v>
      </c>
      <c r="AC54" s="3">
        <f t="shared" ref="AC54" si="158">COUNTIF(AC$2:AC$51,$E$54)/50</f>
        <v>0.36</v>
      </c>
      <c r="AE54" s="3">
        <f t="shared" ref="AE54" si="159">COUNTIF(AE$2:AE$51,$E$54)/50</f>
        <v>0.16</v>
      </c>
      <c r="AG54" s="3">
        <f t="shared" ref="AG54" si="160">COUNTIF(AG$2:AG$51,$E$54)/50</f>
        <v>0.2</v>
      </c>
      <c r="AI54" s="3">
        <f t="shared" ref="AI54" si="161">COUNTIF(AI$2:AI$51,$E$54)/50</f>
        <v>0</v>
      </c>
      <c r="AK54" s="3">
        <f t="shared" ref="AK54" si="162">COUNTIF(AK$2:AK$51,$E$54)/50</f>
        <v>0</v>
      </c>
      <c r="AM54" s="3">
        <f t="shared" ref="AM54" si="163">COUNTIF(AM$2:AM$51,$E$54)/50</f>
        <v>0</v>
      </c>
      <c r="AO54" s="3">
        <f t="shared" ref="AO54" si="164">COUNTIF(AO$2:AO$51,$E$54)/50</f>
        <v>0</v>
      </c>
      <c r="AQ54" s="3">
        <f t="shared" ref="AQ54" si="165">COUNTIF(AQ$2:AQ$51,$E$54)/50</f>
        <v>0</v>
      </c>
      <c r="AS54" s="3">
        <f t="shared" ref="AS54" si="166">COUNTIF(AS$2:AS$51,$E$54)/50</f>
        <v>0.78</v>
      </c>
      <c r="AU54" s="3">
        <f t="shared" ref="AU54" si="167">COUNTIF(AU$2:AU$51,$E$54)/50</f>
        <v>0.04</v>
      </c>
      <c r="AX54" s="3">
        <f t="shared" ref="AX54" si="168">COUNTIF(AX$2:AX$51,$E$54)/50</f>
        <v>0.32</v>
      </c>
      <c r="AZ54" s="3">
        <f t="shared" ref="AZ54" si="169">COUNTIF(AZ$2:AZ$51,$E$54)/50</f>
        <v>0.1</v>
      </c>
      <c r="BB54" s="3">
        <f t="shared" ref="BB54" si="170">COUNTIF(BB$2:BB$51,$E$54)/50</f>
        <v>0</v>
      </c>
      <c r="BD54" s="3">
        <f t="shared" ref="BD54" si="171">COUNTIF(BD$2:BD$51,$E$54)/50</f>
        <v>0.72</v>
      </c>
      <c r="BF54" s="3">
        <f t="shared" ref="BF54" si="172">COUNTIF(BF$2:BF$51,$E$54)/50</f>
        <v>0.62</v>
      </c>
      <c r="BH54" s="3">
        <f t="shared" ref="BH54" si="173">COUNTIF(BH$2:BH$51,$E$54)/50</f>
        <v>0</v>
      </c>
      <c r="BJ54" s="3">
        <f t="shared" ref="BJ54" si="174">COUNTIF(BJ$2:BJ$51,$E$54)/50</f>
        <v>0.28000000000000003</v>
      </c>
      <c r="BL54" s="3">
        <f t="shared" ref="BL54" si="175">COUNTIF(BL$2:BL$51,$E$54)/50</f>
        <v>0.4</v>
      </c>
      <c r="BN54" s="3">
        <f t="shared" ref="BN54" si="176">COUNTIF(BN$2:BN$51,$E$54)/50</f>
        <v>0.4</v>
      </c>
      <c r="BP54" s="3">
        <f t="shared" ref="BP54" si="177">COUNTIF(BP$2:BP$51,$E$54)/50</f>
        <v>0.1</v>
      </c>
      <c r="BR54" s="3">
        <f t="shared" ref="BR54" si="178">COUNTIF(BR$2:BR$51,$E$54)/50</f>
        <v>0.42</v>
      </c>
      <c r="BT54" s="3">
        <f t="shared" ref="BT54" si="179">COUNTIF(BT$2:BT$51,$E$54)/50</f>
        <v>0.52</v>
      </c>
      <c r="BV54" s="3">
        <f t="shared" ref="BV54" si="180">COUNTIF(BV$2:BV$51,$E$54)/50</f>
        <v>0.3</v>
      </c>
      <c r="BX54" s="3">
        <f t="shared" ref="BX54" si="181">COUNTIF(BX$2:BX$51,$E$54)/50</f>
        <v>0</v>
      </c>
      <c r="BZ54" s="3">
        <f t="shared" ref="BZ54" si="182">COUNTIF(BZ$2:BZ$51,$E$54)/50</f>
        <v>0.3</v>
      </c>
      <c r="CB54" s="3">
        <f t="shared" ref="CB54" si="183">COUNTIF(CB$2:CB$51,$E$54)/50</f>
        <v>0.36</v>
      </c>
      <c r="CD54" s="3">
        <f t="shared" ref="CD54" si="184">COUNTIF(CD$2:CD$51,$E$54)/50</f>
        <v>0</v>
      </c>
      <c r="CF54" s="3">
        <f t="shared" ref="CF54" si="185">COUNTIF(CF$2:CF$51,$E$54)/50</f>
        <v>0.2</v>
      </c>
      <c r="CH54" s="3">
        <f t="shared" ref="CH54" si="186">COUNTIF(CH$2:CH$51,$E$54)/50</f>
        <v>0.6</v>
      </c>
      <c r="CJ54" s="3">
        <f t="shared" ref="CJ54" si="187">COUNTIF(CJ$2:CJ$51,$E$54)/50</f>
        <v>0.22</v>
      </c>
      <c r="CL54" s="3">
        <f t="shared" ref="CL54" si="188">COUNTIF(CL$2:CL$51,$E$54)/50</f>
        <v>0.1</v>
      </c>
      <c r="CN54" s="3">
        <f t="shared" ref="CN54" si="189">COUNTIF(CN$2:CN$51,$E$54)/50</f>
        <v>0</v>
      </c>
      <c r="CP54" s="3">
        <f t="shared" ref="CP54" si="190">COUNTIF(CP$2:CP$51,$E$54)/50</f>
        <v>0</v>
      </c>
      <c r="CR54" s="3">
        <f t="shared" ref="CR54" si="191">COUNTIF(CR$2:CR$51,$E$54)/50</f>
        <v>0.48</v>
      </c>
      <c r="CT54" s="3">
        <f t="shared" ref="CT54" si="192">COUNTIF(CT$2:CT$51,$E$54)/50</f>
        <v>0.28000000000000003</v>
      </c>
      <c r="CV54" s="3">
        <f t="shared" ref="CV54" si="193">COUNTIF(CV$2:CV$51,$E$54)/50</f>
        <v>0.4</v>
      </c>
      <c r="CX54" s="3">
        <f t="shared" ref="CX54" si="194">COUNTIF(CX$2:CX$51,$E$54)/50</f>
        <v>0.1</v>
      </c>
      <c r="CZ54" s="3">
        <f t="shared" ref="CZ54" si="195">COUNTIF(CZ$2:CZ$51,$E$54)/50</f>
        <v>0.1</v>
      </c>
      <c r="DB54" s="3">
        <f t="shared" ref="DB54" si="196">COUNTIF(DB$2:DB$51,$E$54)/50</f>
        <v>0.16</v>
      </c>
      <c r="DD54" s="3">
        <f t="shared" ref="DD54" si="197">COUNTIF(DD$2:DD$51,$E$54)/50</f>
        <v>0.1</v>
      </c>
      <c r="DF54" s="3">
        <f t="shared" ref="DF54" si="198">COUNTIF(DF$2:DF$51,$E$54)/50</f>
        <v>0.76</v>
      </c>
      <c r="DH54" s="3">
        <f t="shared" ref="DH54" si="199">COUNTIF(DH$2:DH$51,$E$54)/50</f>
        <v>0.02</v>
      </c>
      <c r="DJ54" s="3">
        <f t="shared" ref="DJ54" si="200">COUNTIF(DJ$2:DJ$51,$E$54)/50</f>
        <v>0.74</v>
      </c>
      <c r="DL54" s="3">
        <f t="shared" ref="DL54" si="201">COUNTIF(DL$2:DL$51,$E$54)/50</f>
        <v>0.68</v>
      </c>
      <c r="DN54" s="3">
        <f t="shared" ref="DN54" si="202">COUNTIF(DN$2:DN$51,$E$54)/50</f>
        <v>0.5</v>
      </c>
      <c r="DP54" s="3">
        <f t="shared" ref="DP54" si="203">COUNTIF(DP$2:DP$51,$E$54)/50</f>
        <v>0.42</v>
      </c>
      <c r="DR54" s="3">
        <f t="shared" ref="DR54" si="204">COUNTIF(DR$2:DR$51,$E$54)/50</f>
        <v>0.26</v>
      </c>
      <c r="DT54" s="3">
        <f t="shared" ref="DT54" si="205">COUNTIF(DT$2:DT$51,$E$54)/50</f>
        <v>0.46</v>
      </c>
      <c r="DV54" s="3">
        <f t="shared" ref="DV54" si="206">COUNTIF(DV$2:DV$51,$E$54)/50</f>
        <v>0.26</v>
      </c>
      <c r="DX54" s="3">
        <f t="shared" ref="DX54" si="207">COUNTIF(DX$2:DX$51,$E$54)/50</f>
        <v>0.46</v>
      </c>
      <c r="DZ54" s="3">
        <f t="shared" ref="DZ54" si="208">COUNTIF(DZ$2:DZ$51,$E$54)/50</f>
        <v>0.48</v>
      </c>
      <c r="EB54" s="3">
        <f t="shared" ref="EB54" si="209">COUNTIF(EB$2:EB$51,$E$54)/50</f>
        <v>0.2</v>
      </c>
      <c r="ED54" s="3">
        <f t="shared" ref="ED54" si="210">COUNTIF(ED$2:ED$51,$E$54)/50</f>
        <v>0.2</v>
      </c>
      <c r="EF54" s="3">
        <f t="shared" ref="EF54" si="211">COUNTIF(EF$2:EF$51,$E$54)/50</f>
        <v>0.4</v>
      </c>
      <c r="EH54" s="3">
        <f t="shared" ref="EH54" si="212">COUNTIF(EH$2:EH$51,$E$54)/50</f>
        <v>0.18</v>
      </c>
      <c r="EJ54" s="3">
        <f t="shared" ref="EJ54" si="213">COUNTIF(EJ$2:EJ$51,$E$54)/50</f>
        <v>0.48</v>
      </c>
      <c r="EL54" s="3">
        <f t="shared" ref="EL54" si="214">COUNTIF(EL$2:EL$51,$E$54)/50</f>
        <v>0.4</v>
      </c>
      <c r="EN54" s="3">
        <f t="shared" ref="EN54" si="215">COUNTIF(EN$2:EN$51,$E$54)/50</f>
        <v>0.2</v>
      </c>
      <c r="EP54" s="3">
        <f t="shared" ref="EP54" si="216">COUNTIF(EP$2:EP$51,$E$54)/50</f>
        <v>0.46</v>
      </c>
      <c r="ER54" s="3">
        <f t="shared" ref="ER54" si="217">COUNTIF(ER$2:ER$51,$E$54)/50</f>
        <v>0.52</v>
      </c>
      <c r="ET54" s="3">
        <f t="shared" ref="ET54" si="218">COUNTIF(ET$2:ET$51,$E$54)/50</f>
        <v>0.2</v>
      </c>
      <c r="EV54" s="3">
        <f t="shared" ref="EV54" si="219">COUNTIF(EV$2:EV$51,$E$54)/50</f>
        <v>0.64</v>
      </c>
      <c r="EX54" s="3">
        <f t="shared" ref="EX54" si="220">COUNTIF(EX$2:EX$51,$E$54)/50</f>
        <v>0</v>
      </c>
      <c r="EZ54" s="3">
        <f t="shared" ref="EZ54" si="221">COUNTIF(EZ$2:EZ$51,$E$54)/50</f>
        <v>0.2</v>
      </c>
    </row>
    <row r="56" spans="1:156" x14ac:dyDescent="0.2">
      <c r="F56" t="s">
        <v>297</v>
      </c>
      <c r="G56" t="s">
        <v>298</v>
      </c>
      <c r="H56" t="s">
        <v>299</v>
      </c>
      <c r="I56" t="s">
        <v>300</v>
      </c>
      <c r="J56" t="s">
        <v>301</v>
      </c>
      <c r="K56" t="s">
        <v>302</v>
      </c>
      <c r="L56" t="s">
        <v>303</v>
      </c>
      <c r="M56" t="s">
        <v>304</v>
      </c>
      <c r="N56" t="s">
        <v>305</v>
      </c>
      <c r="O56" t="s">
        <v>306</v>
      </c>
      <c r="P56" t="s">
        <v>307</v>
      </c>
      <c r="Q56" t="s">
        <v>308</v>
      </c>
      <c r="R56" t="s">
        <v>309</v>
      </c>
      <c r="S56" t="s">
        <v>310</v>
      </c>
      <c r="T56" t="s">
        <v>311</v>
      </c>
      <c r="U56" t="s">
        <v>312</v>
      </c>
    </row>
    <row r="57" spans="1:156" x14ac:dyDescent="0.2">
      <c r="E57" t="s">
        <v>144</v>
      </c>
      <c r="F57" s="10">
        <f>AVERAGE(G52,I52,K52,M52,O52,Q52)</f>
        <v>0.58666666666666656</v>
      </c>
      <c r="G57" s="10">
        <f>AVERAGE(S52,U52,W52,Y52,AA52,AC52,AE52)</f>
        <v>0.62</v>
      </c>
      <c r="H57" s="10">
        <f>AVERAGE(AG52,AQ52,AS52,AU52,AX52)</f>
        <v>0.45200000000000007</v>
      </c>
      <c r="I57" s="10">
        <f>AVERAGE(AZ52,BB52,BD52,BF52)</f>
        <v>0.60499999999999998</v>
      </c>
      <c r="J57" s="10">
        <f>AVERAGE(BH52,BJ52,BL52,BN52)</f>
        <v>0.71</v>
      </c>
      <c r="K57" s="10">
        <f>AVERAGE(BP52,BR52,BT52,BV52)</f>
        <v>0.435</v>
      </c>
      <c r="L57" s="10">
        <f>AVERAGE(BX52,BZ52,CB52)</f>
        <v>0.7400000000000001</v>
      </c>
      <c r="M57" s="10">
        <f>AVERAGE(CD52,CF52,CH52,CJ52)</f>
        <v>0.35500000000000004</v>
      </c>
      <c r="N57" s="10">
        <f>AVERAGE(CL52,CN52)</f>
        <v>0.72</v>
      </c>
      <c r="O57" s="10">
        <f>AVERAGE(CP52,CR52,CT52,CV52,CX52,CZ52,DB52)</f>
        <v>0.29428571428571432</v>
      </c>
      <c r="P57" s="10">
        <f>AVERAGE(DD52,DF52,DH52,DJ52,DL52,DN52)</f>
        <v>0.39666666666666667</v>
      </c>
      <c r="Q57" s="10">
        <f>AVERAGE(DT52,DV52,DX52,DZ52)</f>
        <v>0.23</v>
      </c>
      <c r="R57" s="10">
        <f>AVERAGE(ED52,EB52)</f>
        <v>0.5</v>
      </c>
      <c r="S57" s="10">
        <f>AVERAGE(EJ52,EL52,EN52,EP52,ER52)</f>
        <v>0.52</v>
      </c>
      <c r="T57" s="10">
        <f>AVERAGE(ET52,EV52)</f>
        <v>0.41000000000000003</v>
      </c>
      <c r="U57" s="10">
        <f>AVERAGE(EX52,EZ52)</f>
        <v>0.55000000000000004</v>
      </c>
    </row>
    <row r="58" spans="1:156" x14ac:dyDescent="0.2">
      <c r="E58" t="s">
        <v>145</v>
      </c>
      <c r="F58" s="10">
        <f t="shared" ref="F58:F59" si="222">AVERAGE(G53,I53,K53,M53,O53,Q53)</f>
        <v>0.16</v>
      </c>
      <c r="G58" s="10">
        <f t="shared" ref="G58:G59" si="223">AVERAGE(S53,U53,W53,Y53,AA53,AC53,AE53)</f>
        <v>7.7142857142857152E-2</v>
      </c>
      <c r="H58" s="10">
        <f t="shared" ref="H58:H59" si="224">AVERAGE(AG53,AQ53,AS53,AU53,AX53)</f>
        <v>0.27999999999999997</v>
      </c>
      <c r="I58" s="10">
        <f t="shared" ref="I58:I59" si="225">AVERAGE(AZ53,BB53,BD53,BF53)</f>
        <v>3.4999999999999996E-2</v>
      </c>
      <c r="J58" s="10">
        <f t="shared" ref="J58:J59" si="226">AVERAGE(BH53,BJ53,BL53,BN53)</f>
        <v>0.02</v>
      </c>
      <c r="K58" s="10">
        <f t="shared" ref="K58:K59" si="227">AVERAGE(BP53,BR53,BT53,BV53)</f>
        <v>0.22999999999999998</v>
      </c>
      <c r="L58" s="10">
        <f t="shared" ref="L58:L59" si="228">AVERAGE(BX53,BZ53,CB53)</f>
        <v>0.04</v>
      </c>
      <c r="M58" s="10">
        <f t="shared" ref="M58:M59" si="229">AVERAGE(CD53,CF53,CH53,CJ53)</f>
        <v>0.39</v>
      </c>
      <c r="N58" s="10">
        <f t="shared" ref="N58:N59" si="230">AVERAGE(CL53,CN53)</f>
        <v>0.23</v>
      </c>
      <c r="O58" s="10">
        <f t="shared" ref="O58:O59" si="231">AVERAGE(CP53,CR53,CT53,CV53,CX53,CZ53,DB53)</f>
        <v>0.48857142857142855</v>
      </c>
      <c r="P58" s="10">
        <f t="shared" ref="P58:P59" si="232">AVERAGE(DD53,DF53,DH53,DJ53,DL53,DN53)</f>
        <v>0.13666666666666666</v>
      </c>
      <c r="Q58" s="10">
        <f t="shared" ref="Q58:Q59" si="233">AVERAGE(DT53,DV53,DX53,DZ53)</f>
        <v>0.35499999999999998</v>
      </c>
      <c r="R58" s="10">
        <f t="shared" ref="R58:R59" si="234">AVERAGE(ED53,EB53)</f>
        <v>0.3</v>
      </c>
      <c r="S58" s="10">
        <f t="shared" ref="S58:S59" si="235">AVERAGE(EJ53,EL53,EN53,EP53,ER53)</f>
        <v>6.8000000000000005E-2</v>
      </c>
      <c r="T58" s="10">
        <f t="shared" ref="T58:T59" si="236">AVERAGE(ET53,EV53)</f>
        <v>0.17</v>
      </c>
      <c r="U58" s="10">
        <f t="shared" ref="U58:U59" si="237">AVERAGE(EX53,EZ53)</f>
        <v>0.35</v>
      </c>
    </row>
    <row r="59" spans="1:156" x14ac:dyDescent="0.2">
      <c r="E59" t="s">
        <v>147</v>
      </c>
      <c r="F59" s="10">
        <f t="shared" si="222"/>
        <v>0.25333333333333335</v>
      </c>
      <c r="G59" s="10">
        <f t="shared" si="223"/>
        <v>0.30285714285714294</v>
      </c>
      <c r="H59" s="10">
        <f t="shared" si="224"/>
        <v>0.26800000000000002</v>
      </c>
      <c r="I59" s="10">
        <f t="shared" si="225"/>
        <v>0.36</v>
      </c>
      <c r="J59" s="10">
        <f t="shared" si="226"/>
        <v>0.27</v>
      </c>
      <c r="K59" s="10">
        <f t="shared" si="227"/>
        <v>0.33500000000000002</v>
      </c>
      <c r="L59" s="10">
        <f t="shared" si="228"/>
        <v>0.21999999999999997</v>
      </c>
      <c r="M59" s="10">
        <f t="shared" si="229"/>
        <v>0.255</v>
      </c>
      <c r="N59" s="10">
        <f t="shared" si="230"/>
        <v>0.05</v>
      </c>
      <c r="O59" s="10">
        <f t="shared" si="231"/>
        <v>0.21714285714285717</v>
      </c>
      <c r="P59" s="10">
        <f t="shared" si="232"/>
        <v>0.46666666666666673</v>
      </c>
      <c r="Q59" s="10">
        <f t="shared" si="233"/>
        <v>0.41499999999999998</v>
      </c>
      <c r="R59" s="10">
        <f t="shared" si="234"/>
        <v>0.2</v>
      </c>
      <c r="S59" s="10">
        <f t="shared" si="235"/>
        <v>0.41200000000000003</v>
      </c>
      <c r="T59" s="10">
        <f t="shared" si="236"/>
        <v>0.42000000000000004</v>
      </c>
      <c r="U59" s="10">
        <f t="shared" si="237"/>
        <v>0.1</v>
      </c>
    </row>
    <row r="61" spans="1:156" x14ac:dyDescent="0.2">
      <c r="E61" t="str">
        <f>CONCATENATE(Datos!B8," ",Datos!B9)</f>
        <v>Calidad del Contenido de los Items de la Sección   de las FDS Analizadas</v>
      </c>
    </row>
    <row r="62" spans="1:156" x14ac:dyDescent="0.2">
      <c r="E62" t="str">
        <f>Datos!B10</f>
        <v>Porcentaje de Cumplimiento del Contenido de los Items</v>
      </c>
    </row>
    <row r="63" spans="1:156" x14ac:dyDescent="0.2">
      <c r="E63" t="s">
        <v>315</v>
      </c>
    </row>
  </sheetData>
  <autoFilter ref="A1:EZ54" xr:uid="{00000000-0009-0000-0000-000003000000}">
    <sortState xmlns:xlrd2="http://schemas.microsoft.com/office/spreadsheetml/2017/richdata2" ref="A2:EZ51">
      <sortCondition ref="C1:C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20</vt:i4>
      </vt:variant>
      <vt:variant>
        <vt:lpstr>Rangos con nombre</vt:lpstr>
      </vt:variant>
      <vt:variant>
        <vt:i4>2</vt:i4>
      </vt:variant>
    </vt:vector>
  </HeadingPairs>
  <TitlesOfParts>
    <vt:vector size="30" baseType="lpstr">
      <vt:lpstr>Hoja1 (2)</vt:lpstr>
      <vt:lpstr>Hoja1</vt:lpstr>
      <vt:lpstr>Hoja2</vt:lpstr>
      <vt:lpstr>Hoja3</vt:lpstr>
      <vt:lpstr>Hoja4</vt:lpstr>
      <vt:lpstr>Datos</vt:lpstr>
      <vt:lpstr>Evalucion (2)</vt:lpstr>
      <vt:lpstr>Evalucion</vt:lpstr>
      <vt:lpstr>Grafico 1 Secciones</vt:lpstr>
      <vt:lpstr>Gráfico 2 Calidad S1 </vt:lpstr>
      <vt:lpstr>Gráfico 3 Calidad S2</vt:lpstr>
      <vt:lpstr>Gráfico 4 Calidad S3</vt:lpstr>
      <vt:lpstr>Gráfico 5 Calidad S4</vt:lpstr>
      <vt:lpstr>Gráfico 6 Calidad S 5</vt:lpstr>
      <vt:lpstr>Gráfico 7 Calidad S6</vt:lpstr>
      <vt:lpstr>Gráfico 8 Calidad S7</vt:lpstr>
      <vt:lpstr>Gráfico 9 Calidad S8</vt:lpstr>
      <vt:lpstr>Gráfico 10 Calidad S9</vt:lpstr>
      <vt:lpstr>Gráfico11 Calidad S10</vt:lpstr>
      <vt:lpstr>Gráfico 12 Calidad S11</vt:lpstr>
      <vt:lpstr>Gráfico 13 Calidad S12</vt:lpstr>
      <vt:lpstr>Gráfico 14 Calidad S13</vt:lpstr>
      <vt:lpstr>Gráfico 15 Calidad S14</vt:lpstr>
      <vt:lpstr>Gráfico 16 Calidad S15</vt:lpstr>
      <vt:lpstr>Gráfico 17 Calidad S16</vt:lpstr>
      <vt:lpstr>Gráfico 18 Conf General</vt:lpstr>
      <vt:lpstr>Gráfico 19 Calidad Items</vt:lpstr>
      <vt:lpstr>Gráfico 20 Calidad FDS FAB</vt:lpstr>
      <vt:lpstr>'Evalucion (2)'!Evalucion</vt:lpstr>
      <vt:lpstr>Evalucion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Eudaldo</dc:creator>
  <cp:lastModifiedBy>Katherine  Montaña Oviedo.-Docente</cp:lastModifiedBy>
  <dcterms:created xsi:type="dcterms:W3CDTF">2021-06-26T14:16:50Z</dcterms:created>
  <dcterms:modified xsi:type="dcterms:W3CDTF">2024-03-14T23:38:11Z</dcterms:modified>
</cp:coreProperties>
</file>